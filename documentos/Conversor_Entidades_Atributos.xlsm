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E:\Documents\099 - Arquivos Trabalho\Material Everis\framework_pinhao-main\documentos\"/>
    </mc:Choice>
  </mc:AlternateContent>
  <xr:revisionPtr revIDLastSave="0" documentId="13_ncr:1_{4FBF8D1A-219F-47D1-978C-EDA2ABBFABCC}" xr6:coauthVersionLast="47" xr6:coauthVersionMax="47" xr10:uidLastSave="{00000000-0000-0000-0000-000000000000}"/>
  <bookViews>
    <workbookView xWindow="-120" yWindow="330" windowWidth="20640" windowHeight="11310" tabRatio="553" activeTab="2" xr2:uid="{00000000-000D-0000-FFFF-FFFF00000000}"/>
  </bookViews>
  <sheets>
    <sheet name="Leia-me" sheetId="5" r:id="rId1"/>
    <sheet name="ReadMe" sheetId="4" r:id="rId2"/>
    <sheet name="Conversor" sheetId="3" r:id="rId3"/>
    <sheet name="Thesaurus" sheetId="1" r:id="rId4"/>
    <sheet name="Naturezas" sheetId="2" r:id="rId5"/>
  </sheets>
  <functionGroups builtInGroupCount="19"/>
  <externalReferences>
    <externalReference r:id="rId6"/>
  </externalReferences>
  <definedNames>
    <definedName name="_xlnm._FilterDatabase" localSheetId="2" hidden="1">Conversor!$B$2:$B$4</definedName>
    <definedName name="_xlnm._FilterDatabase" localSheetId="3" hidden="1">Thesaurus!$A$1:$F$2805</definedName>
    <definedName name="LisSelNaturezas">Naturezas!$B$2:$B$19</definedName>
    <definedName name="ListaNaturezas">Naturezas!$B$2:$D$19</definedName>
    <definedName name="ListaThesaurus">Thesaurus!$B$2:$D$2591</definedName>
    <definedName name="x">[1]Thesaurus!$B$2:$D$4100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5" i="4" l="1"/>
  <c r="AR2" i="3"/>
  <c r="AA2" i="3" l="1"/>
  <c r="D376" i="3"/>
  <c r="D275" i="3"/>
  <c r="D408" i="3"/>
  <c r="D356" i="3"/>
  <c r="D281" i="3"/>
  <c r="D392" i="3"/>
  <c r="D162" i="3"/>
  <c r="D366" i="3"/>
  <c r="D310" i="3"/>
  <c r="D312" i="3"/>
  <c r="D358" i="3"/>
  <c r="D151" i="3"/>
  <c r="D319" i="3"/>
  <c r="D313" i="3"/>
  <c r="D367" i="3"/>
  <c r="D311" i="3"/>
  <c r="D328" i="3"/>
  <c r="D336" i="3"/>
  <c r="D146" i="3"/>
  <c r="D296" i="3"/>
  <c r="D387" i="3"/>
  <c r="D153" i="3"/>
  <c r="D371" i="3"/>
  <c r="D352" i="3"/>
  <c r="D370" i="3"/>
  <c r="D167" i="3"/>
  <c r="D289" i="3"/>
  <c r="D415" i="3"/>
  <c r="D351" i="3"/>
  <c r="D377" i="3"/>
  <c r="D150" i="3"/>
  <c r="D324" i="3"/>
  <c r="D393" i="3"/>
  <c r="D156" i="3"/>
  <c r="D164" i="3"/>
  <c r="D301" i="3"/>
  <c r="D297" i="3"/>
  <c r="D350" i="3"/>
  <c r="D293" i="3"/>
  <c r="D283" i="3"/>
  <c r="D166" i="3"/>
  <c r="D379" i="3"/>
  <c r="D299" i="3"/>
  <c r="D365" i="3"/>
  <c r="D411" i="3"/>
  <c r="D155" i="3"/>
  <c r="D317" i="3"/>
  <c r="D399" i="3"/>
  <c r="D397" i="3"/>
  <c r="D307" i="3"/>
  <c r="D362" i="3"/>
  <c r="D406" i="3"/>
  <c r="D161" i="3"/>
  <c r="D308" i="3"/>
  <c r="D330" i="3"/>
  <c r="D165" i="3"/>
  <c r="D325" i="3"/>
  <c r="D398" i="3"/>
  <c r="D382" i="3"/>
  <c r="D389" i="3"/>
  <c r="D404" i="3"/>
  <c r="D277" i="3"/>
  <c r="D163" i="3"/>
  <c r="D292" i="3"/>
  <c r="D148" i="3"/>
  <c r="D284" i="3"/>
  <c r="D391" i="3"/>
  <c r="D383" i="3"/>
  <c r="D416" i="3"/>
  <c r="D344" i="3"/>
  <c r="D306" i="3"/>
  <c r="D315" i="3"/>
  <c r="D323" i="3"/>
  <c r="D374" i="3"/>
  <c r="D369" i="3"/>
  <c r="D409" i="3"/>
  <c r="D302" i="3"/>
  <c r="D332" i="3"/>
  <c r="D368" i="3"/>
  <c r="D321" i="3"/>
  <c r="D282" i="3"/>
  <c r="D168" i="3"/>
  <c r="D316" i="3"/>
  <c r="D348" i="3"/>
  <c r="D407" i="3"/>
  <c r="D305" i="3"/>
  <c r="D329" i="3"/>
  <c r="D170" i="3"/>
  <c r="D394" i="3"/>
  <c r="D343" i="3"/>
  <c r="D384" i="3"/>
  <c r="D386" i="3"/>
  <c r="D159" i="3"/>
  <c r="D355" i="3"/>
  <c r="D278" i="3"/>
  <c r="D380" i="3"/>
  <c r="D347" i="3"/>
  <c r="D400" i="3"/>
  <c r="D280" i="3"/>
  <c r="D169" i="3"/>
  <c r="D361" i="3"/>
  <c r="D295" i="3"/>
  <c r="D26" i="3"/>
  <c r="D401" i="3"/>
  <c r="D338" i="3"/>
  <c r="D322" i="3"/>
  <c r="D288" i="3"/>
  <c r="D354" i="3"/>
  <c r="D372" i="3"/>
  <c r="D345" i="3"/>
  <c r="D304" i="3"/>
  <c r="D364" i="3"/>
  <c r="D340" i="3"/>
  <c r="D286" i="3"/>
  <c r="D303" i="3"/>
  <c r="D276" i="3"/>
  <c r="D145" i="3"/>
  <c r="D331" i="3"/>
  <c r="D298" i="3"/>
  <c r="D357" i="3"/>
  <c r="D152" i="3"/>
  <c r="D149" i="3"/>
  <c r="D157" i="3"/>
  <c r="D294" i="3"/>
  <c r="D334" i="3"/>
  <c r="D171" i="3"/>
  <c r="D378" i="3"/>
  <c r="D287" i="3"/>
  <c r="D363" i="3"/>
  <c r="D337" i="3"/>
  <c r="D403" i="3"/>
  <c r="D320" i="3"/>
  <c r="D318" i="3"/>
  <c r="D395" i="3"/>
  <c r="D154" i="3"/>
  <c r="D339" i="3"/>
  <c r="D273" i="3"/>
  <c r="D402" i="3"/>
  <c r="D326" i="3"/>
  <c r="D341" i="3"/>
  <c r="D274" i="3"/>
  <c r="D396" i="3"/>
  <c r="D359" i="3"/>
  <c r="D388" i="3"/>
  <c r="D410" i="3"/>
  <c r="D160" i="3"/>
  <c r="D314" i="3"/>
  <c r="D285" i="3"/>
  <c r="D172" i="3"/>
  <c r="D375" i="3"/>
  <c r="D309" i="3"/>
  <c r="D100" i="3"/>
  <c r="D342" i="3"/>
  <c r="D405" i="3"/>
  <c r="D349" i="3"/>
  <c r="D158" i="3"/>
  <c r="D346" i="3"/>
  <c r="D290" i="3"/>
  <c r="D412" i="3"/>
  <c r="D360" i="3"/>
  <c r="D147" i="3"/>
  <c r="D300" i="3"/>
  <c r="D272" i="3"/>
  <c r="D353" i="3"/>
  <c r="D291" i="3"/>
  <c r="D414" i="3"/>
  <c r="D279" i="3"/>
  <c r="D390" i="3"/>
  <c r="D373" i="3"/>
  <c r="D335" i="3"/>
  <c r="D333" i="3"/>
  <c r="D413" i="3"/>
  <c r="D9" i="3"/>
  <c r="D381" i="3"/>
  <c r="D385" i="3"/>
  <c r="D327" i="3"/>
  <c r="E168" i="3" l="1"/>
  <c r="F168" i="3" s="1"/>
  <c r="G168" i="3" s="1"/>
  <c r="H168" i="3" s="1"/>
  <c r="E157" i="3"/>
  <c r="F157" i="3" s="1"/>
  <c r="G157" i="3" s="1"/>
  <c r="H157" i="3" s="1"/>
  <c r="E383" i="3"/>
  <c r="F383" i="3" s="1"/>
  <c r="G383" i="3" s="1"/>
  <c r="E401" i="3"/>
  <c r="F401" i="3" s="1"/>
  <c r="G401" i="3" s="1"/>
  <c r="E325" i="3"/>
  <c r="F325" i="3" s="1"/>
  <c r="E371" i="3"/>
  <c r="F371" i="3" s="1"/>
  <c r="E413" i="3"/>
  <c r="F413" i="3" s="1"/>
  <c r="E309" i="3"/>
  <c r="F309" i="3" s="1"/>
  <c r="G309" i="3" s="1"/>
  <c r="E363" i="3"/>
  <c r="F363" i="3" s="1"/>
  <c r="E409" i="3"/>
  <c r="F409" i="3" s="1"/>
  <c r="E303" i="3"/>
  <c r="F303" i="3" s="1"/>
  <c r="E26" i="3"/>
  <c r="F26" i="3" s="1"/>
  <c r="E165" i="3"/>
  <c r="F165" i="3" s="1"/>
  <c r="G165" i="3" s="1"/>
  <c r="H165" i="3" s="1"/>
  <c r="E153" i="3"/>
  <c r="F153" i="3" s="1"/>
  <c r="E333" i="3"/>
  <c r="F333" i="3" s="1"/>
  <c r="G333" i="3" s="1"/>
  <c r="E375" i="3"/>
  <c r="F375" i="3" s="1"/>
  <c r="E327" i="3"/>
  <c r="F327" i="3" s="1"/>
  <c r="E351" i="3"/>
  <c r="F351" i="3" s="1"/>
  <c r="E391" i="3"/>
  <c r="F391" i="3" s="1"/>
  <c r="G391" i="3" s="1"/>
  <c r="E295" i="3"/>
  <c r="F295" i="3" s="1"/>
  <c r="E330" i="3"/>
  <c r="F330" i="3" s="1"/>
  <c r="E387" i="3"/>
  <c r="F387" i="3" s="1"/>
  <c r="E335" i="3"/>
  <c r="F335" i="3" s="1"/>
  <c r="G335" i="3" s="1"/>
  <c r="E172" i="3"/>
  <c r="F172" i="3" s="1"/>
  <c r="E164" i="3"/>
  <c r="F164" i="3" s="1"/>
  <c r="E149" i="3"/>
  <c r="F149" i="3" s="1"/>
  <c r="G149" i="3" s="1"/>
  <c r="H149" i="3" s="1"/>
  <c r="E286" i="3"/>
  <c r="F286" i="3" s="1"/>
  <c r="E361" i="3"/>
  <c r="E308" i="3"/>
  <c r="G308" i="3" s="1"/>
  <c r="H308" i="3" s="1"/>
  <c r="F308" i="3"/>
  <c r="E296" i="3"/>
  <c r="F296" i="3" s="1"/>
  <c r="G296" i="3" s="1"/>
  <c r="E373" i="3"/>
  <c r="F373" i="3" s="1"/>
  <c r="E285" i="3"/>
  <c r="F285" i="3" s="1"/>
  <c r="G285" i="3" s="1"/>
  <c r="E287" i="3"/>
  <c r="F287" i="3" s="1"/>
  <c r="E369" i="3"/>
  <c r="F369" i="3" s="1"/>
  <c r="E284" i="3"/>
  <c r="E169" i="3"/>
  <c r="F169" i="3" s="1"/>
  <c r="G169" i="3" s="1"/>
  <c r="H169" i="3" s="1"/>
  <c r="E161" i="3"/>
  <c r="F161" i="3" s="1"/>
  <c r="E146" i="3"/>
  <c r="F146" i="3" s="1"/>
  <c r="G146" i="3" s="1"/>
  <c r="H146" i="3" s="1"/>
  <c r="E390" i="3"/>
  <c r="F390" i="3" s="1"/>
  <c r="E314" i="3"/>
  <c r="F314" i="3" s="1"/>
  <c r="E282" i="3"/>
  <c r="F282" i="3"/>
  <c r="G282" i="3" s="1"/>
  <c r="E415" i="3"/>
  <c r="F415" i="3" s="1"/>
  <c r="G415" i="3" s="1"/>
  <c r="E340" i="3"/>
  <c r="F340" i="3" s="1"/>
  <c r="G340" i="3" s="1"/>
  <c r="E280" i="3"/>
  <c r="F280" i="3"/>
  <c r="G280" i="3" s="1"/>
  <c r="H280" i="3" s="1"/>
  <c r="E406" i="3"/>
  <c r="G406" i="3" s="1"/>
  <c r="F406" i="3"/>
  <c r="E336" i="3"/>
  <c r="F336" i="3" s="1"/>
  <c r="E279" i="3"/>
  <c r="F279" i="3"/>
  <c r="G279" i="3" s="1"/>
  <c r="E160" i="3"/>
  <c r="F160" i="3" s="1"/>
  <c r="G160" i="3" s="1"/>
  <c r="H160" i="3" s="1"/>
  <c r="E156" i="3"/>
  <c r="F156" i="3" s="1"/>
  <c r="G156" i="3" s="1"/>
  <c r="H156" i="3" s="1"/>
  <c r="E152" i="3"/>
  <c r="F152" i="3" s="1"/>
  <c r="G152" i="3"/>
  <c r="H152" i="3" s="1"/>
  <c r="E148" i="3"/>
  <c r="F148" i="3" s="1"/>
  <c r="G148" i="3" s="1"/>
  <c r="H148" i="3" s="1"/>
  <c r="E400" i="3"/>
  <c r="E362" i="3"/>
  <c r="F362" i="3"/>
  <c r="G362" i="3" s="1"/>
  <c r="E328" i="3"/>
  <c r="F328" i="3"/>
  <c r="G328" i="3" s="1"/>
  <c r="E414" i="3"/>
  <c r="F414" i="3" s="1"/>
  <c r="E410" i="3"/>
  <c r="F410" i="3" s="1"/>
  <c r="E385" i="3"/>
  <c r="F385" i="3" s="1"/>
  <c r="E374" i="3"/>
  <c r="F374" i="3" s="1"/>
  <c r="E364" i="3"/>
  <c r="F364" i="3" s="1"/>
  <c r="G364" i="3" s="1"/>
  <c r="E347" i="3"/>
  <c r="F347" i="3" s="1"/>
  <c r="E307" i="3"/>
  <c r="F307" i="3"/>
  <c r="G307" i="3" s="1"/>
  <c r="E311" i="3"/>
  <c r="F311" i="3" s="1"/>
  <c r="G311" i="3" s="1"/>
  <c r="E291" i="3"/>
  <c r="F291" i="3" s="1"/>
  <c r="G291" i="3" s="1"/>
  <c r="E388" i="3"/>
  <c r="F388" i="3" s="1"/>
  <c r="E378" i="3"/>
  <c r="F378" i="3" s="1"/>
  <c r="E289" i="3"/>
  <c r="E292" i="3"/>
  <c r="F292" i="3" s="1"/>
  <c r="E380" i="3"/>
  <c r="E397" i="3"/>
  <c r="F397" i="3"/>
  <c r="G397" i="3" s="1"/>
  <c r="H397" i="3" s="1"/>
  <c r="E367" i="3"/>
  <c r="F367" i="3" s="1"/>
  <c r="G367" i="3" s="1"/>
  <c r="E353" i="3"/>
  <c r="F353" i="3" s="1"/>
  <c r="E359" i="3"/>
  <c r="F359" i="3" s="1"/>
  <c r="G359" i="3" s="1"/>
  <c r="E321" i="3"/>
  <c r="F321" i="3" s="1"/>
  <c r="E323" i="3"/>
  <c r="E304" i="3"/>
  <c r="E278" i="3"/>
  <c r="F278" i="3" s="1"/>
  <c r="E399" i="3"/>
  <c r="F399" i="3" s="1"/>
  <c r="E313" i="3"/>
  <c r="E272" i="3"/>
  <c r="F272" i="3" s="1"/>
  <c r="E396" i="3"/>
  <c r="F396" i="3" s="1"/>
  <c r="E393" i="3"/>
  <c r="F393" i="3" s="1"/>
  <c r="G393" i="3" s="1"/>
  <c r="E357" i="3"/>
  <c r="F357" i="3" s="1"/>
  <c r="E345" i="3"/>
  <c r="F345" i="3" s="1"/>
  <c r="E355" i="3"/>
  <c r="F355" i="3" s="1"/>
  <c r="E317" i="3"/>
  <c r="E319" i="3"/>
  <c r="F319" i="3"/>
  <c r="G319" i="3" s="1"/>
  <c r="E300" i="3"/>
  <c r="E274" i="3"/>
  <c r="F274" i="3" s="1"/>
  <c r="E171" i="3"/>
  <c r="F171" i="3" s="1"/>
  <c r="G171" i="3" s="1"/>
  <c r="H171" i="3" s="1"/>
  <c r="E167" i="3"/>
  <c r="F167" i="3" s="1"/>
  <c r="E163" i="3"/>
  <c r="F163" i="3" s="1"/>
  <c r="G163" i="3" s="1"/>
  <c r="H163" i="3" s="1"/>
  <c r="E159" i="3"/>
  <c r="F159" i="3" s="1"/>
  <c r="E155" i="3"/>
  <c r="F155" i="3" s="1"/>
  <c r="E151" i="3"/>
  <c r="F151" i="3"/>
  <c r="G151" i="3" s="1"/>
  <c r="H151" i="3" s="1"/>
  <c r="E147" i="3"/>
  <c r="F147" i="3" s="1"/>
  <c r="G147" i="3" s="1"/>
  <c r="H147" i="3" s="1"/>
  <c r="E341" i="3"/>
  <c r="F341" i="3"/>
  <c r="E368" i="3"/>
  <c r="F368" i="3" s="1"/>
  <c r="G368" i="3" s="1"/>
  <c r="E315" i="3"/>
  <c r="F315" i="3" s="1"/>
  <c r="E372" i="3"/>
  <c r="F372" i="3" s="1"/>
  <c r="E386" i="3"/>
  <c r="F386" i="3" s="1"/>
  <c r="G386" i="3" s="1"/>
  <c r="E411" i="3"/>
  <c r="F411" i="3" s="1"/>
  <c r="E358" i="3"/>
  <c r="F358" i="3" s="1"/>
  <c r="E360" i="3"/>
  <c r="E326" i="3"/>
  <c r="F326" i="3" s="1"/>
  <c r="E324" i="3"/>
  <c r="F324" i="3" s="1"/>
  <c r="E298" i="3"/>
  <c r="F298" i="3" s="1"/>
  <c r="E277" i="3"/>
  <c r="F277" i="3" s="1"/>
  <c r="G277" i="3" s="1"/>
  <c r="E384" i="3"/>
  <c r="F384" i="3" s="1"/>
  <c r="E365" i="3"/>
  <c r="F365" i="3" s="1"/>
  <c r="E312" i="3"/>
  <c r="E412" i="3"/>
  <c r="F412" i="3" s="1"/>
  <c r="E402" i="3"/>
  <c r="F402" i="3" s="1"/>
  <c r="E381" i="3"/>
  <c r="F381" i="3" s="1"/>
  <c r="G381" i="3" s="1"/>
  <c r="E370" i="3"/>
  <c r="E354" i="3"/>
  <c r="F354" i="3" s="1"/>
  <c r="E343" i="3"/>
  <c r="F343" i="3" s="1"/>
  <c r="E299" i="3"/>
  <c r="E310" i="3"/>
  <c r="F310" i="3" s="1"/>
  <c r="G310" i="3" s="1"/>
  <c r="E290" i="3"/>
  <c r="F290" i="3" s="1"/>
  <c r="E273" i="3"/>
  <c r="F273" i="3" s="1"/>
  <c r="E334" i="3"/>
  <c r="F334" i="3" s="1"/>
  <c r="E331" i="3"/>
  <c r="F331" i="3" s="1"/>
  <c r="E404" i="3"/>
  <c r="F404" i="3" s="1"/>
  <c r="E394" i="3"/>
  <c r="F394" i="3"/>
  <c r="G394" i="3" s="1"/>
  <c r="E379" i="3"/>
  <c r="F379" i="3" s="1"/>
  <c r="E366" i="3"/>
  <c r="F366" i="3" s="1"/>
  <c r="G366" i="3" s="1"/>
  <c r="E346" i="3"/>
  <c r="F346" i="3" s="1"/>
  <c r="E339" i="3"/>
  <c r="F339" i="3" s="1"/>
  <c r="E332" i="3"/>
  <c r="F332" i="3" s="1"/>
  <c r="E306" i="3"/>
  <c r="F306" i="3" s="1"/>
  <c r="E288" i="3"/>
  <c r="E170" i="3"/>
  <c r="F170" i="3" s="1"/>
  <c r="E166" i="3"/>
  <c r="F166" i="3" s="1"/>
  <c r="E162" i="3"/>
  <c r="F162" i="3"/>
  <c r="G162" i="3" s="1"/>
  <c r="E158" i="3"/>
  <c r="F158" i="3"/>
  <c r="G158" i="3" s="1"/>
  <c r="H158" i="3" s="1"/>
  <c r="E154" i="3"/>
  <c r="F154" i="3" s="1"/>
  <c r="E150" i="3"/>
  <c r="F150" i="3" s="1"/>
  <c r="G150" i="3" s="1"/>
  <c r="H150" i="3" s="1"/>
  <c r="E145" i="3"/>
  <c r="F145" i="3" s="1"/>
  <c r="G145" i="3" s="1"/>
  <c r="H145" i="3" s="1"/>
  <c r="E389" i="3"/>
  <c r="F389" i="3" s="1"/>
  <c r="E329" i="3"/>
  <c r="F329" i="3" s="1"/>
  <c r="G329" i="3" s="1"/>
  <c r="E283" i="3"/>
  <c r="F283" i="3" s="1"/>
  <c r="E392" i="3"/>
  <c r="F392" i="3" s="1"/>
  <c r="E349" i="3"/>
  <c r="F349" i="3" s="1"/>
  <c r="G349" i="3" s="1"/>
  <c r="E395" i="3"/>
  <c r="F395" i="3" s="1"/>
  <c r="E377" i="3"/>
  <c r="F377" i="3" s="1"/>
  <c r="E344" i="3"/>
  <c r="F344" i="3" s="1"/>
  <c r="G344" i="3" s="1"/>
  <c r="E322" i="3"/>
  <c r="F322" i="3"/>
  <c r="E305" i="3"/>
  <c r="F305" i="3" s="1"/>
  <c r="G305" i="3" s="1"/>
  <c r="E293" i="3"/>
  <c r="F293" i="3" s="1"/>
  <c r="E281" i="3"/>
  <c r="F281" i="3" s="1"/>
  <c r="E405" i="3"/>
  <c r="F405" i="3" s="1"/>
  <c r="E318" i="3"/>
  <c r="F318" i="3" s="1"/>
  <c r="G318" i="3" s="1"/>
  <c r="H318" i="3" s="1"/>
  <c r="E302" i="3"/>
  <c r="F302" i="3" s="1"/>
  <c r="E416" i="3"/>
  <c r="E382" i="3"/>
  <c r="F382" i="3" s="1"/>
  <c r="E407" i="3"/>
  <c r="E350" i="3"/>
  <c r="F350" i="3" s="1"/>
  <c r="G350" i="3" s="1"/>
  <c r="E356" i="3"/>
  <c r="F356" i="3" s="1"/>
  <c r="E342" i="3"/>
  <c r="F342" i="3"/>
  <c r="G342" i="3" s="1"/>
  <c r="E320" i="3"/>
  <c r="F320" i="3" s="1"/>
  <c r="E294" i="3"/>
  <c r="F294" i="3" s="1"/>
  <c r="G294" i="3" s="1"/>
  <c r="E276" i="3"/>
  <c r="F276" i="3" s="1"/>
  <c r="G276" i="3" s="1"/>
  <c r="E398" i="3"/>
  <c r="F398" i="3" s="1"/>
  <c r="E348" i="3"/>
  <c r="F348" i="3" s="1"/>
  <c r="E297" i="3"/>
  <c r="F297" i="3" s="1"/>
  <c r="E408" i="3"/>
  <c r="F408" i="3" s="1"/>
  <c r="E376" i="3"/>
  <c r="F376" i="3" s="1"/>
  <c r="E403" i="3"/>
  <c r="F403" i="3" s="1"/>
  <c r="G403" i="3" s="1"/>
  <c r="E337" i="3"/>
  <c r="F337" i="3" s="1"/>
  <c r="G337" i="3" s="1"/>
  <c r="E352" i="3"/>
  <c r="F352" i="3" s="1"/>
  <c r="E338" i="3"/>
  <c r="F338" i="3" s="1"/>
  <c r="E316" i="3"/>
  <c r="F316" i="3" s="1"/>
  <c r="G316" i="3" s="1"/>
  <c r="E301" i="3"/>
  <c r="F301" i="3" s="1"/>
  <c r="E275" i="3"/>
  <c r="F275" i="3" s="1"/>
  <c r="G275" i="3" s="1"/>
  <c r="H340" i="3"/>
  <c r="I340" i="3" s="1"/>
  <c r="AN340" i="3" s="1"/>
  <c r="E9" i="3"/>
  <c r="H342" i="3" l="1"/>
  <c r="G159" i="3"/>
  <c r="H159" i="3" s="1"/>
  <c r="G272" i="3"/>
  <c r="G164" i="3"/>
  <c r="H164" i="3" s="1"/>
  <c r="G382" i="3"/>
  <c r="H382" i="3" s="1"/>
  <c r="I382" i="3" s="1"/>
  <c r="Y382" i="3" s="1"/>
  <c r="G410" i="3"/>
  <c r="H410" i="3" s="1"/>
  <c r="I410" i="3" s="1"/>
  <c r="J410" i="3" s="1"/>
  <c r="G287" i="3"/>
  <c r="H287" i="3" s="1"/>
  <c r="H364" i="3"/>
  <c r="I364" i="3" s="1"/>
  <c r="G286" i="3"/>
  <c r="G292" i="3"/>
  <c r="H328" i="3"/>
  <c r="H394" i="3"/>
  <c r="H275" i="3"/>
  <c r="H162" i="3"/>
  <c r="H272" i="3"/>
  <c r="I272" i="3" s="1"/>
  <c r="AL272" i="3" s="1"/>
  <c r="H403" i="3"/>
  <c r="I403" i="3" s="1"/>
  <c r="H337" i="3"/>
  <c r="F416" i="3"/>
  <c r="G416" i="3" s="1"/>
  <c r="F323" i="3"/>
  <c r="G323" i="3" s="1"/>
  <c r="H323" i="3" s="1"/>
  <c r="G334" i="3"/>
  <c r="G398" i="3"/>
  <c r="H398" i="3" s="1"/>
  <c r="I398" i="3" s="1"/>
  <c r="G351" i="3"/>
  <c r="H351" i="3" s="1"/>
  <c r="I351" i="3" s="1"/>
  <c r="G411" i="3"/>
  <c r="H411" i="3" s="1"/>
  <c r="I411" i="3" s="1"/>
  <c r="AL411" i="3" s="1"/>
  <c r="H335" i="3"/>
  <c r="I335" i="3" s="1"/>
  <c r="I328" i="3"/>
  <c r="Y328" i="3" s="1"/>
  <c r="G325" i="3"/>
  <c r="G273" i="3"/>
  <c r="H273" i="3" s="1"/>
  <c r="G341" i="3"/>
  <c r="H341" i="3" s="1"/>
  <c r="G357" i="3"/>
  <c r="H357" i="3" s="1"/>
  <c r="G378" i="3"/>
  <c r="H378" i="3" s="1"/>
  <c r="I378" i="3" s="1"/>
  <c r="Y378" i="3" s="1"/>
  <c r="H307" i="3"/>
  <c r="H362" i="3"/>
  <c r="H406" i="3"/>
  <c r="I406" i="3" s="1"/>
  <c r="I280" i="3"/>
  <c r="Y280" i="3" s="1"/>
  <c r="I308" i="3"/>
  <c r="AN308" i="3" s="1"/>
  <c r="H286" i="3"/>
  <c r="I286" i="3" s="1"/>
  <c r="AN286" i="3" s="1"/>
  <c r="G295" i="3"/>
  <c r="H295" i="3" s="1"/>
  <c r="I295" i="3" s="1"/>
  <c r="Y295" i="3" s="1"/>
  <c r="G327" i="3"/>
  <c r="H327" i="3" s="1"/>
  <c r="H309" i="3"/>
  <c r="G371" i="3"/>
  <c r="H371" i="3" s="1"/>
  <c r="I371" i="3" s="1"/>
  <c r="H277" i="3"/>
  <c r="I277" i="3" s="1"/>
  <c r="G343" i="3"/>
  <c r="H343" i="3" s="1"/>
  <c r="G301" i="3"/>
  <c r="H301" i="3" s="1"/>
  <c r="G348" i="3"/>
  <c r="H348" i="3" s="1"/>
  <c r="G405" i="3"/>
  <c r="H344" i="3"/>
  <c r="I344" i="3" s="1"/>
  <c r="J344" i="3" s="1"/>
  <c r="K344" i="3" s="1"/>
  <c r="G377" i="3"/>
  <c r="G412" i="3"/>
  <c r="H412" i="3" s="1"/>
  <c r="I412" i="3" s="1"/>
  <c r="AL412" i="3" s="1"/>
  <c r="G365" i="3"/>
  <c r="H365" i="3" s="1"/>
  <c r="G384" i="3"/>
  <c r="G298" i="3"/>
  <c r="H298" i="3" s="1"/>
  <c r="G345" i="3"/>
  <c r="H345" i="3" s="1"/>
  <c r="I345" i="3" s="1"/>
  <c r="G353" i="3"/>
  <c r="H353" i="3" s="1"/>
  <c r="G387" i="3"/>
  <c r="H387" i="3" s="1"/>
  <c r="I387" i="3" s="1"/>
  <c r="J387" i="3" s="1"/>
  <c r="G375" i="3"/>
  <c r="G153" i="3"/>
  <c r="H153" i="3" s="1"/>
  <c r="I342" i="3"/>
  <c r="J342" i="3" s="1"/>
  <c r="K342" i="3" s="1"/>
  <c r="G408" i="3"/>
  <c r="H408" i="3" s="1"/>
  <c r="G356" i="3"/>
  <c r="H356" i="3" s="1"/>
  <c r="G302" i="3"/>
  <c r="G322" i="3"/>
  <c r="H322" i="3" s="1"/>
  <c r="I322" i="3" s="1"/>
  <c r="AN322" i="3" s="1"/>
  <c r="G392" i="3"/>
  <c r="H392" i="3" s="1"/>
  <c r="I392" i="3" s="1"/>
  <c r="G154" i="3"/>
  <c r="H154" i="3" s="1"/>
  <c r="G170" i="3"/>
  <c r="H170" i="3" s="1"/>
  <c r="G332" i="3"/>
  <c r="H332" i="3" s="1"/>
  <c r="I332" i="3" s="1"/>
  <c r="AL332" i="3" s="1"/>
  <c r="G404" i="3"/>
  <c r="H404" i="3" s="1"/>
  <c r="I404" i="3" s="1"/>
  <c r="G290" i="3"/>
  <c r="H290" i="3" s="1"/>
  <c r="I290" i="3" s="1"/>
  <c r="H381" i="3"/>
  <c r="I381" i="3" s="1"/>
  <c r="F360" i="3"/>
  <c r="G360" i="3" s="1"/>
  <c r="G372" i="3"/>
  <c r="G167" i="3"/>
  <c r="H167" i="3" s="1"/>
  <c r="F317" i="3"/>
  <c r="G321" i="3"/>
  <c r="F380" i="3"/>
  <c r="G380" i="3" s="1"/>
  <c r="H380" i="3" s="1"/>
  <c r="I380" i="3" s="1"/>
  <c r="Y380" i="3" s="1"/>
  <c r="G347" i="3"/>
  <c r="H347" i="3" s="1"/>
  <c r="G374" i="3"/>
  <c r="H374" i="3" s="1"/>
  <c r="I374" i="3" s="1"/>
  <c r="G373" i="3"/>
  <c r="H373" i="3" s="1"/>
  <c r="G303" i="3"/>
  <c r="I309" i="3"/>
  <c r="H319" i="3"/>
  <c r="I319" i="3" s="1"/>
  <c r="G363" i="3"/>
  <c r="H363" i="3" s="1"/>
  <c r="H366" i="3"/>
  <c r="I366" i="3" s="1"/>
  <c r="Y366" i="3" s="1"/>
  <c r="G402" i="3"/>
  <c r="H402" i="3" s="1"/>
  <c r="I402" i="3" s="1"/>
  <c r="G324" i="3"/>
  <c r="H324" i="3" s="1"/>
  <c r="G278" i="3"/>
  <c r="H367" i="3"/>
  <c r="I307" i="3"/>
  <c r="J307" i="3" s="1"/>
  <c r="G414" i="3"/>
  <c r="F370" i="3"/>
  <c r="G306" i="3"/>
  <c r="G354" i="3"/>
  <c r="H354" i="3" s="1"/>
  <c r="G389" i="3"/>
  <c r="H389" i="3" s="1"/>
  <c r="H316" i="3"/>
  <c r="I316" i="3" s="1"/>
  <c r="G281" i="3"/>
  <c r="F407" i="3"/>
  <c r="G407" i="3" s="1"/>
  <c r="G293" i="3"/>
  <c r="H293" i="3" s="1"/>
  <c r="H386" i="3"/>
  <c r="I386" i="3" s="1"/>
  <c r="F313" i="3"/>
  <c r="AN280" i="3"/>
  <c r="H279" i="3"/>
  <c r="H276" i="3"/>
  <c r="H296" i="3"/>
  <c r="H349" i="3"/>
  <c r="I349" i="3" s="1"/>
  <c r="Y349" i="3" s="1"/>
  <c r="H325" i="3"/>
  <c r="H302" i="3"/>
  <c r="I302" i="3" s="1"/>
  <c r="AL302" i="3" s="1"/>
  <c r="H372" i="3"/>
  <c r="I372" i="3" s="1"/>
  <c r="AN372" i="3" s="1"/>
  <c r="G338" i="3"/>
  <c r="I318" i="3"/>
  <c r="Y318" i="3" s="1"/>
  <c r="G395" i="3"/>
  <c r="H395" i="3" s="1"/>
  <c r="G283" i="3"/>
  <c r="H283" i="3" s="1"/>
  <c r="I283" i="3" s="1"/>
  <c r="F288" i="3"/>
  <c r="G288" i="3" s="1"/>
  <c r="G339" i="3"/>
  <c r="G331" i="3"/>
  <c r="H331" i="3" s="1"/>
  <c r="H310" i="3"/>
  <c r="F312" i="3"/>
  <c r="G315" i="3"/>
  <c r="G396" i="3"/>
  <c r="G399" i="3"/>
  <c r="G385" i="3"/>
  <c r="H385" i="3" s="1"/>
  <c r="I385" i="3" s="1"/>
  <c r="F400" i="3"/>
  <c r="G400" i="3" s="1"/>
  <c r="H400" i="3" s="1"/>
  <c r="G314" i="3"/>
  <c r="H314" i="3" s="1"/>
  <c r="G369" i="3"/>
  <c r="H369" i="3" s="1"/>
  <c r="AL318" i="3"/>
  <c r="J403" i="3"/>
  <c r="K403" i="3" s="1"/>
  <c r="G413" i="3"/>
  <c r="H413" i="3" s="1"/>
  <c r="G274" i="3"/>
  <c r="I275" i="3"/>
  <c r="AL275" i="3" s="1"/>
  <c r="I357" i="3"/>
  <c r="AN357" i="3" s="1"/>
  <c r="H377" i="3"/>
  <c r="I377" i="3" s="1"/>
  <c r="G326" i="3"/>
  <c r="H326" i="3" s="1"/>
  <c r="I394" i="3"/>
  <c r="J394" i="3" s="1"/>
  <c r="G352" i="3"/>
  <c r="G376" i="3"/>
  <c r="H376" i="3" s="1"/>
  <c r="G297" i="3"/>
  <c r="H294" i="3"/>
  <c r="G320" i="3"/>
  <c r="H350" i="3"/>
  <c r="I350" i="3" s="1"/>
  <c r="AN350" i="3" s="1"/>
  <c r="G166" i="3"/>
  <c r="H166" i="3" s="1"/>
  <c r="G346" i="3"/>
  <c r="H346" i="3" s="1"/>
  <c r="G379" i="3"/>
  <c r="H379" i="3" s="1"/>
  <c r="F299" i="3"/>
  <c r="G299" i="3" s="1"/>
  <c r="G370" i="3"/>
  <c r="I365" i="3"/>
  <c r="AL365" i="3" s="1"/>
  <c r="G358" i="3"/>
  <c r="H358" i="3" s="1"/>
  <c r="G155" i="3"/>
  <c r="H155" i="3" s="1"/>
  <c r="F300" i="3"/>
  <c r="G300" i="3" s="1"/>
  <c r="H300" i="3" s="1"/>
  <c r="G355" i="3"/>
  <c r="H355" i="3" s="1"/>
  <c r="H393" i="3"/>
  <c r="I393" i="3" s="1"/>
  <c r="F304" i="3"/>
  <c r="G304" i="3" s="1"/>
  <c r="F289" i="3"/>
  <c r="G388" i="3"/>
  <c r="H388" i="3" s="1"/>
  <c r="I388" i="3" s="1"/>
  <c r="J388" i="3" s="1"/>
  <c r="I400" i="3"/>
  <c r="AN400" i="3" s="1"/>
  <c r="G336" i="3"/>
  <c r="G390" i="3"/>
  <c r="G161" i="3"/>
  <c r="H161" i="3" s="1"/>
  <c r="F284" i="3"/>
  <c r="F361" i="3"/>
  <c r="G172" i="3"/>
  <c r="H172" i="3" s="1"/>
  <c r="Y335" i="3"/>
  <c r="AN335" i="3"/>
  <c r="AL335" i="3"/>
  <c r="G330" i="3"/>
  <c r="G409" i="3"/>
  <c r="H359" i="3"/>
  <c r="I359" i="3" s="1"/>
  <c r="H391" i="3"/>
  <c r="I391" i="3" s="1"/>
  <c r="J391" i="3" s="1"/>
  <c r="K391" i="3" s="1"/>
  <c r="H285" i="3"/>
  <c r="J328" i="3"/>
  <c r="H281" i="3"/>
  <c r="I281" i="3"/>
  <c r="AL309" i="3"/>
  <c r="I276" i="3"/>
  <c r="AN276" i="3" s="1"/>
  <c r="H329" i="3"/>
  <c r="AL328" i="3"/>
  <c r="I362" i="3"/>
  <c r="Y362" i="3" s="1"/>
  <c r="AN382" i="3"/>
  <c r="H292" i="3"/>
  <c r="H383" i="3"/>
  <c r="I383" i="3" s="1"/>
  <c r="AN383" i="3" s="1"/>
  <c r="L342" i="3"/>
  <c r="M342" i="3" s="1"/>
  <c r="N342" i="3" s="1"/>
  <c r="H305" i="3"/>
  <c r="AN332" i="3"/>
  <c r="Y332" i="3"/>
  <c r="I337" i="3"/>
  <c r="AL337" i="3" s="1"/>
  <c r="Y275" i="3"/>
  <c r="J332" i="3"/>
  <c r="H291" i="3"/>
  <c r="I291" i="3" s="1"/>
  <c r="AN291" i="3" s="1"/>
  <c r="AL364" i="3"/>
  <c r="J364" i="3"/>
  <c r="K364" i="3" s="1"/>
  <c r="Y364" i="3"/>
  <c r="H405" i="3"/>
  <c r="I405" i="3" s="1"/>
  <c r="H311" i="3"/>
  <c r="K328" i="3"/>
  <c r="L328" i="3" s="1"/>
  <c r="H368" i="3"/>
  <c r="Y307" i="3"/>
  <c r="J309" i="3"/>
  <c r="AN309" i="3"/>
  <c r="Y340" i="3"/>
  <c r="H282" i="3"/>
  <c r="J340" i="3"/>
  <c r="H415" i="3"/>
  <c r="H401" i="3"/>
  <c r="H333" i="3"/>
  <c r="J382" i="3"/>
  <c r="K382" i="3"/>
  <c r="AL382" i="3"/>
  <c r="AN342" i="3"/>
  <c r="AL342" i="3"/>
  <c r="AM342" i="3" s="1"/>
  <c r="AN364" i="3"/>
  <c r="Y410" i="3"/>
  <c r="AN328" i="3"/>
  <c r="AN410" i="3"/>
  <c r="Y309" i="3"/>
  <c r="AL340" i="3"/>
  <c r="AL410" i="3"/>
  <c r="I367" i="3"/>
  <c r="K410" i="3"/>
  <c r="L410" i="3" s="1"/>
  <c r="I397" i="3"/>
  <c r="Y397" i="3" s="1"/>
  <c r="F9" i="3"/>
  <c r="G9" i="3" s="1"/>
  <c r="I314" i="3" l="1"/>
  <c r="Y314" i="3" s="1"/>
  <c r="AN391" i="3"/>
  <c r="Y391" i="3"/>
  <c r="AL391" i="3"/>
  <c r="I287" i="3"/>
  <c r="J287" i="3" s="1"/>
  <c r="L391" i="3"/>
  <c r="M391" i="3" s="1"/>
  <c r="AN394" i="3"/>
  <c r="I353" i="3"/>
  <c r="AL362" i="3"/>
  <c r="J335" i="3"/>
  <c r="H416" i="3"/>
  <c r="I416" i="3"/>
  <c r="Y277" i="3"/>
  <c r="AN277" i="3"/>
  <c r="I323" i="3"/>
  <c r="Y323" i="3" s="1"/>
  <c r="AL323" i="3"/>
  <c r="AN323" i="3"/>
  <c r="AL403" i="3"/>
  <c r="I343" i="3"/>
  <c r="AL343" i="3" s="1"/>
  <c r="Y394" i="3"/>
  <c r="AN318" i="3"/>
  <c r="AN403" i="3"/>
  <c r="J280" i="3"/>
  <c r="K280" i="3" s="1"/>
  <c r="AL280" i="3"/>
  <c r="Y345" i="3"/>
  <c r="AL357" i="3"/>
  <c r="L403" i="3"/>
  <c r="M403" i="3" s="1"/>
  <c r="N403" i="3" s="1"/>
  <c r="Z403" i="3" s="1"/>
  <c r="AA403" i="3" s="1"/>
  <c r="Y308" i="3"/>
  <c r="Y343" i="3"/>
  <c r="L344" i="3"/>
  <c r="AN345" i="3"/>
  <c r="AL359" i="3"/>
  <c r="I279" i="3"/>
  <c r="Y279" i="3" s="1"/>
  <c r="AL308" i="3"/>
  <c r="I347" i="3"/>
  <c r="Y347" i="3" s="1"/>
  <c r="Y403" i="3"/>
  <c r="I301" i="3"/>
  <c r="AN301" i="3" s="1"/>
  <c r="Y286" i="3"/>
  <c r="AL394" i="3"/>
  <c r="AL345" i="3"/>
  <c r="I356" i="3"/>
  <c r="AN356" i="3" s="1"/>
  <c r="J347" i="3"/>
  <c r="K347" i="3" s="1"/>
  <c r="L347" i="3" s="1"/>
  <c r="AN287" i="3"/>
  <c r="J345" i="3"/>
  <c r="K345" i="3" s="1"/>
  <c r="L345" i="3" s="1"/>
  <c r="I358" i="3"/>
  <c r="AL358" i="3" s="1"/>
  <c r="I324" i="3"/>
  <c r="J324" i="3" s="1"/>
  <c r="AN366" i="3"/>
  <c r="AL286" i="3"/>
  <c r="J353" i="3"/>
  <c r="J286" i="3"/>
  <c r="K286" i="3" s="1"/>
  <c r="J308" i="3"/>
  <c r="K308" i="3" s="1"/>
  <c r="L308" i="3" s="1"/>
  <c r="I346" i="3"/>
  <c r="J346" i="3" s="1"/>
  <c r="H288" i="3"/>
  <c r="I288" i="3" s="1"/>
  <c r="AN377" i="3"/>
  <c r="J377" i="3"/>
  <c r="Y377" i="3"/>
  <c r="Y290" i="3"/>
  <c r="J290" i="3"/>
  <c r="AN290" i="3"/>
  <c r="I408" i="3"/>
  <c r="AL408" i="3" s="1"/>
  <c r="I376" i="3"/>
  <c r="AN376" i="3" s="1"/>
  <c r="J376" i="3"/>
  <c r="AL402" i="3"/>
  <c r="Y402" i="3"/>
  <c r="I373" i="3"/>
  <c r="Y373" i="3" s="1"/>
  <c r="H360" i="3"/>
  <c r="I360" i="3" s="1"/>
  <c r="AN406" i="3"/>
  <c r="Y406" i="3"/>
  <c r="J406" i="3"/>
  <c r="K406" i="3" s="1"/>
  <c r="L406" i="3" s="1"/>
  <c r="AL406" i="3"/>
  <c r="AN319" i="3"/>
  <c r="AL319" i="3"/>
  <c r="J319" i="3"/>
  <c r="Y319" i="3"/>
  <c r="AL381" i="3"/>
  <c r="AN381" i="3"/>
  <c r="Y381" i="3"/>
  <c r="J381" i="3"/>
  <c r="K381" i="3" s="1"/>
  <c r="L381" i="3" s="1"/>
  <c r="M381" i="3" s="1"/>
  <c r="J348" i="3"/>
  <c r="K348" i="3" s="1"/>
  <c r="I348" i="3"/>
  <c r="AL348" i="3" s="1"/>
  <c r="J357" i="3"/>
  <c r="I355" i="3"/>
  <c r="AN355" i="3" s="1"/>
  <c r="AL393" i="3"/>
  <c r="I293" i="3"/>
  <c r="G317" i="3"/>
  <c r="H317" i="3" s="1"/>
  <c r="Y357" i="3"/>
  <c r="Y365" i="3"/>
  <c r="AL350" i="3"/>
  <c r="Y302" i="3"/>
  <c r="I379" i="3"/>
  <c r="Y379" i="3" s="1"/>
  <c r="I341" i="3"/>
  <c r="Y344" i="3"/>
  <c r="H297" i="3"/>
  <c r="I297" i="3" s="1"/>
  <c r="AL314" i="3"/>
  <c r="J365" i="3"/>
  <c r="K365" i="3" s="1"/>
  <c r="L365" i="3" s="1"/>
  <c r="M365" i="3" s="1"/>
  <c r="H321" i="3"/>
  <c r="I321" i="3" s="1"/>
  <c r="H384" i="3"/>
  <c r="Y342" i="3"/>
  <c r="Z342" i="3" s="1"/>
  <c r="AA342" i="3" s="1"/>
  <c r="J350" i="3"/>
  <c r="AL388" i="3"/>
  <c r="H274" i="3"/>
  <c r="I274" i="3" s="1"/>
  <c r="J393" i="3"/>
  <c r="K393" i="3" s="1"/>
  <c r="H278" i="3"/>
  <c r="I278" i="3" s="1"/>
  <c r="Y278" i="3" s="1"/>
  <c r="H407" i="3"/>
  <c r="H375" i="3"/>
  <c r="H303" i="3"/>
  <c r="I303" i="3" s="1"/>
  <c r="I298" i="3"/>
  <c r="H334" i="3"/>
  <c r="AN293" i="3"/>
  <c r="J293" i="3"/>
  <c r="AL293" i="3"/>
  <c r="I363" i="3"/>
  <c r="Y363" i="3" s="1"/>
  <c r="K394" i="3"/>
  <c r="L394" i="3" s="1"/>
  <c r="AL386" i="3"/>
  <c r="AN386" i="3"/>
  <c r="Y386" i="3"/>
  <c r="J386" i="3"/>
  <c r="Y392" i="3"/>
  <c r="AL392" i="3"/>
  <c r="AN392" i="3"/>
  <c r="J392" i="3"/>
  <c r="K392" i="3" s="1"/>
  <c r="AN316" i="3"/>
  <c r="AL316" i="3"/>
  <c r="H320" i="3"/>
  <c r="I320" i="3" s="1"/>
  <c r="J400" i="3"/>
  <c r="I296" i="3"/>
  <c r="J296" i="3" s="1"/>
  <c r="AL322" i="3"/>
  <c r="I325" i="3"/>
  <c r="Y325" i="3" s="1"/>
  <c r="AN379" i="3"/>
  <c r="AN324" i="3"/>
  <c r="J380" i="3"/>
  <c r="J316" i="3"/>
  <c r="J412" i="3"/>
  <c r="L412" i="3" s="1"/>
  <c r="M412" i="3" s="1"/>
  <c r="N412" i="3" s="1"/>
  <c r="AN275" i="3"/>
  <c r="I331" i="3"/>
  <c r="J331" i="3" s="1"/>
  <c r="AN278" i="3"/>
  <c r="J374" i="3"/>
  <c r="K374" i="3" s="1"/>
  <c r="Y374" i="3"/>
  <c r="Y359" i="3"/>
  <c r="AN302" i="3"/>
  <c r="J322" i="3"/>
  <c r="H409" i="3"/>
  <c r="H414" i="3"/>
  <c r="I414" i="3" s="1"/>
  <c r="J314" i="3"/>
  <c r="K314" i="3" s="1"/>
  <c r="J302" i="3"/>
  <c r="H390" i="3"/>
  <c r="H299" i="3"/>
  <c r="I299" i="3" s="1"/>
  <c r="I294" i="3"/>
  <c r="Y294" i="3" s="1"/>
  <c r="AN388" i="3"/>
  <c r="I300" i="3"/>
  <c r="Y322" i="3"/>
  <c r="I395" i="3"/>
  <c r="Y395" i="3" s="1"/>
  <c r="K290" i="3"/>
  <c r="L290" i="3" s="1"/>
  <c r="AL347" i="3"/>
  <c r="AL290" i="3"/>
  <c r="AL277" i="3"/>
  <c r="AO342" i="3"/>
  <c r="AP342" i="3" s="1"/>
  <c r="AN374" i="3"/>
  <c r="Y348" i="3"/>
  <c r="J277" i="3"/>
  <c r="Y316" i="3"/>
  <c r="L364" i="3"/>
  <c r="M364" i="3" s="1"/>
  <c r="AL380" i="3"/>
  <c r="J275" i="3"/>
  <c r="AL374" i="3"/>
  <c r="AL307" i="3"/>
  <c r="AL377" i="3"/>
  <c r="H306" i="3"/>
  <c r="I306" i="3" s="1"/>
  <c r="J306" i="3" s="1"/>
  <c r="K306" i="3" s="1"/>
  <c r="AN359" i="3"/>
  <c r="AL372" i="3"/>
  <c r="K357" i="3"/>
  <c r="G361" i="3"/>
  <c r="H361" i="3" s="1"/>
  <c r="I361" i="3" s="1"/>
  <c r="G284" i="3"/>
  <c r="G289" i="3"/>
  <c r="AL353" i="3"/>
  <c r="H396" i="3"/>
  <c r="AN344" i="3"/>
  <c r="I310" i="3"/>
  <c r="AN310" i="3" s="1"/>
  <c r="H315" i="3"/>
  <c r="J318" i="3"/>
  <c r="AN314" i="3"/>
  <c r="H338" i="3"/>
  <c r="I338" i="3" s="1"/>
  <c r="AL338" i="3" s="1"/>
  <c r="Y299" i="3"/>
  <c r="G313" i="3"/>
  <c r="H313" i="3" s="1"/>
  <c r="K388" i="3"/>
  <c r="L388" i="3" s="1"/>
  <c r="H339" i="3"/>
  <c r="J402" i="3"/>
  <c r="K402" i="3" s="1"/>
  <c r="K277" i="3"/>
  <c r="L277" i="3" s="1"/>
  <c r="M277" i="3" s="1"/>
  <c r="AL324" i="3"/>
  <c r="AL278" i="3"/>
  <c r="AN362" i="3"/>
  <c r="AN307" i="3"/>
  <c r="AN348" i="3"/>
  <c r="Y346" i="3"/>
  <c r="Y293" i="3"/>
  <c r="J411" i="3"/>
  <c r="K411" i="3" s="1"/>
  <c r="K307" i="3"/>
  <c r="L307" i="3" s="1"/>
  <c r="Y411" i="3"/>
  <c r="J373" i="3"/>
  <c r="K373" i="3" s="1"/>
  <c r="K319" i="3"/>
  <c r="L319" i="3" s="1"/>
  <c r="M319" i="3" s="1"/>
  <c r="N319" i="3" s="1"/>
  <c r="J359" i="3"/>
  <c r="K359" i="3" s="1"/>
  <c r="L359" i="3" s="1"/>
  <c r="H336" i="3"/>
  <c r="H304" i="3"/>
  <c r="AL400" i="3"/>
  <c r="H330" i="3"/>
  <c r="I330" i="3" s="1"/>
  <c r="Y330" i="3" s="1"/>
  <c r="Y388" i="3"/>
  <c r="H399" i="3"/>
  <c r="AN365" i="3"/>
  <c r="AO365" i="3" s="1"/>
  <c r="AP365" i="3" s="1"/>
  <c r="G312" i="3"/>
  <c r="AL344" i="3"/>
  <c r="Y350" i="3"/>
  <c r="H352" i="3"/>
  <c r="Y393" i="3"/>
  <c r="I369" i="3"/>
  <c r="AN369" i="3" s="1"/>
  <c r="Y400" i="3"/>
  <c r="AN393" i="3"/>
  <c r="H370" i="3"/>
  <c r="AN402" i="3"/>
  <c r="AL299" i="3"/>
  <c r="AL363" i="3"/>
  <c r="AN404" i="3"/>
  <c r="J404" i="3"/>
  <c r="K404" i="3" s="1"/>
  <c r="L404" i="3" s="1"/>
  <c r="AL405" i="3"/>
  <c r="Y405" i="3"/>
  <c r="J405" i="3"/>
  <c r="M344" i="3"/>
  <c r="I282" i="3"/>
  <c r="M328" i="3"/>
  <c r="AL291" i="3"/>
  <c r="N365" i="3"/>
  <c r="AM365" i="3" s="1"/>
  <c r="J372" i="3"/>
  <c r="K372" i="3" s="1"/>
  <c r="L372" i="3" s="1"/>
  <c r="M372" i="3" s="1"/>
  <c r="Y372" i="3"/>
  <c r="AN358" i="3"/>
  <c r="Y358" i="3"/>
  <c r="J358" i="3"/>
  <c r="AN378" i="3"/>
  <c r="AL378" i="3"/>
  <c r="J378" i="3"/>
  <c r="AL416" i="3"/>
  <c r="J416" i="3"/>
  <c r="Y416" i="3"/>
  <c r="AN416" i="3"/>
  <c r="J281" i="3"/>
  <c r="Y281" i="3"/>
  <c r="AL281" i="3"/>
  <c r="AN281" i="3"/>
  <c r="AL366" i="3"/>
  <c r="J366" i="3"/>
  <c r="K366" i="3" s="1"/>
  <c r="L366" i="3" s="1"/>
  <c r="I285" i="3"/>
  <c r="Y285" i="3" s="1"/>
  <c r="AL279" i="3"/>
  <c r="AN367" i="3"/>
  <c r="AL367" i="3"/>
  <c r="Y367" i="3"/>
  <c r="J367" i="3"/>
  <c r="K367" i="3" s="1"/>
  <c r="AN371" i="3"/>
  <c r="AL371" i="3"/>
  <c r="J371" i="3"/>
  <c r="K371" i="3" s="1"/>
  <c r="L371" i="3" s="1"/>
  <c r="M371" i="3" s="1"/>
  <c r="Y371" i="3"/>
  <c r="Y385" i="3"/>
  <c r="AL385" i="3"/>
  <c r="AN385" i="3"/>
  <c r="J385" i="3"/>
  <c r="I333" i="3"/>
  <c r="AN333" i="3" s="1"/>
  <c r="AN405" i="3"/>
  <c r="AN397" i="3"/>
  <c r="Y404" i="3"/>
  <c r="M410" i="3"/>
  <c r="N410" i="3" s="1"/>
  <c r="Z410" i="3" s="1"/>
  <c r="AA410" i="3" s="1"/>
  <c r="L348" i="3"/>
  <c r="M348" i="3" s="1"/>
  <c r="N348" i="3" s="1"/>
  <c r="J272" i="3"/>
  <c r="K332" i="3"/>
  <c r="Y383" i="3"/>
  <c r="AL383" i="3"/>
  <c r="M307" i="3"/>
  <c r="AN411" i="3"/>
  <c r="J291" i="3"/>
  <c r="J337" i="3"/>
  <c r="K337" i="3" s="1"/>
  <c r="K387" i="3"/>
  <c r="L387" i="3" s="1"/>
  <c r="M387" i="3" s="1"/>
  <c r="N387" i="3" s="1"/>
  <c r="K412" i="3"/>
  <c r="AL387" i="3"/>
  <c r="Y337" i="3"/>
  <c r="J343" i="3"/>
  <c r="J362" i="3"/>
  <c r="J397" i="3"/>
  <c r="AN349" i="3"/>
  <c r="J383" i="3"/>
  <c r="I415" i="3"/>
  <c r="AN415" i="3" s="1"/>
  <c r="I326" i="3"/>
  <c r="Y326" i="3" s="1"/>
  <c r="AL397" i="3"/>
  <c r="Y272" i="3"/>
  <c r="J351" i="3"/>
  <c r="K351" i="3" s="1"/>
  <c r="Y291" i="3"/>
  <c r="K324" i="3"/>
  <c r="AN387" i="3"/>
  <c r="AN337" i="3"/>
  <c r="M345" i="3"/>
  <c r="N345" i="3" s="1"/>
  <c r="L382" i="3"/>
  <c r="Y351" i="3"/>
  <c r="K309" i="3"/>
  <c r="K316" i="3"/>
  <c r="L316" i="3" s="1"/>
  <c r="J349" i="3"/>
  <c r="AL404" i="3"/>
  <c r="AN398" i="3"/>
  <c r="AL398" i="3"/>
  <c r="J398" i="3"/>
  <c r="Y398" i="3"/>
  <c r="AN272" i="3"/>
  <c r="AN351" i="3"/>
  <c r="I305" i="3"/>
  <c r="K353" i="3"/>
  <c r="I292" i="3"/>
  <c r="AN292" i="3" s="1"/>
  <c r="I329" i="3"/>
  <c r="AN329" i="3" s="1"/>
  <c r="I327" i="3"/>
  <c r="J327" i="3" s="1"/>
  <c r="I354" i="3"/>
  <c r="AL276" i="3"/>
  <c r="Y276" i="3"/>
  <c r="AN412" i="3"/>
  <c r="I413" i="3"/>
  <c r="Y413" i="3" s="1"/>
  <c r="K343" i="3"/>
  <c r="L343" i="3" s="1"/>
  <c r="M343" i="3" s="1"/>
  <c r="N343" i="3" s="1"/>
  <c r="L402" i="3"/>
  <c r="AL349" i="3"/>
  <c r="L314" i="3"/>
  <c r="AQ342" i="3"/>
  <c r="AR342" i="3"/>
  <c r="M347" i="3"/>
  <c r="AL333" i="3"/>
  <c r="I401" i="3"/>
  <c r="AN401" i="3" s="1"/>
  <c r="AL351" i="3"/>
  <c r="K397" i="3"/>
  <c r="L397" i="3" s="1"/>
  <c r="J295" i="3"/>
  <c r="AL295" i="3"/>
  <c r="AN295" i="3"/>
  <c r="Z345" i="3"/>
  <c r="AA345" i="3" s="1"/>
  <c r="I311" i="3"/>
  <c r="K380" i="3"/>
  <c r="I389" i="3"/>
  <c r="J389" i="3" s="1"/>
  <c r="N364" i="3"/>
  <c r="Z364" i="3" s="1"/>
  <c r="AA364" i="3" s="1"/>
  <c r="AN380" i="3"/>
  <c r="K340" i="3"/>
  <c r="AL283" i="3"/>
  <c r="AN283" i="3"/>
  <c r="J283" i="3"/>
  <c r="N328" i="3"/>
  <c r="AM328" i="3" s="1"/>
  <c r="AL327" i="3"/>
  <c r="Y283" i="3"/>
  <c r="J276" i="3"/>
  <c r="AN306" i="3"/>
  <c r="AL306" i="3"/>
  <c r="Y412" i="3"/>
  <c r="I273" i="3"/>
  <c r="J273" i="3" s="1"/>
  <c r="K273" i="3" s="1"/>
  <c r="L273" i="3" s="1"/>
  <c r="Y387" i="3"/>
  <c r="AN343" i="3"/>
  <c r="I368" i="3"/>
  <c r="J368" i="3" s="1"/>
  <c r="H9" i="3"/>
  <c r="I9" i="3" s="1"/>
  <c r="D106" i="3"/>
  <c r="D93" i="3"/>
  <c r="D16" i="3"/>
  <c r="D270" i="3"/>
  <c r="D112" i="3"/>
  <c r="D44" i="3"/>
  <c r="D257" i="3"/>
  <c r="D41" i="3"/>
  <c r="D243" i="3"/>
  <c r="D94" i="3"/>
  <c r="D134" i="3"/>
  <c r="D181" i="3"/>
  <c r="D234" i="3"/>
  <c r="D10" i="3"/>
  <c r="D193" i="3"/>
  <c r="D236" i="3"/>
  <c r="D75" i="3"/>
  <c r="D107" i="3"/>
  <c r="D32" i="3"/>
  <c r="D251" i="3"/>
  <c r="D13" i="3"/>
  <c r="D40" i="3"/>
  <c r="D99" i="3"/>
  <c r="D256" i="3"/>
  <c r="D260" i="3"/>
  <c r="D111" i="3"/>
  <c r="D212" i="3"/>
  <c r="D130" i="3"/>
  <c r="D68" i="3"/>
  <c r="D139" i="3"/>
  <c r="D138" i="3"/>
  <c r="D83" i="3"/>
  <c r="D14" i="3"/>
  <c r="D46" i="3"/>
  <c r="D27" i="3"/>
  <c r="D224" i="3"/>
  <c r="D202" i="3"/>
  <c r="D29" i="3"/>
  <c r="D137" i="3"/>
  <c r="D67" i="3"/>
  <c r="D177" i="3"/>
  <c r="D189" i="3"/>
  <c r="D197" i="3"/>
  <c r="D223" i="3"/>
  <c r="D216" i="3"/>
  <c r="D255" i="3"/>
  <c r="D18" i="3"/>
  <c r="D90" i="3"/>
  <c r="D228" i="3"/>
  <c r="D230" i="3"/>
  <c r="D232" i="3"/>
  <c r="D195" i="3"/>
  <c r="D19" i="3"/>
  <c r="D215" i="3"/>
  <c r="D208" i="3"/>
  <c r="D249" i="3"/>
  <c r="D179" i="3"/>
  <c r="D190" i="3"/>
  <c r="D266" i="3"/>
  <c r="D97" i="3"/>
  <c r="D108" i="3"/>
  <c r="D92" i="3"/>
  <c r="D182" i="3"/>
  <c r="D89" i="3"/>
  <c r="D135" i="3"/>
  <c r="D49" i="3"/>
  <c r="D8" i="3"/>
  <c r="D73" i="3"/>
  <c r="D245" i="3"/>
  <c r="D241" i="3"/>
  <c r="D22" i="3"/>
  <c r="D33" i="3"/>
  <c r="D220" i="3"/>
  <c r="D61" i="3"/>
  <c r="D268" i="3"/>
  <c r="D238" i="3"/>
  <c r="D95" i="3"/>
  <c r="D211" i="3"/>
  <c r="D176" i="3"/>
  <c r="D37" i="3"/>
  <c r="D222" i="3"/>
  <c r="D23" i="3"/>
  <c r="D237" i="3"/>
  <c r="D115" i="3"/>
  <c r="D69" i="3"/>
  <c r="D79" i="3"/>
  <c r="D204" i="3"/>
  <c r="D199" i="3"/>
  <c r="D30" i="3"/>
  <c r="D54" i="3"/>
  <c r="D136" i="3"/>
  <c r="D45" i="3"/>
  <c r="D63" i="3"/>
  <c r="D200" i="3"/>
  <c r="D175" i="3"/>
  <c r="D196" i="3"/>
  <c r="D191" i="3"/>
  <c r="D142" i="3"/>
  <c r="D225" i="3"/>
  <c r="D72" i="3"/>
  <c r="D91" i="3"/>
  <c r="D84" i="3"/>
  <c r="D132" i="3"/>
  <c r="D62" i="3"/>
  <c r="D246" i="3"/>
  <c r="D187" i="3"/>
  <c r="D121" i="3"/>
  <c r="D31" i="3"/>
  <c r="D265" i="3"/>
  <c r="D235" i="3"/>
  <c r="D227" i="3"/>
  <c r="D102" i="3"/>
  <c r="D110" i="3"/>
  <c r="D104" i="3"/>
  <c r="D185" i="3"/>
  <c r="D186" i="3"/>
  <c r="D231" i="3"/>
  <c r="D213" i="3"/>
  <c r="D113" i="3"/>
  <c r="D254" i="3"/>
  <c r="D71" i="3"/>
  <c r="D17" i="3"/>
  <c r="D125" i="3"/>
  <c r="D25" i="3"/>
  <c r="D11" i="3"/>
  <c r="D188" i="3"/>
  <c r="D240" i="3"/>
  <c r="D129" i="3"/>
  <c r="D131" i="3"/>
  <c r="D217" i="3"/>
  <c r="D226" i="3"/>
  <c r="D264" i="3"/>
  <c r="D192" i="3"/>
  <c r="D123" i="3"/>
  <c r="D248" i="3"/>
  <c r="D28" i="3"/>
  <c r="D122" i="3"/>
  <c r="D34" i="3"/>
  <c r="D210" i="3"/>
  <c r="D261" i="3"/>
  <c r="D47" i="3"/>
  <c r="D59" i="3"/>
  <c r="D109" i="3"/>
  <c r="D229" i="3"/>
  <c r="D96" i="3"/>
  <c r="D21" i="3"/>
  <c r="D174" i="3"/>
  <c r="D20" i="3"/>
  <c r="D119" i="3"/>
  <c r="D271" i="3"/>
  <c r="D56" i="3"/>
  <c r="D38" i="3"/>
  <c r="D98" i="3"/>
  <c r="D78" i="3"/>
  <c r="D133" i="3"/>
  <c r="D15" i="3"/>
  <c r="D128" i="3"/>
  <c r="D55" i="3"/>
  <c r="D267" i="3"/>
  <c r="D5" i="3"/>
  <c r="D53" i="3"/>
  <c r="D269" i="3"/>
  <c r="D205" i="3"/>
  <c r="D42" i="3"/>
  <c r="D262" i="3"/>
  <c r="D70" i="3"/>
  <c r="D206" i="3"/>
  <c r="D52" i="3"/>
  <c r="D184" i="3"/>
  <c r="D144" i="3"/>
  <c r="D105" i="3"/>
  <c r="D64" i="3"/>
  <c r="D118" i="3"/>
  <c r="D82" i="3"/>
  <c r="D103" i="3"/>
  <c r="D203" i="3"/>
  <c r="D247" i="3"/>
  <c r="D36" i="3"/>
  <c r="D39" i="3"/>
  <c r="D244" i="3"/>
  <c r="D80" i="3"/>
  <c r="D114" i="3"/>
  <c r="D120" i="3"/>
  <c r="D24" i="3"/>
  <c r="D127" i="3"/>
  <c r="D43" i="3"/>
  <c r="D77" i="3"/>
  <c r="D250" i="3"/>
  <c r="D66" i="3"/>
  <c r="D58" i="3"/>
  <c r="D65" i="3"/>
  <c r="D140" i="3"/>
  <c r="D76" i="3"/>
  <c r="D51" i="3"/>
  <c r="D50" i="3"/>
  <c r="D74" i="3"/>
  <c r="D60" i="3"/>
  <c r="D87" i="3"/>
  <c r="D242" i="3"/>
  <c r="D233" i="3"/>
  <c r="D35" i="3"/>
  <c r="D88" i="3"/>
  <c r="D12" i="3"/>
  <c r="D57" i="3"/>
  <c r="D218" i="3"/>
  <c r="D253" i="3"/>
  <c r="D124" i="3"/>
  <c r="D6" i="3"/>
  <c r="D252" i="3"/>
  <c r="D194" i="3"/>
  <c r="D85" i="3"/>
  <c r="D239" i="3"/>
  <c r="D141" i="3"/>
  <c r="D259" i="3"/>
  <c r="D4" i="3"/>
  <c r="D48" i="3"/>
  <c r="D219" i="3"/>
  <c r="D198" i="3"/>
  <c r="D86" i="3"/>
  <c r="D81" i="3"/>
  <c r="D101" i="3"/>
  <c r="D207" i="3"/>
  <c r="D126" i="3"/>
  <c r="D201" i="3"/>
  <c r="D183" i="3"/>
  <c r="D263" i="3"/>
  <c r="D117" i="3"/>
  <c r="D209" i="3"/>
  <c r="D221" i="3"/>
  <c r="D214" i="3"/>
  <c r="D258" i="3"/>
  <c r="D116" i="3"/>
  <c r="D178" i="3"/>
  <c r="D180" i="3"/>
  <c r="D143" i="3"/>
  <c r="D173" i="3"/>
  <c r="D7" i="3"/>
  <c r="L286" i="3" l="1"/>
  <c r="M286" i="3"/>
  <c r="N286" i="3" s="1"/>
  <c r="L393" i="3"/>
  <c r="Y301" i="3"/>
  <c r="J301" i="3"/>
  <c r="K301" i="3" s="1"/>
  <c r="AL301" i="3"/>
  <c r="K335" i="3"/>
  <c r="K287" i="3"/>
  <c r="Y353" i="3"/>
  <c r="AN353" i="3"/>
  <c r="AL296" i="3"/>
  <c r="AO403" i="3"/>
  <c r="AP403" i="3" s="1"/>
  <c r="AQ403" i="3" s="1"/>
  <c r="AL287" i="3"/>
  <c r="Y287" i="3"/>
  <c r="Y296" i="3"/>
  <c r="J415" i="3"/>
  <c r="K415" i="3" s="1"/>
  <c r="M366" i="3"/>
  <c r="K296" i="3"/>
  <c r="L296" i="3" s="1"/>
  <c r="AN296" i="3"/>
  <c r="AR403" i="3"/>
  <c r="AL415" i="3"/>
  <c r="L324" i="3"/>
  <c r="M324" i="3" s="1"/>
  <c r="L392" i="3"/>
  <c r="M392" i="3" s="1"/>
  <c r="J363" i="3"/>
  <c r="K363" i="3" s="1"/>
  <c r="AL294" i="3"/>
  <c r="AN325" i="3"/>
  <c r="AM403" i="3"/>
  <c r="AL356" i="3"/>
  <c r="Y356" i="3"/>
  <c r="AL414" i="3"/>
  <c r="K377" i="3"/>
  <c r="L377" i="3" s="1"/>
  <c r="M377" i="3" s="1"/>
  <c r="M406" i="3"/>
  <c r="Y331" i="3"/>
  <c r="J414" i="3"/>
  <c r="K414" i="3" s="1"/>
  <c r="L414" i="3" s="1"/>
  <c r="J379" i="3"/>
  <c r="K379" i="3" s="1"/>
  <c r="AL331" i="3"/>
  <c r="K383" i="3"/>
  <c r="L373" i="3"/>
  <c r="M373" i="3" s="1"/>
  <c r="J395" i="3"/>
  <c r="K395" i="3" s="1"/>
  <c r="L395" i="3" s="1"/>
  <c r="M395" i="3" s="1"/>
  <c r="N395" i="3" s="1"/>
  <c r="Z395" i="3" s="1"/>
  <c r="AA395" i="3" s="1"/>
  <c r="AN395" i="3"/>
  <c r="Z365" i="3"/>
  <c r="AA365" i="3" s="1"/>
  <c r="Y338" i="3"/>
  <c r="AL376" i="3"/>
  <c r="AN299" i="3"/>
  <c r="J325" i="3"/>
  <c r="AN346" i="3"/>
  <c r="AL373" i="3"/>
  <c r="J356" i="3"/>
  <c r="K356" i="3" s="1"/>
  <c r="AN347" i="3"/>
  <c r="AN279" i="3"/>
  <c r="AO410" i="3"/>
  <c r="AP410" i="3" s="1"/>
  <c r="AQ410" i="3" s="1"/>
  <c r="L356" i="3"/>
  <c r="AN331" i="3"/>
  <c r="AL395" i="3"/>
  <c r="J369" i="3"/>
  <c r="AN363" i="3"/>
  <c r="Y324" i="3"/>
  <c r="AN414" i="3"/>
  <c r="J279" i="3"/>
  <c r="K279" i="3" s="1"/>
  <c r="L279" i="3" s="1"/>
  <c r="M279" i="3" s="1"/>
  <c r="AL379" i="3"/>
  <c r="M359" i="3"/>
  <c r="N359" i="3" s="1"/>
  <c r="AM410" i="3"/>
  <c r="AN327" i="3"/>
  <c r="AO319" i="3"/>
  <c r="AP319" i="3" s="1"/>
  <c r="AL346" i="3"/>
  <c r="J323" i="3"/>
  <c r="K323" i="3" s="1"/>
  <c r="Y360" i="3"/>
  <c r="J360" i="3"/>
  <c r="K360" i="3" s="1"/>
  <c r="AN360" i="3"/>
  <c r="AL360" i="3"/>
  <c r="J303" i="3"/>
  <c r="K303" i="3" s="1"/>
  <c r="Y274" i="3"/>
  <c r="J274" i="3"/>
  <c r="AN274" i="3"/>
  <c r="AL274" i="3"/>
  <c r="J297" i="3"/>
  <c r="Y297" i="3"/>
  <c r="AN297" i="3"/>
  <c r="AL297" i="3"/>
  <c r="J288" i="3"/>
  <c r="K288" i="3" s="1"/>
  <c r="L288" i="3" s="1"/>
  <c r="AL288" i="3"/>
  <c r="Y288" i="3"/>
  <c r="AN288" i="3"/>
  <c r="AN320" i="3"/>
  <c r="Y320" i="3"/>
  <c r="AN321" i="3"/>
  <c r="J321" i="3"/>
  <c r="K321" i="3" s="1"/>
  <c r="K346" i="3"/>
  <c r="L346" i="3"/>
  <c r="M346" i="3" s="1"/>
  <c r="N346" i="3" s="1"/>
  <c r="AL369" i="3"/>
  <c r="L363" i="3"/>
  <c r="M363" i="3" s="1"/>
  <c r="N363" i="3" s="1"/>
  <c r="M388" i="3"/>
  <c r="AM319" i="3"/>
  <c r="AN338" i="3"/>
  <c r="AL320" i="3"/>
  <c r="I407" i="3"/>
  <c r="AL407" i="3" s="1"/>
  <c r="K376" i="3"/>
  <c r="L376" i="3" s="1"/>
  <c r="I384" i="3"/>
  <c r="Y384" i="3" s="1"/>
  <c r="J408" i="3"/>
  <c r="AL325" i="3"/>
  <c r="I375" i="3"/>
  <c r="K350" i="3"/>
  <c r="L350" i="3" s="1"/>
  <c r="AL321" i="3"/>
  <c r="Y321" i="3"/>
  <c r="I334" i="3"/>
  <c r="Y376" i="3"/>
  <c r="AN408" i="3"/>
  <c r="M394" i="3"/>
  <c r="N394" i="3" s="1"/>
  <c r="J298" i="3"/>
  <c r="AL298" i="3"/>
  <c r="Y298" i="3"/>
  <c r="AN298" i="3"/>
  <c r="K298" i="3"/>
  <c r="L321" i="3"/>
  <c r="M321" i="3" s="1"/>
  <c r="N321" i="3" s="1"/>
  <c r="I317" i="3"/>
  <c r="J317" i="3" s="1"/>
  <c r="K317" i="3" s="1"/>
  <c r="Y355" i="3"/>
  <c r="J355" i="3"/>
  <c r="K355" i="3" s="1"/>
  <c r="L355" i="3" s="1"/>
  <c r="M355" i="3" s="1"/>
  <c r="AL355" i="3"/>
  <c r="AN373" i="3"/>
  <c r="Y408" i="3"/>
  <c r="Y303" i="3"/>
  <c r="AL303" i="3"/>
  <c r="AN303" i="3"/>
  <c r="J341" i="3"/>
  <c r="K341" i="3" s="1"/>
  <c r="L341" i="3" s="1"/>
  <c r="AN341" i="3"/>
  <c r="AL341" i="3"/>
  <c r="Y341" i="3"/>
  <c r="J278" i="3"/>
  <c r="I409" i="3"/>
  <c r="K400" i="3"/>
  <c r="L400" i="3"/>
  <c r="K386" i="3"/>
  <c r="L386" i="3" s="1"/>
  <c r="J305" i="3"/>
  <c r="Y305" i="3"/>
  <c r="AL361" i="3"/>
  <c r="K322" i="3"/>
  <c r="L322" i="3" s="1"/>
  <c r="Y306" i="3"/>
  <c r="J282" i="3"/>
  <c r="K282" i="3" s="1"/>
  <c r="L282" i="3" s="1"/>
  <c r="Y282" i="3"/>
  <c r="J361" i="3"/>
  <c r="K361" i="3" s="1"/>
  <c r="L361" i="3" s="1"/>
  <c r="M361" i="3" s="1"/>
  <c r="K275" i="3"/>
  <c r="L275" i="3" s="1"/>
  <c r="M275" i="3"/>
  <c r="L374" i="3"/>
  <c r="M374" i="3" s="1"/>
  <c r="N374" i="3" s="1"/>
  <c r="AO374" i="3" s="1"/>
  <c r="AP374" i="3" s="1"/>
  <c r="K293" i="3"/>
  <c r="L293" i="3" s="1"/>
  <c r="AL300" i="3"/>
  <c r="J300" i="3"/>
  <c r="K300" i="3" s="1"/>
  <c r="Y300" i="3"/>
  <c r="AN300" i="3"/>
  <c r="H312" i="3"/>
  <c r="I312" i="3" s="1"/>
  <c r="J312" i="3" s="1"/>
  <c r="I336" i="3"/>
  <c r="AN336" i="3" s="1"/>
  <c r="AN330" i="3"/>
  <c r="K302" i="3"/>
  <c r="L302" i="3" s="1"/>
  <c r="AN354" i="3"/>
  <c r="Y354" i="3"/>
  <c r="AL282" i="3"/>
  <c r="AN282" i="3"/>
  <c r="M393" i="3"/>
  <c r="K369" i="3"/>
  <c r="L369" i="3" s="1"/>
  <c r="M369" i="3" s="1"/>
  <c r="I399" i="3"/>
  <c r="I339" i="3"/>
  <c r="AL339" i="3" s="1"/>
  <c r="K318" i="3"/>
  <c r="L318" i="3" s="1"/>
  <c r="L357" i="3"/>
  <c r="I352" i="3"/>
  <c r="J352" i="3" s="1"/>
  <c r="K352" i="3" s="1"/>
  <c r="I304" i="3"/>
  <c r="J304" i="3" s="1"/>
  <c r="K304" i="3" s="1"/>
  <c r="L304" i="3" s="1"/>
  <c r="I315" i="3"/>
  <c r="I396" i="3"/>
  <c r="AN396" i="3" s="1"/>
  <c r="Y369" i="3"/>
  <c r="L280" i="3"/>
  <c r="I390" i="3"/>
  <c r="J390" i="3" s="1"/>
  <c r="Z319" i="3"/>
  <c r="AA319" i="3" s="1"/>
  <c r="AL330" i="3"/>
  <c r="J330" i="3"/>
  <c r="K330" i="3" s="1"/>
  <c r="I313" i="3"/>
  <c r="AL313" i="3" s="1"/>
  <c r="Y310" i="3"/>
  <c r="J310" i="3"/>
  <c r="K310" i="3" s="1"/>
  <c r="AL310" i="3"/>
  <c r="H289" i="3"/>
  <c r="I289" i="3" s="1"/>
  <c r="H284" i="3"/>
  <c r="Y361" i="3"/>
  <c r="AN361" i="3"/>
  <c r="Y414" i="3"/>
  <c r="J294" i="3"/>
  <c r="AN294" i="3"/>
  <c r="J299" i="3"/>
  <c r="J338" i="3"/>
  <c r="I370" i="3"/>
  <c r="J320" i="3"/>
  <c r="M357" i="3"/>
  <c r="L301" i="3"/>
  <c r="M301" i="3" s="1"/>
  <c r="N301" i="3" s="1"/>
  <c r="N406" i="3"/>
  <c r="Z406" i="3" s="1"/>
  <c r="AA406" i="3" s="1"/>
  <c r="AM406" i="3"/>
  <c r="L380" i="3"/>
  <c r="M380" i="3" s="1"/>
  <c r="N380" i="3" s="1"/>
  <c r="K349" i="3"/>
  <c r="L349" i="3" s="1"/>
  <c r="M349" i="3" s="1"/>
  <c r="AM343" i="3"/>
  <c r="N307" i="3"/>
  <c r="AO307" i="3" s="1"/>
  <c r="AP307" i="3" s="1"/>
  <c r="AQ307" i="3" s="1"/>
  <c r="Z307" i="3"/>
  <c r="AA307" i="3" s="1"/>
  <c r="K274" i="3"/>
  <c r="J285" i="3"/>
  <c r="K285" i="3" s="1"/>
  <c r="L285" i="3" s="1"/>
  <c r="AN285" i="3"/>
  <c r="AL285" i="3"/>
  <c r="K281" i="3"/>
  <c r="K416" i="3"/>
  <c r="L416" i="3"/>
  <c r="M416" i="3" s="1"/>
  <c r="K378" i="3"/>
  <c r="L378" i="3" s="1"/>
  <c r="M378" i="3" s="1"/>
  <c r="K358" i="3"/>
  <c r="L358" i="3" s="1"/>
  <c r="N372" i="3"/>
  <c r="AO372" i="3" s="1"/>
  <c r="AP372" i="3" s="1"/>
  <c r="N344" i="3"/>
  <c r="Z344" i="3" s="1"/>
  <c r="AA344" i="3" s="1"/>
  <c r="K405" i="3"/>
  <c r="L405" i="3" s="1"/>
  <c r="Z387" i="3"/>
  <c r="AA387" i="3" s="1"/>
  <c r="N392" i="3"/>
  <c r="Z392" i="3" s="1"/>
  <c r="AA392" i="3" s="1"/>
  <c r="AM412" i="3"/>
  <c r="L306" i="3"/>
  <c r="M306" i="3" s="1"/>
  <c r="N306" i="3" s="1"/>
  <c r="AM306" i="3" s="1"/>
  <c r="AM286" i="3"/>
  <c r="Z286" i="3"/>
  <c r="AA286" i="3" s="1"/>
  <c r="AO286" i="3"/>
  <c r="AP286" i="3" s="1"/>
  <c r="N381" i="3"/>
  <c r="AO381" i="3" s="1"/>
  <c r="AP381" i="3" s="1"/>
  <c r="AM348" i="3"/>
  <c r="AO348" i="3"/>
  <c r="AP348" i="3" s="1"/>
  <c r="Z348" i="3"/>
  <c r="AA348" i="3" s="1"/>
  <c r="M273" i="3"/>
  <c r="N273" i="3" s="1"/>
  <c r="AN273" i="3"/>
  <c r="AL273" i="3"/>
  <c r="K331" i="3"/>
  <c r="K283" i="3"/>
  <c r="Y311" i="3"/>
  <c r="AO328" i="3"/>
  <c r="AP328" i="3" s="1"/>
  <c r="AO394" i="3"/>
  <c r="AP394" i="3" s="1"/>
  <c r="AM394" i="3"/>
  <c r="L360" i="3"/>
  <c r="AL292" i="3"/>
  <c r="AL311" i="3"/>
  <c r="AO387" i="3"/>
  <c r="AP387" i="3" s="1"/>
  <c r="N347" i="3"/>
  <c r="AM347" i="3" s="1"/>
  <c r="Z394" i="3"/>
  <c r="AA394" i="3" s="1"/>
  <c r="L411" i="3"/>
  <c r="K272" i="3"/>
  <c r="L272" i="3" s="1"/>
  <c r="M272" i="3" s="1"/>
  <c r="M316" i="3"/>
  <c r="M290" i="3"/>
  <c r="N290" i="3" s="1"/>
  <c r="AM290" i="3" s="1"/>
  <c r="AN413" i="3"/>
  <c r="N355" i="3"/>
  <c r="AO355" i="3" s="1"/>
  <c r="AP355" i="3" s="1"/>
  <c r="N277" i="3"/>
  <c r="Z277" i="3" s="1"/>
  <c r="AA277" i="3" s="1"/>
  <c r="AN368" i="3"/>
  <c r="AO412" i="3"/>
  <c r="AP412" i="3" s="1"/>
  <c r="J354" i="3"/>
  <c r="K354" i="3" s="1"/>
  <c r="AL354" i="3"/>
  <c r="Y327" i="3"/>
  <c r="AL329" i="3"/>
  <c r="Y329" i="3"/>
  <c r="J292" i="3"/>
  <c r="K292" i="3" s="1"/>
  <c r="M308" i="3"/>
  <c r="N308" i="3" s="1"/>
  <c r="AO308" i="3" s="1"/>
  <c r="AP308" i="3" s="1"/>
  <c r="J311" i="3"/>
  <c r="M382" i="3"/>
  <c r="L340" i="3"/>
  <c r="M397" i="3"/>
  <c r="L337" i="3"/>
  <c r="M337" i="3" s="1"/>
  <c r="K291" i="3"/>
  <c r="L291" i="3" s="1"/>
  <c r="AM345" i="3"/>
  <c r="Y333" i="3"/>
  <c r="M404" i="3"/>
  <c r="Y273" i="3"/>
  <c r="N371" i="3"/>
  <c r="Z371" i="3" s="1"/>
  <c r="AA371" i="3" s="1"/>
  <c r="J326" i="3"/>
  <c r="Z412" i="3"/>
  <c r="AA412" i="3" s="1"/>
  <c r="M282" i="3"/>
  <c r="N282" i="3" s="1"/>
  <c r="AO343" i="3"/>
  <c r="AP343" i="3" s="1"/>
  <c r="J329" i="3"/>
  <c r="Y368" i="3"/>
  <c r="K295" i="3"/>
  <c r="L295" i="3" s="1"/>
  <c r="AO364" i="3"/>
  <c r="AP364" i="3" s="1"/>
  <c r="Y292" i="3"/>
  <c r="K276" i="3"/>
  <c r="L276" i="3" s="1"/>
  <c r="K327" i="3"/>
  <c r="L327" i="3" s="1"/>
  <c r="K398" i="3"/>
  <c r="AN311" i="3"/>
  <c r="AL413" i="3"/>
  <c r="Y415" i="3"/>
  <c r="AO347" i="3"/>
  <c r="AP347" i="3" s="1"/>
  <c r="AM359" i="3"/>
  <c r="L353" i="3"/>
  <c r="J413" i="3"/>
  <c r="K413" i="3" s="1"/>
  <c r="L351" i="3"/>
  <c r="AM364" i="3"/>
  <c r="AO345" i="3"/>
  <c r="AP345" i="3" s="1"/>
  <c r="M402" i="3"/>
  <c r="AM387" i="3"/>
  <c r="AQ365" i="3"/>
  <c r="AR365" i="3"/>
  <c r="K385" i="3"/>
  <c r="L415" i="3"/>
  <c r="L367" i="3"/>
  <c r="AN389" i="3"/>
  <c r="K368" i="3"/>
  <c r="L368" i="3" s="1"/>
  <c r="M368" i="3" s="1"/>
  <c r="AL401" i="3"/>
  <c r="J401" i="3"/>
  <c r="Y401" i="3"/>
  <c r="Z343" i="3"/>
  <c r="AA343" i="3" s="1"/>
  <c r="AO359" i="3"/>
  <c r="AP359" i="3" s="1"/>
  <c r="Y389" i="3"/>
  <c r="AL389" i="3"/>
  <c r="AL305" i="3"/>
  <c r="K389" i="3"/>
  <c r="AN326" i="3"/>
  <c r="AL326" i="3"/>
  <c r="N391" i="3"/>
  <c r="Z391" i="3" s="1"/>
  <c r="AA391" i="3" s="1"/>
  <c r="M314" i="3"/>
  <c r="N314" i="3" s="1"/>
  <c r="N366" i="3"/>
  <c r="Z366" i="3" s="1"/>
  <c r="AA366" i="3" s="1"/>
  <c r="AN305" i="3"/>
  <c r="N316" i="3"/>
  <c r="AM316" i="3" s="1"/>
  <c r="L309" i="3"/>
  <c r="K362" i="3"/>
  <c r="Z328" i="3"/>
  <c r="AA328" i="3" s="1"/>
  <c r="J333" i="3"/>
  <c r="L332" i="3"/>
  <c r="AL368" i="3"/>
  <c r="M367" i="3"/>
  <c r="AL9" i="3"/>
  <c r="J9" i="3"/>
  <c r="K9" i="3" s="1"/>
  <c r="L9" i="3" s="1"/>
  <c r="Y9" i="3"/>
  <c r="AN9" i="3"/>
  <c r="E11" i="3"/>
  <c r="F11" i="3" s="1"/>
  <c r="E18" i="3"/>
  <c r="F18" i="3" s="1"/>
  <c r="G18" i="3" s="1"/>
  <c r="E30" i="3"/>
  <c r="F30" i="3" s="1"/>
  <c r="E28" i="3"/>
  <c r="F28" i="3" s="1"/>
  <c r="E239" i="3"/>
  <c r="F239" i="3" s="1"/>
  <c r="G239" i="3" s="1"/>
  <c r="E86" i="3"/>
  <c r="F86" i="3" s="1"/>
  <c r="G86" i="3" s="1"/>
  <c r="E199" i="3"/>
  <c r="F199" i="3" s="1"/>
  <c r="G199" i="3" s="1"/>
  <c r="E42" i="3"/>
  <c r="F42" i="3" s="1"/>
  <c r="E38" i="3"/>
  <c r="E33" i="3"/>
  <c r="F33" i="3" s="1"/>
  <c r="E34" i="3"/>
  <c r="F34" i="3" s="1"/>
  <c r="E10" i="3"/>
  <c r="F10" i="3" s="1"/>
  <c r="E36" i="3"/>
  <c r="F36" i="3" s="1"/>
  <c r="E8" i="3"/>
  <c r="F8" i="3" s="1"/>
  <c r="E187" i="3"/>
  <c r="F187" i="3" s="1"/>
  <c r="E114" i="3"/>
  <c r="F114" i="3" s="1"/>
  <c r="E78" i="3"/>
  <c r="F78" i="3" s="1"/>
  <c r="E22" i="3"/>
  <c r="F22" i="3" s="1"/>
  <c r="E20" i="3"/>
  <c r="F20" i="3" s="1"/>
  <c r="E14" i="3"/>
  <c r="F14" i="3" s="1"/>
  <c r="G14" i="3" s="1"/>
  <c r="E227" i="3"/>
  <c r="F227" i="3" s="1"/>
  <c r="E189" i="3"/>
  <c r="F189" i="3" s="1"/>
  <c r="E41" i="3"/>
  <c r="F41" i="3" s="1"/>
  <c r="E15" i="3"/>
  <c r="F15" i="3" s="1"/>
  <c r="G15" i="3" s="1"/>
  <c r="E23" i="3"/>
  <c r="F23" i="3" s="1"/>
  <c r="E24" i="3"/>
  <c r="E21" i="3"/>
  <c r="F21" i="3" s="1"/>
  <c r="G21" i="3" s="1"/>
  <c r="E4" i="3"/>
  <c r="F4" i="3" s="1"/>
  <c r="E7" i="3"/>
  <c r="F7" i="3" s="1"/>
  <c r="G7" i="3" s="1"/>
  <c r="E45" i="3"/>
  <c r="F45" i="3" s="1"/>
  <c r="E39" i="3"/>
  <c r="F39" i="3" s="1"/>
  <c r="E37" i="3"/>
  <c r="F37" i="3" s="1"/>
  <c r="G37" i="3" s="1"/>
  <c r="E19" i="3"/>
  <c r="F19" i="3" s="1"/>
  <c r="E13" i="3"/>
  <c r="E35" i="3"/>
  <c r="F35" i="3" s="1"/>
  <c r="E25" i="3"/>
  <c r="F25" i="3" s="1"/>
  <c r="E245" i="3"/>
  <c r="F245" i="3" s="1"/>
  <c r="E224" i="3"/>
  <c r="F224" i="3" s="1"/>
  <c r="G224" i="3" s="1"/>
  <c r="E75" i="3"/>
  <c r="F75" i="3" s="1"/>
  <c r="E265" i="3"/>
  <c r="F265" i="3" s="1"/>
  <c r="E99" i="3"/>
  <c r="F99" i="3" s="1"/>
  <c r="E129" i="3"/>
  <c r="E110" i="3"/>
  <c r="F110" i="3" s="1"/>
  <c r="G110" i="3" s="1"/>
  <c r="E250" i="3"/>
  <c r="F250" i="3" s="1"/>
  <c r="G250" i="3" s="1"/>
  <c r="E193" i="3"/>
  <c r="E216" i="3"/>
  <c r="F216" i="3" s="1"/>
  <c r="E55" i="3"/>
  <c r="E113" i="3"/>
  <c r="E236" i="3"/>
  <c r="F236" i="3" s="1"/>
  <c r="E267" i="3"/>
  <c r="F267" i="3" s="1"/>
  <c r="G267" i="3" s="1"/>
  <c r="E217" i="3"/>
  <c r="F217" i="3" s="1"/>
  <c r="E105" i="3"/>
  <c r="F105" i="3" s="1"/>
  <c r="G105" i="3" s="1"/>
  <c r="E133" i="3"/>
  <c r="F133" i="3" s="1"/>
  <c r="E124" i="3"/>
  <c r="F124" i="3" s="1"/>
  <c r="E260" i="3"/>
  <c r="F260" i="3" s="1"/>
  <c r="G260" i="3" s="1"/>
  <c r="E126" i="3"/>
  <c r="F126" i="3" s="1"/>
  <c r="E176" i="3"/>
  <c r="F176" i="3" s="1"/>
  <c r="G176" i="3" s="1"/>
  <c r="E203" i="3"/>
  <c r="F203" i="3" s="1"/>
  <c r="E222" i="3"/>
  <c r="F222" i="3" s="1"/>
  <c r="E117" i="3"/>
  <c r="E233" i="3"/>
  <c r="F233" i="3" s="1"/>
  <c r="E263" i="3"/>
  <c r="F263" i="3" s="1"/>
  <c r="E178" i="3"/>
  <c r="F178" i="3" s="1"/>
  <c r="E202" i="3"/>
  <c r="F202" i="3" s="1"/>
  <c r="E230" i="3"/>
  <c r="F230" i="3" s="1"/>
  <c r="E266" i="3"/>
  <c r="E141" i="3"/>
  <c r="F141" i="3" s="1"/>
  <c r="G141" i="3" s="1"/>
  <c r="E205" i="3"/>
  <c r="E56" i="3"/>
  <c r="F56" i="3" s="1"/>
  <c r="G56" i="3" s="1"/>
  <c r="E104" i="3"/>
  <c r="E119" i="3"/>
  <c r="F119" i="3" s="1"/>
  <c r="G119" i="3" s="1"/>
  <c r="E251" i="3"/>
  <c r="F251" i="3" s="1"/>
  <c r="E197" i="3"/>
  <c r="F197" i="3" s="1"/>
  <c r="E51" i="3"/>
  <c r="E238" i="3"/>
  <c r="E212" i="3"/>
  <c r="E59" i="3"/>
  <c r="E241" i="3"/>
  <c r="E262" i="3"/>
  <c r="E137" i="3"/>
  <c r="E184" i="3"/>
  <c r="F184" i="3" s="1"/>
  <c r="E225" i="3"/>
  <c r="E46" i="3"/>
  <c r="E63" i="3"/>
  <c r="E87" i="3"/>
  <c r="E248" i="3"/>
  <c r="F248" i="3" s="1"/>
  <c r="E142" i="3"/>
  <c r="E204" i="3"/>
  <c r="F204" i="3" s="1"/>
  <c r="E40" i="3"/>
  <c r="E29" i="3"/>
  <c r="E12" i="3"/>
  <c r="E27" i="3"/>
  <c r="E16" i="3"/>
  <c r="E31" i="3"/>
  <c r="E17" i="3"/>
  <c r="E32" i="3"/>
  <c r="E5" i="3"/>
  <c r="F5" i="3" s="1"/>
  <c r="G5" i="3" s="1"/>
  <c r="E220" i="3"/>
  <c r="E64" i="3"/>
  <c r="F64" i="3" s="1"/>
  <c r="E268" i="3"/>
  <c r="F268" i="3" s="1"/>
  <c r="E101" i="3"/>
  <c r="E96" i="3"/>
  <c r="F96" i="3" s="1"/>
  <c r="E234" i="3"/>
  <c r="E132" i="3"/>
  <c r="F132" i="3" s="1"/>
  <c r="G132" i="3" s="1"/>
  <c r="E200" i="3"/>
  <c r="E54" i="3"/>
  <c r="E115" i="3"/>
  <c r="E256" i="3"/>
  <c r="F256" i="3" s="1"/>
  <c r="E175" i="3"/>
  <c r="E218" i="3"/>
  <c r="F218" i="3" s="1"/>
  <c r="E80" i="3"/>
  <c r="F80" i="3" s="1"/>
  <c r="E246" i="3"/>
  <c r="F246" i="3" s="1"/>
  <c r="G246" i="3" s="1"/>
  <c r="E242" i="3"/>
  <c r="E143" i="3"/>
  <c r="F143" i="3" s="1"/>
  <c r="G143" i="3" s="1"/>
  <c r="E136" i="3"/>
  <c r="E198" i="3"/>
  <c r="F198" i="3" s="1"/>
  <c r="G198" i="3" s="1"/>
  <c r="E206" i="3"/>
  <c r="E228" i="3"/>
  <c r="E58" i="3"/>
  <c r="E84" i="3"/>
  <c r="E85" i="3"/>
  <c r="E100" i="3"/>
  <c r="F100" i="3" s="1"/>
  <c r="G100" i="3" s="1"/>
  <c r="E116" i="3"/>
  <c r="E271" i="3"/>
  <c r="E231" i="3"/>
  <c r="F231" i="3" s="1"/>
  <c r="E243" i="3"/>
  <c r="F243" i="3" s="1"/>
  <c r="E140" i="3"/>
  <c r="F140" i="3" s="1"/>
  <c r="E174" i="3"/>
  <c r="E191" i="3"/>
  <c r="E210" i="3"/>
  <c r="E229" i="3"/>
  <c r="E66" i="3"/>
  <c r="E89" i="3"/>
  <c r="F89" i="3" s="1"/>
  <c r="E90" i="3"/>
  <c r="E109" i="3"/>
  <c r="F109" i="3" s="1"/>
  <c r="E121" i="3"/>
  <c r="E6" i="3"/>
  <c r="E244" i="3"/>
  <c r="E249" i="3"/>
  <c r="F249" i="3" s="1"/>
  <c r="G249" i="3" s="1"/>
  <c r="E269" i="3"/>
  <c r="F269" i="3" s="1"/>
  <c r="G269" i="3" s="1"/>
  <c r="H269" i="3" s="1"/>
  <c r="E135" i="3"/>
  <c r="E139" i="3"/>
  <c r="E173" i="3"/>
  <c r="E190" i="3"/>
  <c r="F190" i="3" s="1"/>
  <c r="E213" i="3"/>
  <c r="E223" i="3"/>
  <c r="E48" i="3"/>
  <c r="F48" i="3" s="1"/>
  <c r="E71" i="3"/>
  <c r="F71" i="3" s="1"/>
  <c r="E74" i="3"/>
  <c r="F74" i="3" s="1"/>
  <c r="E92" i="3"/>
  <c r="E107" i="3"/>
  <c r="F107" i="3" s="1"/>
  <c r="G107" i="3" s="1"/>
  <c r="H107" i="3" s="1"/>
  <c r="E53" i="3"/>
  <c r="F53" i="3" s="1"/>
  <c r="E270" i="3"/>
  <c r="E130" i="3"/>
  <c r="E194" i="3"/>
  <c r="F194" i="3" s="1"/>
  <c r="G194" i="3" s="1"/>
  <c r="E52" i="3"/>
  <c r="F52" i="3" s="1"/>
  <c r="E111" i="3"/>
  <c r="F111" i="3" s="1"/>
  <c r="E240" i="3"/>
  <c r="F240" i="3" s="1"/>
  <c r="E215" i="3"/>
  <c r="F215" i="3" s="1"/>
  <c r="E81" i="3"/>
  <c r="F81" i="3" s="1"/>
  <c r="E258" i="3"/>
  <c r="F258" i="3" s="1"/>
  <c r="G258" i="3" s="1"/>
  <c r="E180" i="3"/>
  <c r="E83" i="3"/>
  <c r="F83" i="3" s="1"/>
  <c r="E254" i="3"/>
  <c r="F254" i="3" s="1"/>
  <c r="G254" i="3" s="1"/>
  <c r="E253" i="3"/>
  <c r="F253" i="3" s="1"/>
  <c r="E127" i="3"/>
  <c r="F127" i="3" s="1"/>
  <c r="E183" i="3"/>
  <c r="F183" i="3" s="1"/>
  <c r="E177" i="3"/>
  <c r="F177" i="3" s="1"/>
  <c r="E188" i="3"/>
  <c r="E221" i="3"/>
  <c r="F221" i="3" s="1"/>
  <c r="E57" i="3"/>
  <c r="E68" i="3"/>
  <c r="F68" i="3" s="1"/>
  <c r="E108" i="3"/>
  <c r="F108" i="3" s="1"/>
  <c r="E118" i="3"/>
  <c r="E255" i="3"/>
  <c r="F255" i="3" s="1"/>
  <c r="E257" i="3"/>
  <c r="F257" i="3" s="1"/>
  <c r="E131" i="3"/>
  <c r="F131" i="3" s="1"/>
  <c r="E181" i="3"/>
  <c r="E192" i="3"/>
  <c r="F192" i="3" s="1"/>
  <c r="G192" i="3" s="1"/>
  <c r="E207" i="3"/>
  <c r="E43" i="3"/>
  <c r="E65" i="3"/>
  <c r="F65" i="3" s="1"/>
  <c r="G65" i="3" s="1"/>
  <c r="E72" i="3"/>
  <c r="E91" i="3"/>
  <c r="F91" i="3" s="1"/>
  <c r="G91" i="3" s="1"/>
  <c r="E94" i="3"/>
  <c r="E122" i="3"/>
  <c r="F122" i="3" s="1"/>
  <c r="E235" i="3"/>
  <c r="F235" i="3" s="1"/>
  <c r="G235" i="3" s="1"/>
  <c r="E247" i="3"/>
  <c r="E264" i="3"/>
  <c r="F264" i="3" s="1"/>
  <c r="E144" i="3"/>
  <c r="E182" i="3"/>
  <c r="E195" i="3"/>
  <c r="E219" i="3"/>
  <c r="F219" i="3" s="1"/>
  <c r="E49" i="3"/>
  <c r="F49" i="3" s="1"/>
  <c r="E60" i="3"/>
  <c r="E82" i="3"/>
  <c r="E97" i="3"/>
  <c r="E120" i="3"/>
  <c r="E61" i="3"/>
  <c r="E62" i="3"/>
  <c r="E73" i="3"/>
  <c r="F73" i="3" s="1"/>
  <c r="E112" i="3"/>
  <c r="F112" i="3" s="1"/>
  <c r="E102" i="3"/>
  <c r="E123" i="3"/>
  <c r="E232" i="3"/>
  <c r="E259" i="3"/>
  <c r="F259" i="3" s="1"/>
  <c r="E261" i="3"/>
  <c r="F261" i="3" s="1"/>
  <c r="G261" i="3" s="1"/>
  <c r="E185" i="3"/>
  <c r="E196" i="3"/>
  <c r="F196" i="3" s="1"/>
  <c r="E211" i="3"/>
  <c r="F211" i="3" s="1"/>
  <c r="G211" i="3" s="1"/>
  <c r="E47" i="3"/>
  <c r="E50" i="3"/>
  <c r="F50" i="3" s="1"/>
  <c r="E76" i="3"/>
  <c r="F76" i="3" s="1"/>
  <c r="G76" i="3" s="1"/>
  <c r="E95" i="3"/>
  <c r="F95" i="3" s="1"/>
  <c r="E98" i="3"/>
  <c r="E134" i="3"/>
  <c r="E138" i="3"/>
  <c r="E186" i="3"/>
  <c r="E209" i="3"/>
  <c r="F209" i="3" s="1"/>
  <c r="E226" i="3"/>
  <c r="F226" i="3" s="1"/>
  <c r="E44" i="3"/>
  <c r="E67" i="3"/>
  <c r="F67" i="3" s="1"/>
  <c r="E93" i="3"/>
  <c r="E88" i="3"/>
  <c r="E103" i="3"/>
  <c r="E125" i="3"/>
  <c r="E237" i="3"/>
  <c r="E252" i="3"/>
  <c r="F252" i="3" s="1"/>
  <c r="E128" i="3"/>
  <c r="E179" i="3"/>
  <c r="F179" i="3" s="1"/>
  <c r="E201" i="3"/>
  <c r="F201" i="3" s="1"/>
  <c r="E208" i="3"/>
  <c r="E214" i="3"/>
  <c r="F214" i="3" s="1"/>
  <c r="E69" i="3"/>
  <c r="E70" i="3"/>
  <c r="E77" i="3"/>
  <c r="F77" i="3" s="1"/>
  <c r="E79" i="3"/>
  <c r="F79" i="3" s="1"/>
  <c r="E106" i="3"/>
  <c r="F106" i="3" s="1"/>
  <c r="G106" i="3" s="1"/>
  <c r="AO363" i="3" l="1"/>
  <c r="AP363" i="3" s="1"/>
  <c r="L335" i="3"/>
  <c r="M335" i="3" s="1"/>
  <c r="N335" i="3"/>
  <c r="Z335" i="3" s="1"/>
  <c r="AA335" i="3" s="1"/>
  <c r="Z359" i="3"/>
  <c r="AA359" i="3" s="1"/>
  <c r="J407" i="3"/>
  <c r="L292" i="3"/>
  <c r="M292" i="3" s="1"/>
  <c r="M414" i="3"/>
  <c r="N414" i="3" s="1"/>
  <c r="AM308" i="3"/>
  <c r="Z363" i="3"/>
  <c r="AA363" i="3" s="1"/>
  <c r="AM380" i="3"/>
  <c r="AO346" i="3"/>
  <c r="AP346" i="3" s="1"/>
  <c r="AQ346" i="3" s="1"/>
  <c r="L274" i="3"/>
  <c r="M274" i="3" s="1"/>
  <c r="AO277" i="3"/>
  <c r="AP277" i="3" s="1"/>
  <c r="AM381" i="3"/>
  <c r="Y317" i="3"/>
  <c r="M296" i="3"/>
  <c r="N296" i="3" s="1"/>
  <c r="AO296" i="3" s="1"/>
  <c r="AP296" i="3" s="1"/>
  <c r="L287" i="3"/>
  <c r="M287" i="3"/>
  <c r="M356" i="3"/>
  <c r="K325" i="3"/>
  <c r="L325" i="3" s="1"/>
  <c r="M325" i="3" s="1"/>
  <c r="N325" i="3" s="1"/>
  <c r="AM325" i="3" s="1"/>
  <c r="K305" i="3"/>
  <c r="L305" i="3" s="1"/>
  <c r="M305" i="3" s="1"/>
  <c r="N305" i="3" s="1"/>
  <c r="L323" i="3"/>
  <c r="M323" i="3" s="1"/>
  <c r="AN304" i="3"/>
  <c r="Y352" i="3"/>
  <c r="N357" i="3"/>
  <c r="Z357" i="3" s="1"/>
  <c r="AA357" i="3" s="1"/>
  <c r="L303" i="3"/>
  <c r="M303" i="3" s="1"/>
  <c r="AL317" i="3"/>
  <c r="L383" i="3"/>
  <c r="M383" i="3" s="1"/>
  <c r="Z282" i="3"/>
  <c r="AA282" i="3" s="1"/>
  <c r="Z381" i="3"/>
  <c r="AA381" i="3" s="1"/>
  <c r="AM363" i="3"/>
  <c r="J336" i="3"/>
  <c r="K336" i="3" s="1"/>
  <c r="AR410" i="3"/>
  <c r="N377" i="3"/>
  <c r="L379" i="3"/>
  <c r="M379" i="3" s="1"/>
  <c r="N379" i="3" s="1"/>
  <c r="N275" i="3"/>
  <c r="AM275" i="3" s="1"/>
  <c r="AN384" i="3"/>
  <c r="AL304" i="3"/>
  <c r="AR319" i="3"/>
  <c r="AQ319" i="3"/>
  <c r="L317" i="3"/>
  <c r="M317" i="3" s="1"/>
  <c r="L310" i="3"/>
  <c r="M310" i="3" s="1"/>
  <c r="M376" i="3"/>
  <c r="N376" i="3" s="1"/>
  <c r="AN317" i="3"/>
  <c r="K278" i="3"/>
  <c r="L278" i="3" s="1"/>
  <c r="M278" i="3" s="1"/>
  <c r="N278" i="3" s="1"/>
  <c r="Z346" i="3"/>
  <c r="AA346" i="3" s="1"/>
  <c r="AR346" i="3"/>
  <c r="M341" i="3"/>
  <c r="N341" i="3" s="1"/>
  <c r="Z341" i="3" s="1"/>
  <c r="AA341" i="3" s="1"/>
  <c r="AN334" i="3"/>
  <c r="K408" i="3"/>
  <c r="L408" i="3" s="1"/>
  <c r="N388" i="3"/>
  <c r="Z388" i="3" s="1"/>
  <c r="AA388" i="3" s="1"/>
  <c r="AL375" i="3"/>
  <c r="L298" i="3"/>
  <c r="M298" i="3" s="1"/>
  <c r="AM371" i="3"/>
  <c r="AO406" i="3"/>
  <c r="AP406" i="3" s="1"/>
  <c r="AQ406" i="3" s="1"/>
  <c r="AR307" i="3"/>
  <c r="AM273" i="3"/>
  <c r="M358" i="3"/>
  <c r="N358" i="3" s="1"/>
  <c r="Z358" i="3" s="1"/>
  <c r="AA358" i="3" s="1"/>
  <c r="Y396" i="3"/>
  <c r="J396" i="3"/>
  <c r="Y336" i="3"/>
  <c r="Y312" i="3"/>
  <c r="J375" i="3"/>
  <c r="Y375" i="3"/>
  <c r="M350" i="3"/>
  <c r="N350" i="3" s="1"/>
  <c r="J334" i="3"/>
  <c r="K334" i="3" s="1"/>
  <c r="L334" i="3" s="1"/>
  <c r="AL334" i="3"/>
  <c r="AL384" i="3"/>
  <c r="J384" i="3"/>
  <c r="K297" i="3"/>
  <c r="L297" i="3" s="1"/>
  <c r="M297" i="3" s="1"/>
  <c r="N297" i="3" s="1"/>
  <c r="N303" i="3"/>
  <c r="Z303" i="3" s="1"/>
  <c r="AA303" i="3" s="1"/>
  <c r="AM321" i="3"/>
  <c r="AM346" i="3"/>
  <c r="AL336" i="3"/>
  <c r="AL312" i="3"/>
  <c r="Z321" i="3"/>
  <c r="AA321" i="3" s="1"/>
  <c r="AN375" i="3"/>
  <c r="Y334" i="3"/>
  <c r="Y407" i="3"/>
  <c r="AN407" i="3"/>
  <c r="K407" i="3"/>
  <c r="L407" i="3" s="1"/>
  <c r="AO321" i="3"/>
  <c r="AP321" i="3" s="1"/>
  <c r="M318" i="3"/>
  <c r="L330" i="3"/>
  <c r="M330" i="3" s="1"/>
  <c r="N330" i="3" s="1"/>
  <c r="AM330" i="3" s="1"/>
  <c r="AQ363" i="3"/>
  <c r="AR363" i="3"/>
  <c r="M293" i="3"/>
  <c r="N293" i="3" s="1"/>
  <c r="AM293" i="3" s="1"/>
  <c r="L300" i="3"/>
  <c r="M300" i="3" s="1"/>
  <c r="AO414" i="3"/>
  <c r="AP414" i="3" s="1"/>
  <c r="AM414" i="3"/>
  <c r="AN289" i="3"/>
  <c r="N361" i="3"/>
  <c r="Z361" i="3" s="1"/>
  <c r="AA361" i="3" s="1"/>
  <c r="M322" i="3"/>
  <c r="AL315" i="3"/>
  <c r="J315" i="3"/>
  <c r="K315" i="3" s="1"/>
  <c r="J399" i="3"/>
  <c r="AL399" i="3"/>
  <c r="Y399" i="3"/>
  <c r="AM301" i="3"/>
  <c r="Z273" i="3"/>
  <c r="AA273" i="3" s="1"/>
  <c r="M360" i="3"/>
  <c r="AO273" i="3"/>
  <c r="AP273" i="3" s="1"/>
  <c r="AR273" i="3" s="1"/>
  <c r="AM344" i="3"/>
  <c r="AM307" i="3"/>
  <c r="AN370" i="3"/>
  <c r="K294" i="3"/>
  <c r="AN313" i="3"/>
  <c r="J313" i="3"/>
  <c r="K396" i="3"/>
  <c r="M304" i="3"/>
  <c r="N304" i="3" s="1"/>
  <c r="Y304" i="3"/>
  <c r="AL352" i="3"/>
  <c r="AN352" i="3"/>
  <c r="L352" i="3"/>
  <c r="M352" i="3" s="1"/>
  <c r="J339" i="3"/>
  <c r="M280" i="3"/>
  <c r="N280" i="3" s="1"/>
  <c r="Y313" i="3"/>
  <c r="Y409" i="3"/>
  <c r="M386" i="3"/>
  <c r="M400" i="3"/>
  <c r="N400" i="3" s="1"/>
  <c r="AO400" i="3" s="1"/>
  <c r="AP400" i="3" s="1"/>
  <c r="AN409" i="3"/>
  <c r="K338" i="3"/>
  <c r="L338" i="3" s="1"/>
  <c r="M338" i="3" s="1"/>
  <c r="AO275" i="3"/>
  <c r="AP275" i="3" s="1"/>
  <c r="AQ275" i="3" s="1"/>
  <c r="AO290" i="3"/>
  <c r="AP290" i="3" s="1"/>
  <c r="AR290" i="3" s="1"/>
  <c r="AO304" i="3"/>
  <c r="AP304" i="3" s="1"/>
  <c r="AR304" i="3" s="1"/>
  <c r="Z275" i="3"/>
  <c r="AA275" i="3" s="1"/>
  <c r="AO301" i="3"/>
  <c r="AP301" i="3" s="1"/>
  <c r="AQ301" i="3" s="1"/>
  <c r="Z301" i="3"/>
  <c r="AA301" i="3" s="1"/>
  <c r="AO344" i="3"/>
  <c r="AP344" i="3" s="1"/>
  <c r="AR344" i="3" s="1"/>
  <c r="K320" i="3"/>
  <c r="K299" i="3"/>
  <c r="L299" i="3" s="1"/>
  <c r="Z414" i="3"/>
  <c r="AA414" i="3" s="1"/>
  <c r="AN315" i="3"/>
  <c r="K390" i="3"/>
  <c r="L390" i="3" s="1"/>
  <c r="M390" i="3" s="1"/>
  <c r="AL390" i="3"/>
  <c r="Y390" i="3"/>
  <c r="AN390" i="3"/>
  <c r="N318" i="3"/>
  <c r="Z318" i="3" s="1"/>
  <c r="AA318" i="3" s="1"/>
  <c r="AM318" i="3"/>
  <c r="AN399" i="3"/>
  <c r="M302" i="3"/>
  <c r="K312" i="3"/>
  <c r="N369" i="3"/>
  <c r="AM369" i="3" s="1"/>
  <c r="AL409" i="3"/>
  <c r="AM395" i="3"/>
  <c r="AO395" i="3"/>
  <c r="AP395" i="3" s="1"/>
  <c r="AQ395" i="3" s="1"/>
  <c r="Z380" i="3"/>
  <c r="AA380" i="3" s="1"/>
  <c r="AO282" i="3"/>
  <c r="AP282" i="3" s="1"/>
  <c r="AQ282" i="3" s="1"/>
  <c r="AO380" i="3"/>
  <c r="AP380" i="3" s="1"/>
  <c r="AR380" i="3" s="1"/>
  <c r="Y370" i="3"/>
  <c r="J370" i="3"/>
  <c r="K370" i="3" s="1"/>
  <c r="AL370" i="3"/>
  <c r="I284" i="3"/>
  <c r="AN284" i="3" s="1"/>
  <c r="J289" i="3"/>
  <c r="K289" i="3" s="1"/>
  <c r="Y289" i="3"/>
  <c r="AL289" i="3"/>
  <c r="AL396" i="3"/>
  <c r="Y315" i="3"/>
  <c r="Y339" i="3"/>
  <c r="AN339" i="3"/>
  <c r="K399" i="3"/>
  <c r="L399" i="3" s="1"/>
  <c r="N393" i="3"/>
  <c r="AO393" i="3" s="1"/>
  <c r="AP393" i="3" s="1"/>
  <c r="M288" i="3"/>
  <c r="N288" i="3" s="1"/>
  <c r="AN312" i="3"/>
  <c r="J409" i="3"/>
  <c r="N397" i="3"/>
  <c r="AM397" i="3" s="1"/>
  <c r="M405" i="3"/>
  <c r="N405" i="3" s="1"/>
  <c r="AQ372" i="3"/>
  <c r="AR372" i="3"/>
  <c r="Z372" i="3"/>
  <c r="AA372" i="3" s="1"/>
  <c r="AM372" i="3"/>
  <c r="AM358" i="3"/>
  <c r="N378" i="3"/>
  <c r="N416" i="3"/>
  <c r="AO416" i="3" s="1"/>
  <c r="AP416" i="3" s="1"/>
  <c r="L281" i="3"/>
  <c r="M285" i="3"/>
  <c r="Z285" i="3" s="1"/>
  <c r="AA285" i="3" s="1"/>
  <c r="N285" i="3"/>
  <c r="AO285" i="3" s="1"/>
  <c r="AP285" i="3" s="1"/>
  <c r="N279" i="3"/>
  <c r="AO376" i="3"/>
  <c r="AP376" i="3" s="1"/>
  <c r="M327" i="3"/>
  <c r="N327" i="3" s="1"/>
  <c r="AM327" i="3" s="1"/>
  <c r="M309" i="3"/>
  <c r="N309" i="3" s="1"/>
  <c r="AM309" i="3" s="1"/>
  <c r="AQ277" i="3"/>
  <c r="AR277" i="3"/>
  <c r="M353" i="3"/>
  <c r="AQ347" i="3"/>
  <c r="AR347" i="3"/>
  <c r="K401" i="3"/>
  <c r="L401" i="3" s="1"/>
  <c r="K326" i="3"/>
  <c r="L326" i="3" s="1"/>
  <c r="M326" i="3" s="1"/>
  <c r="N404" i="3"/>
  <c r="AM404" i="3" s="1"/>
  <c r="Z308" i="3"/>
  <c r="AA308" i="3" s="1"/>
  <c r="K329" i="3"/>
  <c r="L329" i="3" s="1"/>
  <c r="M329" i="3" s="1"/>
  <c r="AQ412" i="3"/>
  <c r="AR412" i="3"/>
  <c r="M276" i="3"/>
  <c r="Z316" i="3"/>
  <c r="AA316" i="3" s="1"/>
  <c r="AO391" i="3"/>
  <c r="AP391" i="3" s="1"/>
  <c r="AQ394" i="3"/>
  <c r="AR394" i="3"/>
  <c r="M351" i="3"/>
  <c r="N351" i="3" s="1"/>
  <c r="AO351" i="3" s="1"/>
  <c r="AP351" i="3" s="1"/>
  <c r="AM277" i="3"/>
  <c r="AO314" i="3"/>
  <c r="AP314" i="3" s="1"/>
  <c r="Z355" i="3"/>
  <c r="AA355" i="3" s="1"/>
  <c r="Z290" i="3"/>
  <c r="AA290" i="3" s="1"/>
  <c r="N367" i="3"/>
  <c r="AO367" i="3" s="1"/>
  <c r="AP367" i="3" s="1"/>
  <c r="AQ374" i="3"/>
  <c r="AR374" i="3"/>
  <c r="M415" i="3"/>
  <c r="AR275" i="3"/>
  <c r="N324" i="3"/>
  <c r="AM324" i="3" s="1"/>
  <c r="L398" i="3"/>
  <c r="M398" i="3" s="1"/>
  <c r="AO316" i="3"/>
  <c r="AP316" i="3" s="1"/>
  <c r="M295" i="3"/>
  <c r="N295" i="3" s="1"/>
  <c r="AO377" i="3"/>
  <c r="AP377" i="3" s="1"/>
  <c r="Z377" i="3"/>
  <c r="AA377" i="3" s="1"/>
  <c r="AM314" i="3"/>
  <c r="M291" i="3"/>
  <c r="N368" i="3"/>
  <c r="AO368" i="3" s="1"/>
  <c r="AP368" i="3" s="1"/>
  <c r="AQ304" i="3"/>
  <c r="Z314" i="3"/>
  <c r="AA314" i="3" s="1"/>
  <c r="AQ387" i="3"/>
  <c r="AR387" i="3"/>
  <c r="K311" i="3"/>
  <c r="L311" i="3" s="1"/>
  <c r="AQ348" i="3"/>
  <c r="AR348" i="3"/>
  <c r="N402" i="3"/>
  <c r="AO402" i="3" s="1"/>
  <c r="AP402" i="3" s="1"/>
  <c r="N276" i="3"/>
  <c r="Z276" i="3" s="1"/>
  <c r="AA276" i="3" s="1"/>
  <c r="N337" i="3"/>
  <c r="AM374" i="3"/>
  <c r="M332" i="3"/>
  <c r="N349" i="3"/>
  <c r="AM349" i="3" s="1"/>
  <c r="AQ345" i="3"/>
  <c r="AR345" i="3"/>
  <c r="AQ364" i="3"/>
  <c r="AR364" i="3"/>
  <c r="AQ343" i="3"/>
  <c r="AR343" i="3"/>
  <c r="L362" i="3"/>
  <c r="M362" i="3" s="1"/>
  <c r="M340" i="3"/>
  <c r="N340" i="3" s="1"/>
  <c r="AM340" i="3" s="1"/>
  <c r="N292" i="3"/>
  <c r="AM292" i="3" s="1"/>
  <c r="AO371" i="3"/>
  <c r="AP371" i="3" s="1"/>
  <c r="AQ355" i="3"/>
  <c r="AR355" i="3"/>
  <c r="L385" i="3"/>
  <c r="N272" i="3"/>
  <c r="AM272" i="3" s="1"/>
  <c r="AM282" i="3"/>
  <c r="L354" i="3"/>
  <c r="AQ380" i="3"/>
  <c r="L283" i="3"/>
  <c r="L331" i="3"/>
  <c r="Z306" i="3"/>
  <c r="AA306" i="3" s="1"/>
  <c r="M411" i="3"/>
  <c r="N353" i="3"/>
  <c r="AM353" i="3" s="1"/>
  <c r="AM391" i="3"/>
  <c r="AM392" i="3"/>
  <c r="N382" i="3"/>
  <c r="K333" i="3"/>
  <c r="L389" i="3"/>
  <c r="AM366" i="3"/>
  <c r="AO366" i="3"/>
  <c r="AP366" i="3" s="1"/>
  <c r="AQ359" i="3"/>
  <c r="AR359" i="3"/>
  <c r="Z374" i="3"/>
  <c r="AA374" i="3" s="1"/>
  <c r="AQ308" i="3"/>
  <c r="AR308" i="3"/>
  <c r="AR282" i="3"/>
  <c r="AM367" i="3"/>
  <c r="N373" i="3"/>
  <c r="L413" i="3"/>
  <c r="Z324" i="3"/>
  <c r="AA324" i="3" s="1"/>
  <c r="AM377" i="3"/>
  <c r="AQ328" i="3"/>
  <c r="AR328" i="3"/>
  <c r="AO306" i="3"/>
  <c r="AP306" i="3" s="1"/>
  <c r="AQ381" i="3"/>
  <c r="AR381" i="3"/>
  <c r="AQ286" i="3"/>
  <c r="AR286" i="3"/>
  <c r="AM355" i="3"/>
  <c r="AO324" i="3"/>
  <c r="AP324" i="3" s="1"/>
  <c r="AO392" i="3"/>
  <c r="AP392" i="3" s="1"/>
  <c r="Z347" i="3"/>
  <c r="AA347" i="3" s="1"/>
  <c r="F88" i="3"/>
  <c r="G88" i="3" s="1"/>
  <c r="H88" i="3" s="1"/>
  <c r="G133" i="3"/>
  <c r="F205" i="3"/>
  <c r="G205" i="3" s="1"/>
  <c r="F129" i="3"/>
  <c r="G129" i="3" s="1"/>
  <c r="G197" i="3"/>
  <c r="H197" i="3" s="1"/>
  <c r="I197" i="3" s="1"/>
  <c r="Y197" i="3" s="1"/>
  <c r="G263" i="3"/>
  <c r="G89" i="3"/>
  <c r="H89" i="3" s="1"/>
  <c r="G28" i="3"/>
  <c r="H28" i="3" s="1"/>
  <c r="G10" i="3"/>
  <c r="H10" i="3" s="1"/>
  <c r="G111" i="3"/>
  <c r="H111" i="3" s="1"/>
  <c r="H15" i="3"/>
  <c r="I15" i="3" s="1"/>
  <c r="G187" i="3"/>
  <c r="H187" i="3" s="1"/>
  <c r="I187" i="3" s="1"/>
  <c r="H199" i="3"/>
  <c r="I199" i="3" s="1"/>
  <c r="G83" i="3"/>
  <c r="H83" i="3" s="1"/>
  <c r="G140" i="3"/>
  <c r="H140" i="3" s="1"/>
  <c r="H239" i="3"/>
  <c r="I239" i="3" s="1"/>
  <c r="H141" i="3"/>
  <c r="I141" i="3" s="1"/>
  <c r="Y141" i="3" s="1"/>
  <c r="H14" i="3"/>
  <c r="I14" i="3" s="1"/>
  <c r="G36" i="3"/>
  <c r="H36" i="3" s="1"/>
  <c r="M9" i="3"/>
  <c r="N9" i="3" s="1"/>
  <c r="G42" i="3"/>
  <c r="H42" i="3" s="1"/>
  <c r="F93" i="3"/>
  <c r="F134" i="3"/>
  <c r="G134" i="3" s="1"/>
  <c r="G67" i="3"/>
  <c r="H67" i="3" s="1"/>
  <c r="G209" i="3"/>
  <c r="H209" i="3" s="1"/>
  <c r="G95" i="3"/>
  <c r="H95" i="3" s="1"/>
  <c r="H211" i="3"/>
  <c r="I211" i="3" s="1"/>
  <c r="G259" i="3"/>
  <c r="G77" i="3"/>
  <c r="H77" i="3" s="1"/>
  <c r="F70" i="3"/>
  <c r="G70" i="3" s="1"/>
  <c r="H70" i="3" s="1"/>
  <c r="F69" i="3"/>
  <c r="G69" i="3" s="1"/>
  <c r="G214" i="3"/>
  <c r="H214" i="3" s="1"/>
  <c r="G179" i="3"/>
  <c r="G226" i="3"/>
  <c r="F186" i="3"/>
  <c r="I169" i="3"/>
  <c r="Y169" i="3" s="1"/>
  <c r="F47" i="3"/>
  <c r="G196" i="3"/>
  <c r="H196" i="3" s="1"/>
  <c r="G112" i="3"/>
  <c r="H112" i="3" s="1"/>
  <c r="G73" i="3"/>
  <c r="H73" i="3" s="1"/>
  <c r="F61" i="3"/>
  <c r="F82" i="3"/>
  <c r="G219" i="3"/>
  <c r="H219" i="3" s="1"/>
  <c r="I219" i="3" s="1"/>
  <c r="F182" i="3"/>
  <c r="H235" i="3"/>
  <c r="I235" i="3" s="1"/>
  <c r="Y235" i="3" s="1"/>
  <c r="F94" i="3"/>
  <c r="G94" i="3" s="1"/>
  <c r="F207" i="3"/>
  <c r="G257" i="3"/>
  <c r="H257" i="3" s="1"/>
  <c r="G177" i="3"/>
  <c r="H177" i="3" s="1"/>
  <c r="F208" i="3"/>
  <c r="G201" i="3"/>
  <c r="H201" i="3" s="1"/>
  <c r="I201" i="3" s="1"/>
  <c r="F128" i="3"/>
  <c r="G128" i="3" s="1"/>
  <c r="G252" i="3"/>
  <c r="F125" i="3"/>
  <c r="F103" i="3"/>
  <c r="F98" i="3"/>
  <c r="F185" i="3"/>
  <c r="F123" i="3"/>
  <c r="G123" i="3" s="1"/>
  <c r="F60" i="3"/>
  <c r="F144" i="3"/>
  <c r="F43" i="3"/>
  <c r="G68" i="3"/>
  <c r="H68" i="3" s="1"/>
  <c r="G48" i="3"/>
  <c r="H48" i="3" s="1"/>
  <c r="F232" i="3"/>
  <c r="G232" i="3" s="1"/>
  <c r="F102" i="3"/>
  <c r="F120" i="3"/>
  <c r="G49" i="3"/>
  <c r="H49" i="3" s="1"/>
  <c r="F247" i="3"/>
  <c r="F72" i="3"/>
  <c r="G72" i="3" s="1"/>
  <c r="H65" i="3"/>
  <c r="I65" i="3" s="1"/>
  <c r="F181" i="3"/>
  <c r="G181" i="3" s="1"/>
  <c r="G108" i="3"/>
  <c r="H108" i="3" s="1"/>
  <c r="G221" i="3"/>
  <c r="H221" i="3" s="1"/>
  <c r="G79" i="3"/>
  <c r="F237" i="3"/>
  <c r="H106" i="3"/>
  <c r="F44" i="3"/>
  <c r="F138" i="3"/>
  <c r="H76" i="3"/>
  <c r="G50" i="3"/>
  <c r="H50" i="3" s="1"/>
  <c r="H261" i="3"/>
  <c r="I261" i="3" s="1"/>
  <c r="F62" i="3"/>
  <c r="F97" i="3"/>
  <c r="F195" i="3"/>
  <c r="G264" i="3"/>
  <c r="G122" i="3"/>
  <c r="H122" i="3" s="1"/>
  <c r="H5" i="3"/>
  <c r="I5" i="3" s="1"/>
  <c r="Y5" i="3" s="1"/>
  <c r="H91" i="3"/>
  <c r="G183" i="3"/>
  <c r="H183" i="3" s="1"/>
  <c r="I183" i="3" s="1"/>
  <c r="Y183" i="3" s="1"/>
  <c r="G127" i="3"/>
  <c r="H127" i="3" s="1"/>
  <c r="G253" i="3"/>
  <c r="H254" i="3"/>
  <c r="I254" i="3" s="1"/>
  <c r="F180" i="3"/>
  <c r="H258" i="3"/>
  <c r="G240" i="3"/>
  <c r="H240" i="3" s="1"/>
  <c r="G52" i="3"/>
  <c r="H194" i="3"/>
  <c r="I194" i="3" s="1"/>
  <c r="F130" i="3"/>
  <c r="F270" i="3"/>
  <c r="G270" i="3" s="1"/>
  <c r="I107" i="3"/>
  <c r="J107" i="3" s="1"/>
  <c r="G190" i="3"/>
  <c r="H190" i="3" s="1"/>
  <c r="F139" i="3"/>
  <c r="F135" i="3"/>
  <c r="I269" i="3"/>
  <c r="Y269" i="3" s="1"/>
  <c r="H249" i="3"/>
  <c r="G109" i="3"/>
  <c r="F66" i="3"/>
  <c r="F191" i="3"/>
  <c r="F174" i="3"/>
  <c r="F116" i="3"/>
  <c r="F84" i="3"/>
  <c r="G84" i="3" s="1"/>
  <c r="H143" i="3"/>
  <c r="I143" i="3" s="1"/>
  <c r="F242" i="3"/>
  <c r="G218" i="3"/>
  <c r="F115" i="3"/>
  <c r="H132" i="3"/>
  <c r="F220" i="3"/>
  <c r="F16" i="3"/>
  <c r="G204" i="3"/>
  <c r="H204" i="3" s="1"/>
  <c r="F142" i="3"/>
  <c r="G142" i="3" s="1"/>
  <c r="H142" i="3" s="1"/>
  <c r="I142" i="3" s="1"/>
  <c r="Y142" i="3" s="1"/>
  <c r="F87" i="3"/>
  <c r="F137" i="3"/>
  <c r="F51" i="3"/>
  <c r="G51" i="3" s="1"/>
  <c r="G126" i="3"/>
  <c r="H126" i="3" s="1"/>
  <c r="G236" i="3"/>
  <c r="G35" i="3"/>
  <c r="G30" i="3"/>
  <c r="H30" i="3" s="1"/>
  <c r="G255" i="3"/>
  <c r="F92" i="3"/>
  <c r="G74" i="3"/>
  <c r="G71" i="3"/>
  <c r="F223" i="3"/>
  <c r="G223" i="3" s="1"/>
  <c r="F173" i="3"/>
  <c r="F6" i="3"/>
  <c r="F90" i="3"/>
  <c r="F229" i="3"/>
  <c r="F210" i="3"/>
  <c r="G243" i="3"/>
  <c r="F58" i="3"/>
  <c r="G58" i="3" s="1"/>
  <c r="F228" i="3"/>
  <c r="F54" i="3"/>
  <c r="G64" i="3"/>
  <c r="H64" i="3" s="1"/>
  <c r="F32" i="3"/>
  <c r="F27" i="3"/>
  <c r="F40" i="3"/>
  <c r="G248" i="3"/>
  <c r="H248" i="3" s="1"/>
  <c r="F63" i="3"/>
  <c r="G63" i="3" s="1"/>
  <c r="F225" i="3"/>
  <c r="G184" i="3"/>
  <c r="F262" i="3"/>
  <c r="F59" i="3"/>
  <c r="G251" i="3"/>
  <c r="H251" i="3" s="1"/>
  <c r="G178" i="3"/>
  <c r="G222" i="3"/>
  <c r="G203" i="3"/>
  <c r="H203" i="3" s="1"/>
  <c r="H105" i="3"/>
  <c r="F193" i="3"/>
  <c r="G39" i="3"/>
  <c r="H39" i="3" s="1"/>
  <c r="G33" i="3"/>
  <c r="H192" i="3"/>
  <c r="G131" i="3"/>
  <c r="F118" i="3"/>
  <c r="G118" i="3" s="1"/>
  <c r="F57" i="3"/>
  <c r="F188" i="3"/>
  <c r="G81" i="3"/>
  <c r="H81" i="3" s="1"/>
  <c r="G53" i="3"/>
  <c r="F213" i="3"/>
  <c r="F121" i="3"/>
  <c r="F271" i="3"/>
  <c r="H100" i="3"/>
  <c r="I100" i="3" s="1"/>
  <c r="Y100" i="3" s="1"/>
  <c r="F206" i="3"/>
  <c r="H246" i="3"/>
  <c r="G80" i="3"/>
  <c r="F175" i="3"/>
  <c r="F234" i="3"/>
  <c r="G234" i="3" s="1"/>
  <c r="F101" i="3"/>
  <c r="G101" i="3" s="1"/>
  <c r="F17" i="3"/>
  <c r="F12" i="3"/>
  <c r="F46" i="3"/>
  <c r="F241" i="3"/>
  <c r="F212" i="3"/>
  <c r="G202" i="3"/>
  <c r="H202" i="3" s="1"/>
  <c r="F117" i="3"/>
  <c r="G117" i="3" s="1"/>
  <c r="G217" i="3"/>
  <c r="H217" i="3" s="1"/>
  <c r="F55" i="3"/>
  <c r="G55" i="3" s="1"/>
  <c r="G216" i="3"/>
  <c r="H216" i="3" s="1"/>
  <c r="G75" i="3"/>
  <c r="G19" i="3"/>
  <c r="G215" i="3"/>
  <c r="F244" i="3"/>
  <c r="G231" i="3"/>
  <c r="F85" i="3"/>
  <c r="H198" i="3"/>
  <c r="F136" i="3"/>
  <c r="G256" i="3"/>
  <c r="H256" i="3" s="1"/>
  <c r="F200" i="3"/>
  <c r="G96" i="3"/>
  <c r="H96" i="3" s="1"/>
  <c r="G268" i="3"/>
  <c r="H268" i="3" s="1"/>
  <c r="F31" i="3"/>
  <c r="F29" i="3"/>
  <c r="F238" i="3"/>
  <c r="G238" i="3" s="1"/>
  <c r="F104" i="3"/>
  <c r="F266" i="3"/>
  <c r="G124" i="3"/>
  <c r="F113" i="3"/>
  <c r="G4" i="3"/>
  <c r="H4" i="3" s="1"/>
  <c r="G189" i="3"/>
  <c r="G8" i="3"/>
  <c r="H8" i="3" s="1"/>
  <c r="H119" i="3"/>
  <c r="H56" i="3"/>
  <c r="I56" i="3" s="1"/>
  <c r="AL56" i="3" s="1"/>
  <c r="G230" i="3"/>
  <c r="H263" i="3"/>
  <c r="G233" i="3"/>
  <c r="H176" i="3"/>
  <c r="H260" i="3"/>
  <c r="I260" i="3" s="1"/>
  <c r="Y260" i="3" s="1"/>
  <c r="H133" i="3"/>
  <c r="I133" i="3" s="1"/>
  <c r="AN133" i="3" s="1"/>
  <c r="H267" i="3"/>
  <c r="I267" i="3" s="1"/>
  <c r="H250" i="3"/>
  <c r="H110" i="3"/>
  <c r="I110" i="3" s="1"/>
  <c r="G245" i="3"/>
  <c r="F24" i="3"/>
  <c r="G227" i="3"/>
  <c r="F38" i="3"/>
  <c r="G11" i="3"/>
  <c r="H11" i="3" s="1"/>
  <c r="H224" i="3"/>
  <c r="I224" i="3" s="1"/>
  <c r="H37" i="3"/>
  <c r="H7" i="3"/>
  <c r="H21" i="3"/>
  <c r="I21" i="3" s="1"/>
  <c r="H86" i="3"/>
  <c r="I86" i="3" s="1"/>
  <c r="H18" i="3"/>
  <c r="G99" i="3"/>
  <c r="G265" i="3"/>
  <c r="G25" i="3"/>
  <c r="F13" i="3"/>
  <c r="G13" i="3" s="1"/>
  <c r="G45" i="3"/>
  <c r="G23" i="3"/>
  <c r="G41" i="3"/>
  <c r="G20" i="3"/>
  <c r="G22" i="3"/>
  <c r="G78" i="3"/>
  <c r="G114" i="3"/>
  <c r="G34" i="3"/>
  <c r="AQ344" i="3" l="1"/>
  <c r="AM287" i="3"/>
  <c r="L336" i="3"/>
  <c r="M336" i="3" s="1"/>
  <c r="AO335" i="3"/>
  <c r="AP335" i="3" s="1"/>
  <c r="AM376" i="3"/>
  <c r="AR296" i="3"/>
  <c r="AQ296" i="3"/>
  <c r="AM335" i="3"/>
  <c r="Z376" i="3"/>
  <c r="AA376" i="3" s="1"/>
  <c r="Z368" i="3"/>
  <c r="AA368" i="3" s="1"/>
  <c r="N274" i="3"/>
  <c r="Z274" i="3" s="1"/>
  <c r="AA274" i="3" s="1"/>
  <c r="AO357" i="3"/>
  <c r="AP357" i="3" s="1"/>
  <c r="AM357" i="3"/>
  <c r="AM296" i="3"/>
  <c r="N287" i="3"/>
  <c r="Z287" i="3" s="1"/>
  <c r="AA287" i="3" s="1"/>
  <c r="Z304" i="3"/>
  <c r="AA304" i="3" s="1"/>
  <c r="Z350" i="3"/>
  <c r="AA350" i="3" s="1"/>
  <c r="N323" i="3"/>
  <c r="Z296" i="3"/>
  <c r="AA296" i="3" s="1"/>
  <c r="N300" i="3"/>
  <c r="Z300" i="3" s="1"/>
  <c r="AA300" i="3" s="1"/>
  <c r="N383" i="3"/>
  <c r="Z383" i="3" s="1"/>
  <c r="AA383" i="3" s="1"/>
  <c r="N310" i="3"/>
  <c r="Z310" i="3" s="1"/>
  <c r="AA310" i="3" s="1"/>
  <c r="L396" i="3"/>
  <c r="M396" i="3" s="1"/>
  <c r="N317" i="3"/>
  <c r="AM317" i="3" s="1"/>
  <c r="AO350" i="3"/>
  <c r="AP350" i="3" s="1"/>
  <c r="N356" i="3"/>
  <c r="Z356" i="3" s="1"/>
  <c r="AA356" i="3" s="1"/>
  <c r="AO341" i="3"/>
  <c r="AP341" i="3" s="1"/>
  <c r="AL15" i="3"/>
  <c r="AO318" i="3"/>
  <c r="AP318" i="3" s="1"/>
  <c r="AQ318" i="3" s="1"/>
  <c r="AQ273" i="3"/>
  <c r="AQ321" i="3"/>
  <c r="AR321" i="3"/>
  <c r="AM303" i="3"/>
  <c r="AL235" i="3"/>
  <c r="L289" i="3"/>
  <c r="M289" i="3" s="1"/>
  <c r="N289" i="3" s="1"/>
  <c r="AO293" i="3"/>
  <c r="AP293" i="3" s="1"/>
  <c r="M407" i="3"/>
  <c r="N407" i="3" s="1"/>
  <c r="Z407" i="3" s="1"/>
  <c r="AA407" i="3" s="1"/>
  <c r="AM388" i="3"/>
  <c r="M408" i="3"/>
  <c r="AM297" i="3"/>
  <c r="Z404" i="3"/>
  <c r="AA404" i="3" s="1"/>
  <c r="AQ290" i="3"/>
  <c r="AR406" i="3"/>
  <c r="AO276" i="3"/>
  <c r="AP276" i="3" s="1"/>
  <c r="M299" i="3"/>
  <c r="N299" i="3" s="1"/>
  <c r="AM304" i="3"/>
  <c r="Y284" i="3"/>
  <c r="AO361" i="3"/>
  <c r="AP361" i="3" s="1"/>
  <c r="AQ361" i="3" s="1"/>
  <c r="Z379" i="3"/>
  <c r="AA379" i="3" s="1"/>
  <c r="AO303" i="3"/>
  <c r="AP303" i="3" s="1"/>
  <c r="Z297" i="3"/>
  <c r="AA297" i="3" s="1"/>
  <c r="K384" i="3"/>
  <c r="L384" i="3" s="1"/>
  <c r="AM350" i="3"/>
  <c r="AM341" i="3"/>
  <c r="AM278" i="3"/>
  <c r="AO388" i="3"/>
  <c r="AP388" i="3" s="1"/>
  <c r="M334" i="3"/>
  <c r="N334" i="3" s="1"/>
  <c r="AO358" i="3"/>
  <c r="AP358" i="3" s="1"/>
  <c r="AO297" i="3"/>
  <c r="AP297" i="3" s="1"/>
  <c r="AN269" i="3"/>
  <c r="AR350" i="3"/>
  <c r="AQ350" i="3"/>
  <c r="K375" i="3"/>
  <c r="L375" i="3"/>
  <c r="M375" i="3" s="1"/>
  <c r="N408" i="3"/>
  <c r="AM408" i="3" s="1"/>
  <c r="N298" i="3"/>
  <c r="Z278" i="3"/>
  <c r="AA278" i="3" s="1"/>
  <c r="AO278" i="3"/>
  <c r="AP278" i="3" s="1"/>
  <c r="AR341" i="3"/>
  <c r="AQ341" i="3"/>
  <c r="Z288" i="3"/>
  <c r="AA288" i="3" s="1"/>
  <c r="AM288" i="3"/>
  <c r="AO288" i="3"/>
  <c r="AP288" i="3" s="1"/>
  <c r="AQ293" i="3"/>
  <c r="AR293" i="3"/>
  <c r="AR400" i="3"/>
  <c r="AQ400" i="3"/>
  <c r="M399" i="3"/>
  <c r="N399" i="3" s="1"/>
  <c r="N336" i="3"/>
  <c r="AM336" i="3" s="1"/>
  <c r="AO292" i="3"/>
  <c r="AP292" i="3" s="1"/>
  <c r="AQ292" i="3" s="1"/>
  <c r="N362" i="3"/>
  <c r="AM362" i="3" s="1"/>
  <c r="AM400" i="3"/>
  <c r="N338" i="3"/>
  <c r="Z338" i="3" s="1"/>
  <c r="AA338" i="3" s="1"/>
  <c r="AQ357" i="3"/>
  <c r="AR357" i="3"/>
  <c r="AO280" i="3"/>
  <c r="AP280" i="3" s="1"/>
  <c r="Z293" i="3"/>
  <c r="AA293" i="3" s="1"/>
  <c r="N390" i="3"/>
  <c r="Z390" i="3" s="1"/>
  <c r="AA390" i="3" s="1"/>
  <c r="AO338" i="3"/>
  <c r="AP338" i="3" s="1"/>
  <c r="Z280" i="3"/>
  <c r="AA280" i="3" s="1"/>
  <c r="AO369" i="3"/>
  <c r="AP369" i="3" s="1"/>
  <c r="L370" i="3"/>
  <c r="AO300" i="3"/>
  <c r="AP300" i="3" s="1"/>
  <c r="AQ300" i="3" s="1"/>
  <c r="AR301" i="3"/>
  <c r="AM300" i="3"/>
  <c r="AR395" i="3"/>
  <c r="AQ393" i="3"/>
  <c r="AR393" i="3"/>
  <c r="N396" i="3"/>
  <c r="Z396" i="3" s="1"/>
  <c r="AA396" i="3" s="1"/>
  <c r="AM361" i="3"/>
  <c r="L312" i="3"/>
  <c r="M312" i="3" s="1"/>
  <c r="N312" i="3" s="1"/>
  <c r="K339" i="3"/>
  <c r="L294" i="3"/>
  <c r="M294" i="3"/>
  <c r="N294" i="3" s="1"/>
  <c r="N360" i="3"/>
  <c r="L315" i="3"/>
  <c r="M315" i="3" s="1"/>
  <c r="N315" i="3" s="1"/>
  <c r="Z315" i="3" s="1"/>
  <c r="AA315" i="3" s="1"/>
  <c r="AM280" i="3"/>
  <c r="Z369" i="3"/>
  <c r="AA369" i="3" s="1"/>
  <c r="AQ414" i="3"/>
  <c r="AR414" i="3"/>
  <c r="Z400" i="3"/>
  <c r="AA400" i="3" s="1"/>
  <c r="Z330" i="3"/>
  <c r="AA330" i="3" s="1"/>
  <c r="N386" i="3"/>
  <c r="K409" i="3"/>
  <c r="L409" i="3" s="1"/>
  <c r="L320" i="3"/>
  <c r="AO272" i="3"/>
  <c r="AP272" i="3" s="1"/>
  <c r="AO330" i="3"/>
  <c r="AP330" i="3" s="1"/>
  <c r="AQ330" i="3" s="1"/>
  <c r="AL284" i="3"/>
  <c r="J284" i="3"/>
  <c r="Z393" i="3"/>
  <c r="AA393" i="3" s="1"/>
  <c r="AO379" i="3"/>
  <c r="AP379" i="3" s="1"/>
  <c r="Z299" i="3"/>
  <c r="AA299" i="3" s="1"/>
  <c r="N322" i="3"/>
  <c r="Z322" i="3" s="1"/>
  <c r="AA322" i="3" s="1"/>
  <c r="N352" i="3"/>
  <c r="AM352" i="3" s="1"/>
  <c r="K313" i="3"/>
  <c r="AM393" i="3"/>
  <c r="AM379" i="3"/>
  <c r="N302" i="3"/>
  <c r="AO302" i="3" s="1"/>
  <c r="AP302" i="3" s="1"/>
  <c r="Z373" i="3"/>
  <c r="AA373" i="3" s="1"/>
  <c r="AM373" i="3"/>
  <c r="N411" i="3"/>
  <c r="AM411" i="3" s="1"/>
  <c r="AO325" i="3"/>
  <c r="AP325" i="3" s="1"/>
  <c r="AQ325" i="3" s="1"/>
  <c r="Z351" i="3"/>
  <c r="AA351" i="3" s="1"/>
  <c r="AM276" i="3"/>
  <c r="Z327" i="3"/>
  <c r="AA327" i="3" s="1"/>
  <c r="AO327" i="3"/>
  <c r="AP327" i="3" s="1"/>
  <c r="AQ327" i="3" s="1"/>
  <c r="Z309" i="3"/>
  <c r="AA309" i="3" s="1"/>
  <c r="AM274" i="3"/>
  <c r="AO274" i="3"/>
  <c r="AP274" i="3" s="1"/>
  <c r="Z279" i="3"/>
  <c r="AA279" i="3" s="1"/>
  <c r="AM279" i="3"/>
  <c r="AO279" i="3"/>
  <c r="AP279" i="3" s="1"/>
  <c r="AQ285" i="3"/>
  <c r="AR285" i="3"/>
  <c r="AM285" i="3"/>
  <c r="M281" i="3"/>
  <c r="AQ416" i="3"/>
  <c r="AR416" i="3"/>
  <c r="Z416" i="3"/>
  <c r="AA416" i="3" s="1"/>
  <c r="AM416" i="3"/>
  <c r="AM378" i="3"/>
  <c r="Z378" i="3"/>
  <c r="AA378" i="3" s="1"/>
  <c r="AO378" i="3"/>
  <c r="AP378" i="3" s="1"/>
  <c r="AO405" i="3"/>
  <c r="AP405" i="3" s="1"/>
  <c r="Z405" i="3"/>
  <c r="AA405" i="3" s="1"/>
  <c r="AM405" i="3"/>
  <c r="AO397" i="3"/>
  <c r="AP397" i="3" s="1"/>
  <c r="Z397" i="3"/>
  <c r="AA397" i="3" s="1"/>
  <c r="AQ368" i="3"/>
  <c r="AR368" i="3"/>
  <c r="Z305" i="3"/>
  <c r="AA305" i="3" s="1"/>
  <c r="AM305" i="3"/>
  <c r="AQ351" i="3"/>
  <c r="AR351" i="3"/>
  <c r="AQ392" i="3"/>
  <c r="AR392" i="3"/>
  <c r="AO305" i="3"/>
  <c r="AP305" i="3" s="1"/>
  <c r="Z382" i="3"/>
  <c r="AA382" i="3" s="1"/>
  <c r="AO382" i="3"/>
  <c r="AP382" i="3" s="1"/>
  <c r="N329" i="3"/>
  <c r="AO329" i="3" s="1"/>
  <c r="AP329" i="3" s="1"/>
  <c r="AM295" i="3"/>
  <c r="AQ276" i="3"/>
  <c r="AR276" i="3"/>
  <c r="AQ371" i="3"/>
  <c r="AR371" i="3"/>
  <c r="M413" i="3"/>
  <c r="N332" i="3"/>
  <c r="AO332" i="3" s="1"/>
  <c r="AP332" i="3" s="1"/>
  <c r="Z337" i="3"/>
  <c r="AA337" i="3" s="1"/>
  <c r="AO337" i="3"/>
  <c r="AP337" i="3" s="1"/>
  <c r="AM351" i="3"/>
  <c r="Z325" i="3"/>
  <c r="AA325" i="3" s="1"/>
  <c r="AO373" i="3"/>
  <c r="AP373" i="3" s="1"/>
  <c r="AQ367" i="3"/>
  <c r="AR367" i="3"/>
  <c r="AM368" i="3"/>
  <c r="AQ391" i="3"/>
  <c r="AR391" i="3"/>
  <c r="M401" i="3"/>
  <c r="AO353" i="3"/>
  <c r="AP353" i="3" s="1"/>
  <c r="Z367" i="3"/>
  <c r="AA367" i="3" s="1"/>
  <c r="Z272" i="3"/>
  <c r="AA272" i="3" s="1"/>
  <c r="AQ376" i="3"/>
  <c r="AR376" i="3"/>
  <c r="AO309" i="3"/>
  <c r="AP309" i="3" s="1"/>
  <c r="M283" i="3"/>
  <c r="N283" i="3" s="1"/>
  <c r="AO283" i="3" s="1"/>
  <c r="AP283" i="3" s="1"/>
  <c r="Z340" i="3"/>
  <c r="AA340" i="3" s="1"/>
  <c r="N291" i="3"/>
  <c r="AM291" i="3" s="1"/>
  <c r="Z292" i="3"/>
  <c r="AA292" i="3" s="1"/>
  <c r="M331" i="3"/>
  <c r="N331" i="3" s="1"/>
  <c r="AM331" i="3" s="1"/>
  <c r="N415" i="3"/>
  <c r="AO415" i="3" s="1"/>
  <c r="AP415" i="3" s="1"/>
  <c r="AM382" i="3"/>
  <c r="N326" i="3"/>
  <c r="N398" i="3"/>
  <c r="M385" i="3"/>
  <c r="AM337" i="3"/>
  <c r="AQ314" i="3"/>
  <c r="AR314" i="3"/>
  <c r="Z353" i="3"/>
  <c r="AA353" i="3" s="1"/>
  <c r="M389" i="3"/>
  <c r="N389" i="3" s="1"/>
  <c r="AM389" i="3" s="1"/>
  <c r="AQ324" i="3"/>
  <c r="AR324" i="3"/>
  <c r="AQ306" i="3"/>
  <c r="AR306" i="3"/>
  <c r="AQ272" i="3"/>
  <c r="AR272" i="3"/>
  <c r="AQ366" i="3"/>
  <c r="AR366" i="3"/>
  <c r="AQ402" i="3"/>
  <c r="AR402" i="3"/>
  <c r="AO295" i="3"/>
  <c r="AP295" i="3" s="1"/>
  <c r="AM402" i="3"/>
  <c r="AO340" i="3"/>
  <c r="AP340" i="3" s="1"/>
  <c r="AR327" i="3"/>
  <c r="N413" i="3"/>
  <c r="Z413" i="3" s="1"/>
  <c r="AA413" i="3" s="1"/>
  <c r="L333" i="3"/>
  <c r="M333" i="3" s="1"/>
  <c r="AO349" i="3"/>
  <c r="AP349" i="3" s="1"/>
  <c r="Z349" i="3"/>
  <c r="AA349" i="3" s="1"/>
  <c r="Z295" i="3"/>
  <c r="AA295" i="3" s="1"/>
  <c r="M311" i="3"/>
  <c r="AQ377" i="3"/>
  <c r="AR377" i="3"/>
  <c r="AQ316" i="3"/>
  <c r="AR316" i="3"/>
  <c r="M354" i="3"/>
  <c r="AO404" i="3"/>
  <c r="AP404" i="3" s="1"/>
  <c r="Z402" i="3"/>
  <c r="AA402" i="3" s="1"/>
  <c r="AN15" i="3"/>
  <c r="AN56" i="3"/>
  <c r="AL187" i="3"/>
  <c r="AL141" i="3"/>
  <c r="AN141" i="3"/>
  <c r="AN239" i="3"/>
  <c r="AN187" i="3"/>
  <c r="AN260" i="3"/>
  <c r="AN235" i="3"/>
  <c r="AL14" i="3"/>
  <c r="Y14" i="3"/>
  <c r="AN14" i="3"/>
  <c r="AL211" i="3"/>
  <c r="AN143" i="3"/>
  <c r="Y143" i="3"/>
  <c r="AL239" i="3"/>
  <c r="AL133" i="3"/>
  <c r="Y211" i="3"/>
  <c r="AN211" i="3"/>
  <c r="J199" i="3"/>
  <c r="K199" i="3" s="1"/>
  <c r="AN199" i="3"/>
  <c r="Y199" i="3"/>
  <c r="AL199" i="3"/>
  <c r="AL269" i="3"/>
  <c r="AL267" i="3"/>
  <c r="AL197" i="3"/>
  <c r="AL143" i="3"/>
  <c r="Y110" i="3"/>
  <c r="AL110" i="3"/>
  <c r="AN110" i="3"/>
  <c r="J269" i="3"/>
  <c r="K269" i="3" s="1"/>
  <c r="J21" i="3"/>
  <c r="AN107" i="3"/>
  <c r="AN197" i="3"/>
  <c r="AL183" i="3"/>
  <c r="AL107" i="3"/>
  <c r="AN183" i="3"/>
  <c r="AN65" i="3"/>
  <c r="AN169" i="3"/>
  <c r="I73" i="3"/>
  <c r="J73" i="3" s="1"/>
  <c r="K73" i="3" s="1"/>
  <c r="AO9" i="3"/>
  <c r="AP9" i="3" s="1"/>
  <c r="I258" i="3"/>
  <c r="AL258" i="3" s="1"/>
  <c r="Z9" i="3"/>
  <c r="AA9" i="3" s="1"/>
  <c r="H205" i="3"/>
  <c r="I8" i="3"/>
  <c r="J8" i="3" s="1"/>
  <c r="K8" i="3" s="1"/>
  <c r="H129" i="3"/>
  <c r="I129" i="3" s="1"/>
  <c r="H109" i="3"/>
  <c r="I109" i="3" s="1"/>
  <c r="Y109" i="3" s="1"/>
  <c r="H259" i="3"/>
  <c r="AM9" i="3"/>
  <c r="H35" i="3"/>
  <c r="AN5" i="3"/>
  <c r="AL5" i="3"/>
  <c r="AL219" i="3"/>
  <c r="I168" i="3"/>
  <c r="AN168" i="3" s="1"/>
  <c r="J15" i="3"/>
  <c r="K15" i="3" s="1"/>
  <c r="Y15" i="3"/>
  <c r="I152" i="3"/>
  <c r="J152" i="3" s="1"/>
  <c r="K152" i="3" s="1"/>
  <c r="Y219" i="3"/>
  <c r="AL169" i="3"/>
  <c r="J219" i="3"/>
  <c r="K219" i="3" s="1"/>
  <c r="AN100" i="3"/>
  <c r="AL100" i="3"/>
  <c r="I77" i="3"/>
  <c r="AN77" i="3" s="1"/>
  <c r="Y239" i="3"/>
  <c r="J239" i="3"/>
  <c r="K239" i="3" s="1"/>
  <c r="I36" i="3"/>
  <c r="Y36" i="3" s="1"/>
  <c r="I111" i="3"/>
  <c r="J111" i="3" s="1"/>
  <c r="I88" i="3"/>
  <c r="AL88" i="3" s="1"/>
  <c r="I249" i="3"/>
  <c r="Y249" i="3" s="1"/>
  <c r="AN254" i="3"/>
  <c r="AL65" i="3"/>
  <c r="AN219" i="3"/>
  <c r="AN201" i="3"/>
  <c r="J211" i="3"/>
  <c r="K211" i="3" s="1"/>
  <c r="G93" i="3"/>
  <c r="H93" i="3" s="1"/>
  <c r="AN267" i="3"/>
  <c r="AL260" i="3"/>
  <c r="AL254" i="3"/>
  <c r="J235" i="3"/>
  <c r="K235" i="3" s="1"/>
  <c r="I250" i="3"/>
  <c r="I11" i="3"/>
  <c r="AL11" i="3" s="1"/>
  <c r="AL142" i="3"/>
  <c r="AL194" i="3"/>
  <c r="I91" i="3"/>
  <c r="AN91" i="3" s="1"/>
  <c r="I70" i="3"/>
  <c r="Y70" i="3" s="1"/>
  <c r="I112" i="3"/>
  <c r="Y112" i="3" s="1"/>
  <c r="J100" i="3"/>
  <c r="K100" i="3" s="1"/>
  <c r="L100" i="3" s="1"/>
  <c r="I42" i="3"/>
  <c r="Y42" i="3" s="1"/>
  <c r="J56" i="3"/>
  <c r="K56" i="3" s="1"/>
  <c r="L56" i="3" s="1"/>
  <c r="Y56" i="3"/>
  <c r="I4" i="3"/>
  <c r="J4" i="3" s="1"/>
  <c r="AL4" i="3"/>
  <c r="AN4" i="3"/>
  <c r="J187" i="3"/>
  <c r="K187" i="3" s="1"/>
  <c r="L187" i="3" s="1"/>
  <c r="M187" i="3" s="1"/>
  <c r="Y187" i="3"/>
  <c r="J267" i="3"/>
  <c r="K267" i="3" s="1"/>
  <c r="Y267" i="3"/>
  <c r="H23" i="3"/>
  <c r="H45" i="3"/>
  <c r="H13" i="3"/>
  <c r="I13" i="3" s="1"/>
  <c r="Y13" i="3" s="1"/>
  <c r="H25" i="3"/>
  <c r="I25" i="3" s="1"/>
  <c r="Y25" i="3" s="1"/>
  <c r="I158" i="3"/>
  <c r="H265" i="3"/>
  <c r="I265" i="3" s="1"/>
  <c r="H99" i="3"/>
  <c r="J86" i="3"/>
  <c r="H227" i="3"/>
  <c r="I227" i="3" s="1"/>
  <c r="H189" i="3"/>
  <c r="K21" i="3"/>
  <c r="L21" i="3" s="1"/>
  <c r="H19" i="3"/>
  <c r="AL224" i="3"/>
  <c r="H75" i="3"/>
  <c r="H124" i="3"/>
  <c r="I124" i="3" s="1"/>
  <c r="I176" i="3"/>
  <c r="AN176" i="3" s="1"/>
  <c r="J197" i="3"/>
  <c r="J260" i="3"/>
  <c r="K260" i="3" s="1"/>
  <c r="G266" i="3"/>
  <c r="H238" i="3"/>
  <c r="I238" i="3" s="1"/>
  <c r="Y238" i="3" s="1"/>
  <c r="G85" i="3"/>
  <c r="G244" i="3"/>
  <c r="H244" i="3" s="1"/>
  <c r="I18" i="3"/>
  <c r="J18" i="3" s="1"/>
  <c r="I10" i="3"/>
  <c r="AN10" i="3" s="1"/>
  <c r="I202" i="3"/>
  <c r="J202" i="3" s="1"/>
  <c r="J141" i="3"/>
  <c r="K141" i="3" s="1"/>
  <c r="G241" i="3"/>
  <c r="G12" i="3"/>
  <c r="H101" i="3"/>
  <c r="I101" i="3" s="1"/>
  <c r="AL101" i="3" s="1"/>
  <c r="I140" i="3"/>
  <c r="Y140" i="3" s="1"/>
  <c r="I221" i="3"/>
  <c r="J221" i="3" s="1"/>
  <c r="G57" i="3"/>
  <c r="H57" i="3" s="1"/>
  <c r="H33" i="3"/>
  <c r="G225" i="3"/>
  <c r="H225" i="3" s="1"/>
  <c r="G27" i="3"/>
  <c r="G228" i="3"/>
  <c r="G6" i="3"/>
  <c r="H6" i="3" s="1"/>
  <c r="H223" i="3"/>
  <c r="I223" i="3" s="1"/>
  <c r="J223" i="3" s="1"/>
  <c r="I28" i="3"/>
  <c r="Y28" i="3" s="1"/>
  <c r="I154" i="3"/>
  <c r="J142" i="3"/>
  <c r="K142" i="3" s="1"/>
  <c r="L142" i="3" s="1"/>
  <c r="J254" i="3"/>
  <c r="K254" i="3" s="1"/>
  <c r="H123" i="3"/>
  <c r="I123" i="3" s="1"/>
  <c r="AL123" i="3" s="1"/>
  <c r="H34" i="3"/>
  <c r="H78" i="3"/>
  <c r="H22" i="3"/>
  <c r="AL86" i="3"/>
  <c r="Y21" i="3"/>
  <c r="H245" i="3"/>
  <c r="AN224" i="3"/>
  <c r="I119" i="3"/>
  <c r="H233" i="3"/>
  <c r="G31" i="3"/>
  <c r="H31" i="3" s="1"/>
  <c r="I268" i="3"/>
  <c r="J268" i="3" s="1"/>
  <c r="I198" i="3"/>
  <c r="H231" i="3"/>
  <c r="I148" i="3"/>
  <c r="AL148" i="3" s="1"/>
  <c r="I7" i="3"/>
  <c r="Y7" i="3" s="1"/>
  <c r="I164" i="3"/>
  <c r="G175" i="3"/>
  <c r="G271" i="3"/>
  <c r="H271" i="3" s="1"/>
  <c r="I271" i="3" s="1"/>
  <c r="G121" i="3"/>
  <c r="I68" i="3"/>
  <c r="J68" i="3" s="1"/>
  <c r="H131" i="3"/>
  <c r="I192" i="3"/>
  <c r="AN192" i="3" s="1"/>
  <c r="I39" i="3"/>
  <c r="AL39" i="3" s="1"/>
  <c r="I251" i="3"/>
  <c r="AN251" i="3" s="1"/>
  <c r="H184" i="3"/>
  <c r="H63" i="3"/>
  <c r="I63" i="3" s="1"/>
  <c r="J63" i="3" s="1"/>
  <c r="G32" i="3"/>
  <c r="H243" i="3"/>
  <c r="J14" i="3"/>
  <c r="K14" i="3" s="1"/>
  <c r="I37" i="3"/>
  <c r="Y37" i="3" s="1"/>
  <c r="I204" i="3"/>
  <c r="AL204" i="3" s="1"/>
  <c r="H270" i="3"/>
  <c r="H69" i="3"/>
  <c r="H20" i="3"/>
  <c r="H41" i="3"/>
  <c r="AN86" i="3"/>
  <c r="AL21" i="3"/>
  <c r="J224" i="3"/>
  <c r="I162" i="3"/>
  <c r="AN162" i="3" s="1"/>
  <c r="G113" i="3"/>
  <c r="H113" i="3" s="1"/>
  <c r="G104" i="3"/>
  <c r="I217" i="3"/>
  <c r="Y217" i="3" s="1"/>
  <c r="G213" i="3"/>
  <c r="I165" i="3"/>
  <c r="Y165" i="3" s="1"/>
  <c r="H222" i="3"/>
  <c r="H178" i="3"/>
  <c r="G59" i="3"/>
  <c r="H59" i="3" s="1"/>
  <c r="G173" i="3"/>
  <c r="H173" i="3" s="1"/>
  <c r="H215" i="3"/>
  <c r="H114" i="3"/>
  <c r="Y133" i="3"/>
  <c r="I149" i="3"/>
  <c r="Y149" i="3" s="1"/>
  <c r="Y86" i="3"/>
  <c r="G38" i="3"/>
  <c r="G24" i="3"/>
  <c r="AN21" i="3"/>
  <c r="Y224" i="3"/>
  <c r="J110" i="3"/>
  <c r="H230" i="3"/>
  <c r="I230" i="3" s="1"/>
  <c r="AN142" i="3"/>
  <c r="G200" i="3"/>
  <c r="I256" i="3"/>
  <c r="AL256" i="3" s="1"/>
  <c r="G136" i="3"/>
  <c r="H136" i="3" s="1"/>
  <c r="I19" i="3"/>
  <c r="H55" i="3"/>
  <c r="J133" i="3"/>
  <c r="K133" i="3" s="1"/>
  <c r="H117" i="3"/>
  <c r="G17" i="3"/>
  <c r="J5" i="3"/>
  <c r="H80" i="3"/>
  <c r="J143" i="3"/>
  <c r="K143" i="3" s="1"/>
  <c r="G188" i="3"/>
  <c r="H188" i="3" s="1"/>
  <c r="G29" i="3"/>
  <c r="I96" i="3"/>
  <c r="Y96" i="3" s="1"/>
  <c r="I263" i="3"/>
  <c r="AL263" i="3" s="1"/>
  <c r="H51" i="3"/>
  <c r="Y194" i="3"/>
  <c r="Y65" i="3"/>
  <c r="J65" i="3"/>
  <c r="H128" i="3"/>
  <c r="I67" i="3"/>
  <c r="AL67" i="3" s="1"/>
  <c r="I216" i="3"/>
  <c r="AN216" i="3" s="1"/>
  <c r="I203" i="3"/>
  <c r="AL203" i="3" s="1"/>
  <c r="I30" i="3"/>
  <c r="AL30" i="3" s="1"/>
  <c r="I171" i="3"/>
  <c r="AN171" i="3" s="1"/>
  <c r="G137" i="3"/>
  <c r="G87" i="3"/>
  <c r="I64" i="3"/>
  <c r="AN64" i="3" s="1"/>
  <c r="G242" i="3"/>
  <c r="H74" i="3"/>
  <c r="I74" i="3" s="1"/>
  <c r="Y107" i="3"/>
  <c r="AN194" i="3"/>
  <c r="Y254" i="3"/>
  <c r="G40" i="3"/>
  <c r="I246" i="3"/>
  <c r="I190" i="3"/>
  <c r="J190" i="3" s="1"/>
  <c r="I83" i="3"/>
  <c r="Y83" i="3" s="1"/>
  <c r="H253" i="3"/>
  <c r="G195" i="3"/>
  <c r="G44" i="3"/>
  <c r="H44" i="3" s="1"/>
  <c r="I108" i="3"/>
  <c r="Y108" i="3" s="1"/>
  <c r="H72" i="3"/>
  <c r="G247" i="3"/>
  <c r="H247" i="3" s="1"/>
  <c r="G97" i="3"/>
  <c r="I132" i="3"/>
  <c r="AN132" i="3" s="1"/>
  <c r="H58" i="3"/>
  <c r="I89" i="3"/>
  <c r="J89" i="3" s="1"/>
  <c r="I155" i="3"/>
  <c r="AL201" i="3"/>
  <c r="G92" i="3"/>
  <c r="H92" i="3" s="1"/>
  <c r="I177" i="3"/>
  <c r="AL177" i="3" s="1"/>
  <c r="G207" i="3"/>
  <c r="G182" i="3"/>
  <c r="I160" i="3"/>
  <c r="G125" i="3"/>
  <c r="H179" i="3"/>
  <c r="I179" i="3" s="1"/>
  <c r="Y261" i="3"/>
  <c r="G208" i="3"/>
  <c r="G237" i="3"/>
  <c r="H237" i="3" s="1"/>
  <c r="I106" i="3"/>
  <c r="Y106" i="3" s="1"/>
  <c r="H234" i="3"/>
  <c r="G115" i="3"/>
  <c r="G116" i="3"/>
  <c r="H116" i="3" s="1"/>
  <c r="I116" i="3" s="1"/>
  <c r="G139" i="3"/>
  <c r="H139" i="3" s="1"/>
  <c r="I81" i="3"/>
  <c r="J81" i="3" s="1"/>
  <c r="G180" i="3"/>
  <c r="G135" i="3"/>
  <c r="H53" i="3"/>
  <c r="J194" i="3"/>
  <c r="K194" i="3" s="1"/>
  <c r="I240" i="3"/>
  <c r="AL240" i="3" s="1"/>
  <c r="I150" i="3"/>
  <c r="AN150" i="3" s="1"/>
  <c r="J183" i="3"/>
  <c r="I159" i="3"/>
  <c r="AN159" i="3" s="1"/>
  <c r="G144" i="3"/>
  <c r="K107" i="3"/>
  <c r="I257" i="3"/>
  <c r="J257" i="3" s="1"/>
  <c r="I49" i="3"/>
  <c r="J49" i="3" s="1"/>
  <c r="G61" i="3"/>
  <c r="G47" i="3"/>
  <c r="H47" i="3" s="1"/>
  <c r="I47" i="3" s="1"/>
  <c r="AL261" i="3"/>
  <c r="I214" i="3"/>
  <c r="J214" i="3" s="1"/>
  <c r="I76" i="3"/>
  <c r="Y76" i="3" s="1"/>
  <c r="I163" i="3"/>
  <c r="J163" i="3" s="1"/>
  <c r="G185" i="3"/>
  <c r="H185" i="3" s="1"/>
  <c r="I172" i="3"/>
  <c r="Y172" i="3" s="1"/>
  <c r="G60" i="3"/>
  <c r="H60" i="3" s="1"/>
  <c r="I126" i="3"/>
  <c r="AN126" i="3" s="1"/>
  <c r="G220" i="3"/>
  <c r="G191" i="3"/>
  <c r="H191" i="3" s="1"/>
  <c r="G210" i="3"/>
  <c r="G130" i="3"/>
  <c r="H52" i="3"/>
  <c r="H118" i="3"/>
  <c r="H255" i="3"/>
  <c r="I255" i="3" s="1"/>
  <c r="I127" i="3"/>
  <c r="Y127" i="3" s="1"/>
  <c r="H71" i="3"/>
  <c r="I71" i="3" s="1"/>
  <c r="I166" i="3"/>
  <c r="I48" i="3"/>
  <c r="Y48" i="3" s="1"/>
  <c r="G43" i="3"/>
  <c r="H43" i="3" s="1"/>
  <c r="Y201" i="3"/>
  <c r="H94" i="3"/>
  <c r="G82" i="3"/>
  <c r="H82" i="3" s="1"/>
  <c r="I82" i="3" s="1"/>
  <c r="J261" i="3"/>
  <c r="H134" i="3"/>
  <c r="I134" i="3" s="1"/>
  <c r="I146" i="3"/>
  <c r="Y146" i="3" s="1"/>
  <c r="G186" i="3"/>
  <c r="I209" i="3"/>
  <c r="AL209" i="3" s="1"/>
  <c r="H79" i="3"/>
  <c r="I79" i="3" s="1"/>
  <c r="AN261" i="3"/>
  <c r="I196" i="3"/>
  <c r="AL196" i="3" s="1"/>
  <c r="H226" i="3"/>
  <c r="H252" i="3"/>
  <c r="I252" i="3" s="1"/>
  <c r="J169" i="3"/>
  <c r="I95" i="3"/>
  <c r="Y95" i="3" s="1"/>
  <c r="G138" i="3"/>
  <c r="G102" i="3"/>
  <c r="G98" i="3"/>
  <c r="H98" i="3" s="1"/>
  <c r="J201" i="3"/>
  <c r="I50" i="3"/>
  <c r="Y50" i="3" s="1"/>
  <c r="G46" i="3"/>
  <c r="G193" i="3"/>
  <c r="H236" i="3"/>
  <c r="I236" i="3" s="1"/>
  <c r="G212" i="3"/>
  <c r="I248" i="3"/>
  <c r="AL248" i="3" s="1"/>
  <c r="I170" i="3"/>
  <c r="AL170" i="3" s="1"/>
  <c r="G26" i="3"/>
  <c r="G16" i="3"/>
  <c r="H218" i="3"/>
  <c r="H84" i="3"/>
  <c r="G66" i="3"/>
  <c r="H66" i="3" s="1"/>
  <c r="I66" i="3" s="1"/>
  <c r="G262" i="3"/>
  <c r="I122" i="3"/>
  <c r="Y122" i="3" s="1"/>
  <c r="G62" i="3"/>
  <c r="G54" i="3"/>
  <c r="G206" i="3"/>
  <c r="G229" i="3"/>
  <c r="H181" i="3"/>
  <c r="G174" i="3"/>
  <c r="I105" i="3"/>
  <c r="AN105" i="3" s="1"/>
  <c r="G90" i="3"/>
  <c r="H264" i="3"/>
  <c r="G120" i="3"/>
  <c r="H232" i="3"/>
  <c r="G103" i="3"/>
  <c r="H103" i="3" s="1"/>
  <c r="AM329" i="3" l="1"/>
  <c r="Z317" i="3"/>
  <c r="AA317" i="3" s="1"/>
  <c r="AO310" i="3"/>
  <c r="AP310" i="3" s="1"/>
  <c r="AM310" i="3"/>
  <c r="L73" i="3"/>
  <c r="M73" i="3" s="1"/>
  <c r="N73" i="3" s="1"/>
  <c r="AO299" i="3"/>
  <c r="AP299" i="3" s="1"/>
  <c r="AQ299" i="3" s="1"/>
  <c r="AR318" i="3"/>
  <c r="AR335" i="3"/>
  <c r="AQ335" i="3"/>
  <c r="AM299" i="3"/>
  <c r="AR361" i="3"/>
  <c r="AO383" i="3"/>
  <c r="AP383" i="3" s="1"/>
  <c r="AR383" i="3" s="1"/>
  <c r="AO323" i="3"/>
  <c r="AP323" i="3" s="1"/>
  <c r="Z323" i="3"/>
  <c r="AA323" i="3" s="1"/>
  <c r="AM323" i="3"/>
  <c r="Z362" i="3"/>
  <c r="AA362" i="3" s="1"/>
  <c r="AO362" i="3"/>
  <c r="AP362" i="3" s="1"/>
  <c r="AM383" i="3"/>
  <c r="AO287" i="3"/>
  <c r="AP287" i="3" s="1"/>
  <c r="Z408" i="3"/>
  <c r="AA408" i="3" s="1"/>
  <c r="AO356" i="3"/>
  <c r="AP356" i="3" s="1"/>
  <c r="AR330" i="3"/>
  <c r="AR300" i="3"/>
  <c r="AQ383" i="3"/>
  <c r="AR292" i="3"/>
  <c r="AR325" i="3"/>
  <c r="AM396" i="3"/>
  <c r="AO317" i="3"/>
  <c r="AP317" i="3" s="1"/>
  <c r="AM356" i="3"/>
  <c r="AM390" i="3"/>
  <c r="AQ278" i="3"/>
  <c r="AR278" i="3"/>
  <c r="AO408" i="3"/>
  <c r="AP408" i="3" s="1"/>
  <c r="AQ388" i="3"/>
  <c r="AR388" i="3"/>
  <c r="AM334" i="3"/>
  <c r="Z334" i="3"/>
  <c r="AA334" i="3" s="1"/>
  <c r="M384" i="3"/>
  <c r="N384" i="3" s="1"/>
  <c r="Z384" i="3" s="1"/>
  <c r="AA384" i="3" s="1"/>
  <c r="Y88" i="3"/>
  <c r="AO390" i="3"/>
  <c r="AP390" i="3" s="1"/>
  <c r="AR390" i="3" s="1"/>
  <c r="AQ297" i="3"/>
  <c r="AR297" i="3"/>
  <c r="AM298" i="3"/>
  <c r="Z298" i="3"/>
  <c r="AA298" i="3" s="1"/>
  <c r="AQ358" i="3"/>
  <c r="AR358" i="3"/>
  <c r="AO334" i="3"/>
  <c r="AP334" i="3" s="1"/>
  <c r="N375" i="3"/>
  <c r="AM375" i="3" s="1"/>
  <c r="M370" i="3"/>
  <c r="N370" i="3" s="1"/>
  <c r="AM370" i="3" s="1"/>
  <c r="AQ303" i="3"/>
  <c r="AR303" i="3"/>
  <c r="AO407" i="3"/>
  <c r="AP407" i="3" s="1"/>
  <c r="AO298" i="3"/>
  <c r="AP298" i="3" s="1"/>
  <c r="AM407" i="3"/>
  <c r="M409" i="3"/>
  <c r="N409" i="3" s="1"/>
  <c r="Z409" i="3" s="1"/>
  <c r="AA409" i="3" s="1"/>
  <c r="AM399" i="3"/>
  <c r="Z399" i="3"/>
  <c r="AA399" i="3" s="1"/>
  <c r="AO399" i="3"/>
  <c r="AP399" i="3" s="1"/>
  <c r="AM294" i="3"/>
  <c r="Z294" i="3"/>
  <c r="AA294" i="3" s="1"/>
  <c r="AL77" i="3"/>
  <c r="AO411" i="3"/>
  <c r="AP411" i="3" s="1"/>
  <c r="AM315" i="3"/>
  <c r="AR379" i="3"/>
  <c r="AQ379" i="3"/>
  <c r="AO289" i="3"/>
  <c r="AP289" i="3" s="1"/>
  <c r="AM289" i="3"/>
  <c r="AO322" i="3"/>
  <c r="AP322" i="3" s="1"/>
  <c r="AM360" i="3"/>
  <c r="Z360" i="3"/>
  <c r="AA360" i="3" s="1"/>
  <c r="AO315" i="3"/>
  <c r="AP315" i="3" s="1"/>
  <c r="AQ338" i="3"/>
  <c r="AR338" i="3"/>
  <c r="AM322" i="3"/>
  <c r="Z312" i="3"/>
  <c r="AA312" i="3" s="1"/>
  <c r="Z289" i="3"/>
  <c r="AA289" i="3" s="1"/>
  <c r="Z411" i="3"/>
  <c r="AA411" i="3" s="1"/>
  <c r="AO352" i="3"/>
  <c r="AP352" i="3" s="1"/>
  <c r="Z352" i="3"/>
  <c r="AA352" i="3" s="1"/>
  <c r="Z386" i="3"/>
  <c r="AA386" i="3" s="1"/>
  <c r="AM386" i="3"/>
  <c r="L339" i="3"/>
  <c r="M339" i="3" s="1"/>
  <c r="AM302" i="3"/>
  <c r="AO312" i="3"/>
  <c r="AP312" i="3" s="1"/>
  <c r="AQ280" i="3"/>
  <c r="AR280" i="3"/>
  <c r="Z336" i="3"/>
  <c r="AA336" i="3" s="1"/>
  <c r="AO396" i="3"/>
  <c r="AP396" i="3" s="1"/>
  <c r="AQ288" i="3"/>
  <c r="AR288" i="3"/>
  <c r="AQ302" i="3"/>
  <c r="AR302" i="3"/>
  <c r="M320" i="3"/>
  <c r="N320" i="3" s="1"/>
  <c r="Z320" i="3" s="1"/>
  <c r="AA320" i="3" s="1"/>
  <c r="Z302" i="3"/>
  <c r="AA302" i="3" s="1"/>
  <c r="AR369" i="3"/>
  <c r="AQ369" i="3"/>
  <c r="AO386" i="3"/>
  <c r="AP386" i="3" s="1"/>
  <c r="L313" i="3"/>
  <c r="M313" i="3" s="1"/>
  <c r="L284" i="3"/>
  <c r="M284" i="3" s="1"/>
  <c r="N284" i="3" s="1"/>
  <c r="K284" i="3"/>
  <c r="AO360" i="3"/>
  <c r="AP360" i="3" s="1"/>
  <c r="AO294" i="3"/>
  <c r="AP294" i="3" s="1"/>
  <c r="AM312" i="3"/>
  <c r="AM338" i="3"/>
  <c r="AO336" i="3"/>
  <c r="AP336" i="3" s="1"/>
  <c r="AO398" i="3"/>
  <c r="AP398" i="3" s="1"/>
  <c r="AQ398" i="3" s="1"/>
  <c r="AM398" i="3"/>
  <c r="AM283" i="3"/>
  <c r="AQ397" i="3"/>
  <c r="AR397" i="3"/>
  <c r="AQ405" i="3"/>
  <c r="AR405" i="3"/>
  <c r="AQ378" i="3"/>
  <c r="AR378" i="3"/>
  <c r="N281" i="3"/>
  <c r="AM281" i="3" s="1"/>
  <c r="AQ279" i="3"/>
  <c r="AR279" i="3"/>
  <c r="AQ274" i="3"/>
  <c r="AR274" i="3"/>
  <c r="AQ329" i="3"/>
  <c r="AR329" i="3"/>
  <c r="AQ415" i="3"/>
  <c r="AR415" i="3"/>
  <c r="AQ332" i="3"/>
  <c r="AR332" i="3"/>
  <c r="N311" i="3"/>
  <c r="AO311" i="3" s="1"/>
  <c r="AP311" i="3" s="1"/>
  <c r="AQ295" i="3"/>
  <c r="AR295" i="3"/>
  <c r="Z398" i="3"/>
  <c r="AA398" i="3" s="1"/>
  <c r="AO413" i="3"/>
  <c r="AP413" i="3" s="1"/>
  <c r="Z329" i="3"/>
  <c r="AA329" i="3" s="1"/>
  <c r="AQ283" i="3"/>
  <c r="AR283" i="3"/>
  <c r="Z283" i="3"/>
  <c r="AA283" i="3" s="1"/>
  <c r="AQ353" i="3"/>
  <c r="AR353" i="3"/>
  <c r="AQ362" i="3"/>
  <c r="AR362" i="3"/>
  <c r="AQ337" i="3"/>
  <c r="AR337" i="3"/>
  <c r="AQ382" i="3"/>
  <c r="AR382" i="3"/>
  <c r="N333" i="3"/>
  <c r="Z333" i="3" s="1"/>
  <c r="AA333" i="3" s="1"/>
  <c r="N354" i="3"/>
  <c r="AM354" i="3" s="1"/>
  <c r="AQ349" i="3"/>
  <c r="AR349" i="3"/>
  <c r="Z389" i="3"/>
  <c r="AA389" i="3" s="1"/>
  <c r="N385" i="3"/>
  <c r="AO385" i="3" s="1"/>
  <c r="AP385" i="3" s="1"/>
  <c r="AO331" i="3"/>
  <c r="AP331" i="3" s="1"/>
  <c r="AM413" i="3"/>
  <c r="AQ404" i="3"/>
  <c r="AR404" i="3"/>
  <c r="AQ340" i="3"/>
  <c r="AR340" i="3"/>
  <c r="AM326" i="3"/>
  <c r="AO326" i="3"/>
  <c r="AP326" i="3" s="1"/>
  <c r="Z326" i="3"/>
  <c r="AA326" i="3" s="1"/>
  <c r="Z415" i="3"/>
  <c r="AA415" i="3" s="1"/>
  <c r="AM415" i="3"/>
  <c r="AQ309" i="3"/>
  <c r="AR309" i="3"/>
  <c r="Z291" i="3"/>
  <c r="AA291" i="3" s="1"/>
  <c r="N401" i="3"/>
  <c r="AQ373" i="3"/>
  <c r="AR373" i="3"/>
  <c r="Z332" i="3"/>
  <c r="AA332" i="3" s="1"/>
  <c r="AM332" i="3"/>
  <c r="Z331" i="3"/>
  <c r="AA331" i="3" s="1"/>
  <c r="AQ305" i="3"/>
  <c r="AR305" i="3"/>
  <c r="AO291" i="3"/>
  <c r="AP291" i="3" s="1"/>
  <c r="AO389" i="3"/>
  <c r="AP389" i="3" s="1"/>
  <c r="AN18" i="3"/>
  <c r="AR9" i="3"/>
  <c r="AQ9" i="3"/>
  <c r="Y8" i="3"/>
  <c r="Y258" i="3"/>
  <c r="J258" i="3"/>
  <c r="K258" i="3" s="1"/>
  <c r="L258" i="3" s="1"/>
  <c r="AN258" i="3"/>
  <c r="Y152" i="3"/>
  <c r="Y11" i="3"/>
  <c r="Y77" i="3"/>
  <c r="AL192" i="3"/>
  <c r="AL111" i="3"/>
  <c r="J70" i="3"/>
  <c r="K70" i="3" s="1"/>
  <c r="L70" i="3" s="1"/>
  <c r="Y268" i="3"/>
  <c r="Y168" i="3"/>
  <c r="AN49" i="3"/>
  <c r="L267" i="3"/>
  <c r="M267" i="3" s="1"/>
  <c r="J168" i="3"/>
  <c r="K168" i="3" s="1"/>
  <c r="J249" i="3"/>
  <c r="K249" i="3" s="1"/>
  <c r="AL249" i="3"/>
  <c r="L199" i="3"/>
  <c r="M199" i="3" s="1"/>
  <c r="N199" i="3" s="1"/>
  <c r="Z199" i="3" s="1"/>
  <c r="AA199" i="3" s="1"/>
  <c r="AL168" i="3"/>
  <c r="J109" i="3"/>
  <c r="K109" i="3" s="1"/>
  <c r="L109" i="3" s="1"/>
  <c r="L269" i="3"/>
  <c r="M269" i="3" s="1"/>
  <c r="N269" i="3" s="1"/>
  <c r="AM269" i="3" s="1"/>
  <c r="J88" i="3"/>
  <c r="K88" i="3" s="1"/>
  <c r="AN172" i="3"/>
  <c r="AN123" i="3"/>
  <c r="AN83" i="3"/>
  <c r="AL36" i="3"/>
  <c r="J77" i="3"/>
  <c r="K77" i="3" s="1"/>
  <c r="L77" i="3" s="1"/>
  <c r="AN81" i="3"/>
  <c r="AN67" i="3"/>
  <c r="AN76" i="3"/>
  <c r="AL159" i="3"/>
  <c r="AN240" i="3"/>
  <c r="AN256" i="3"/>
  <c r="J7" i="3"/>
  <c r="K7" i="3" s="1"/>
  <c r="J149" i="3"/>
  <c r="K149" i="3" s="1"/>
  <c r="AN37" i="3"/>
  <c r="AL7" i="3"/>
  <c r="AN111" i="3"/>
  <c r="AN109" i="3"/>
  <c r="AN248" i="3"/>
  <c r="AN50" i="3"/>
  <c r="AN149" i="3"/>
  <c r="AL18" i="3"/>
  <c r="AL37" i="3"/>
  <c r="AN170" i="3"/>
  <c r="AL70" i="3"/>
  <c r="AN88" i="3"/>
  <c r="AN36" i="3"/>
  <c r="AN8" i="3"/>
  <c r="AN209" i="3"/>
  <c r="AN48" i="3"/>
  <c r="AN25" i="3"/>
  <c r="AL28" i="3"/>
  <c r="AN140" i="3"/>
  <c r="AL25" i="3"/>
  <c r="J11" i="3"/>
  <c r="K11" i="3" s="1"/>
  <c r="AN152" i="3"/>
  <c r="Y129" i="3"/>
  <c r="AL8" i="3"/>
  <c r="J198" i="3"/>
  <c r="K198" i="3" s="1"/>
  <c r="L198" i="3" s="1"/>
  <c r="M198" i="3" s="1"/>
  <c r="AN198" i="3"/>
  <c r="AN203" i="3"/>
  <c r="J112" i="3"/>
  <c r="K112" i="3" s="1"/>
  <c r="L112" i="3" s="1"/>
  <c r="AL112" i="3"/>
  <c r="AN112" i="3"/>
  <c r="AL106" i="3"/>
  <c r="AL10" i="3"/>
  <c r="AN11" i="3"/>
  <c r="AL95" i="3"/>
  <c r="AN39" i="3"/>
  <c r="AL214" i="3"/>
  <c r="Y73" i="3"/>
  <c r="AN214" i="3"/>
  <c r="AL150" i="3"/>
  <c r="AN146" i="3"/>
  <c r="AN202" i="3"/>
  <c r="AL162" i="3"/>
  <c r="AL172" i="3"/>
  <c r="AL105" i="3"/>
  <c r="AN70" i="3"/>
  <c r="AL127" i="3"/>
  <c r="AL132" i="3"/>
  <c r="AL140" i="3"/>
  <c r="AN263" i="3"/>
  <c r="AN148" i="3"/>
  <c r="Y166" i="3"/>
  <c r="AL166" i="3"/>
  <c r="AL122" i="3"/>
  <c r="AN246" i="3"/>
  <c r="AL246" i="3"/>
  <c r="AL96" i="3"/>
  <c r="AL63" i="3"/>
  <c r="AL68" i="3"/>
  <c r="AN7" i="3"/>
  <c r="AL165" i="3"/>
  <c r="AL268" i="3"/>
  <c r="AN95" i="3"/>
  <c r="AL171" i="3"/>
  <c r="AL126" i="3"/>
  <c r="AN122" i="3"/>
  <c r="AN73" i="3"/>
  <c r="AN196" i="3"/>
  <c r="AL91" i="3"/>
  <c r="AN204" i="3"/>
  <c r="AL257" i="3"/>
  <c r="AL176" i="3"/>
  <c r="AN30" i="3"/>
  <c r="AL64" i="3"/>
  <c r="AN166" i="3"/>
  <c r="AN127" i="3"/>
  <c r="AL13" i="3"/>
  <c r="AN108" i="3"/>
  <c r="AL81" i="3"/>
  <c r="AL119" i="3"/>
  <c r="AN119" i="3"/>
  <c r="AL202" i="3"/>
  <c r="AL149" i="3"/>
  <c r="AN13" i="3"/>
  <c r="AN28" i="3"/>
  <c r="AN217" i="3"/>
  <c r="J250" i="3"/>
  <c r="AL250" i="3"/>
  <c r="AL163" i="3"/>
  <c r="AL251" i="3"/>
  <c r="AL190" i="3"/>
  <c r="AL48" i="3"/>
  <c r="AL221" i="3"/>
  <c r="AL198" i="3"/>
  <c r="AN163" i="3"/>
  <c r="AN106" i="3"/>
  <c r="AN68" i="3"/>
  <c r="AL216" i="3"/>
  <c r="AN177" i="3"/>
  <c r="AL146" i="3"/>
  <c r="AL50" i="3"/>
  <c r="AN74" i="3"/>
  <c r="AL108" i="3"/>
  <c r="AN165" i="3"/>
  <c r="AN154" i="3"/>
  <c r="AL154" i="3"/>
  <c r="AN221" i="3"/>
  <c r="AL217" i="3"/>
  <c r="AN257" i="3"/>
  <c r="AN250" i="3"/>
  <c r="AL152" i="3"/>
  <c r="AL89" i="3"/>
  <c r="AL73" i="3"/>
  <c r="AL49" i="3"/>
  <c r="AL83" i="3"/>
  <c r="AN249" i="3"/>
  <c r="AN268" i="3"/>
  <c r="AN89" i="3"/>
  <c r="AL76" i="3"/>
  <c r="AN96" i="3"/>
  <c r="AN190" i="3"/>
  <c r="I35" i="3"/>
  <c r="AN35" i="3" s="1"/>
  <c r="I167" i="3"/>
  <c r="AN167" i="3" s="1"/>
  <c r="I205" i="3"/>
  <c r="AN205" i="3" s="1"/>
  <c r="J140" i="3"/>
  <c r="K140" i="3" s="1"/>
  <c r="I259" i="3"/>
  <c r="AL259" i="3" s="1"/>
  <c r="H138" i="3"/>
  <c r="I138" i="3" s="1"/>
  <c r="J25" i="3"/>
  <c r="K25" i="3" s="1"/>
  <c r="L25" i="3" s="1"/>
  <c r="AL109" i="3"/>
  <c r="L211" i="3"/>
  <c r="M211" i="3" s="1"/>
  <c r="K111" i="3"/>
  <c r="L111" i="3" s="1"/>
  <c r="J37" i="3"/>
  <c r="K37" i="3" s="1"/>
  <c r="L37" i="3" s="1"/>
  <c r="AN129" i="3"/>
  <c r="AN158" i="3"/>
  <c r="L8" i="3"/>
  <c r="M8" i="3" s="1"/>
  <c r="Y4" i="3"/>
  <c r="J129" i="3"/>
  <c r="K129" i="3" s="1"/>
  <c r="AL129" i="3"/>
  <c r="L107" i="3"/>
  <c r="M107" i="3" s="1"/>
  <c r="L239" i="3"/>
  <c r="M239" i="3" s="1"/>
  <c r="L15" i="3"/>
  <c r="M15" i="3" s="1"/>
  <c r="AN47" i="3"/>
  <c r="I58" i="3"/>
  <c r="Y58" i="3" s="1"/>
  <c r="I69" i="3"/>
  <c r="AN69" i="3" s="1"/>
  <c r="I99" i="3"/>
  <c r="J99" i="3" s="1"/>
  <c r="K99" i="3" s="1"/>
  <c r="L99" i="3" s="1"/>
  <c r="M99" i="3" s="1"/>
  <c r="H241" i="3"/>
  <c r="I241" i="3" s="1"/>
  <c r="AN42" i="3"/>
  <c r="AL74" i="3"/>
  <c r="AN116" i="3"/>
  <c r="AL134" i="3"/>
  <c r="J106" i="3"/>
  <c r="K106" i="3" s="1"/>
  <c r="L106" i="3" s="1"/>
  <c r="M106" i="3" s="1"/>
  <c r="N106" i="3" s="1"/>
  <c r="Y74" i="3"/>
  <c r="Y163" i="3"/>
  <c r="Y68" i="3"/>
  <c r="H220" i="3"/>
  <c r="I220" i="3" s="1"/>
  <c r="H32" i="3"/>
  <c r="I32" i="3" s="1"/>
  <c r="AN32" i="3" s="1"/>
  <c r="AN271" i="3"/>
  <c r="J170" i="3"/>
  <c r="K170" i="3" s="1"/>
  <c r="I226" i="3"/>
  <c r="J226" i="3" s="1"/>
  <c r="H229" i="3"/>
  <c r="I229" i="3" s="1"/>
  <c r="I131" i="3"/>
  <c r="AN131" i="3" s="1"/>
  <c r="Y240" i="3"/>
  <c r="J240" i="3"/>
  <c r="K240" i="3" s="1"/>
  <c r="J146" i="3"/>
  <c r="Y89" i="3"/>
  <c r="Y209" i="3"/>
  <c r="K81" i="3"/>
  <c r="L81" i="3" s="1"/>
  <c r="M81" i="3" s="1"/>
  <c r="J67" i="3"/>
  <c r="K67" i="3" s="1"/>
  <c r="Y67" i="3"/>
  <c r="Y81" i="3"/>
  <c r="I84" i="3"/>
  <c r="AN84" i="3" s="1"/>
  <c r="I218" i="3"/>
  <c r="AL218" i="3" s="1"/>
  <c r="I191" i="3"/>
  <c r="Y191" i="3" s="1"/>
  <c r="H97" i="3"/>
  <c r="I97" i="3" s="1"/>
  <c r="J97" i="3" s="1"/>
  <c r="J209" i="3"/>
  <c r="K209" i="3" s="1"/>
  <c r="AN155" i="3"/>
  <c r="H213" i="3"/>
  <c r="I20" i="3"/>
  <c r="Y20" i="3" s="1"/>
  <c r="AL158" i="3"/>
  <c r="Y101" i="3"/>
  <c r="J91" i="3"/>
  <c r="Y91" i="3"/>
  <c r="Y111" i="3"/>
  <c r="I243" i="3"/>
  <c r="J243" i="3" s="1"/>
  <c r="AN265" i="3"/>
  <c r="Y250" i="3"/>
  <c r="I43" i="3"/>
  <c r="AN43" i="3" s="1"/>
  <c r="AL47" i="3"/>
  <c r="I237" i="3"/>
  <c r="AN237" i="3" s="1"/>
  <c r="AN101" i="3"/>
  <c r="AL265" i="3"/>
  <c r="Y265" i="3"/>
  <c r="J123" i="3"/>
  <c r="K123" i="3" s="1"/>
  <c r="L260" i="3"/>
  <c r="M260" i="3" s="1"/>
  <c r="N260" i="3" s="1"/>
  <c r="AO260" i="3" s="1"/>
  <c r="AP260" i="3" s="1"/>
  <c r="AQ260" i="3" s="1"/>
  <c r="J265" i="3"/>
  <c r="K265" i="3" s="1"/>
  <c r="I93" i="3"/>
  <c r="AN93" i="3" s="1"/>
  <c r="J36" i="3"/>
  <c r="K36" i="3" s="1"/>
  <c r="M100" i="3"/>
  <c r="N100" i="3" s="1"/>
  <c r="AO100" i="3" s="1"/>
  <c r="AP100" i="3" s="1"/>
  <c r="AQ100" i="3" s="1"/>
  <c r="J42" i="3"/>
  <c r="K42" i="3" s="1"/>
  <c r="AL42" i="3"/>
  <c r="I41" i="3"/>
  <c r="J41" i="3" s="1"/>
  <c r="N187" i="3"/>
  <c r="AO187" i="3" s="1"/>
  <c r="AP187" i="3" s="1"/>
  <c r="AQ187" i="3" s="1"/>
  <c r="Y47" i="3"/>
  <c r="J47" i="3"/>
  <c r="K47" i="3" s="1"/>
  <c r="K202" i="3"/>
  <c r="L202" i="3" s="1"/>
  <c r="M21" i="3"/>
  <c r="N21" i="3" s="1"/>
  <c r="I173" i="3"/>
  <c r="J173" i="3" s="1"/>
  <c r="K173" i="3" s="1"/>
  <c r="J116" i="3"/>
  <c r="K116" i="3" s="1"/>
  <c r="L116" i="3" s="1"/>
  <c r="J155" i="3"/>
  <c r="I136" i="3"/>
  <c r="AL136" i="3" s="1"/>
  <c r="M56" i="3"/>
  <c r="N56" i="3" s="1"/>
  <c r="I113" i="3"/>
  <c r="J113" i="3" s="1"/>
  <c r="K268" i="3"/>
  <c r="L268" i="3" s="1"/>
  <c r="K4" i="3"/>
  <c r="H38" i="3"/>
  <c r="I38" i="3" s="1"/>
  <c r="H208" i="3"/>
  <c r="I208" i="3" s="1"/>
  <c r="Y82" i="3"/>
  <c r="H102" i="3"/>
  <c r="AL66" i="3"/>
  <c r="J66" i="3"/>
  <c r="K66" i="3" s="1"/>
  <c r="L66" i="3" s="1"/>
  <c r="AN66" i="3"/>
  <c r="I92" i="3"/>
  <c r="AN92" i="3" s="1"/>
  <c r="H90" i="3"/>
  <c r="H212" i="3"/>
  <c r="J196" i="3"/>
  <c r="K196" i="3" s="1"/>
  <c r="L196" i="3" s="1"/>
  <c r="M70" i="3"/>
  <c r="N70" i="3" s="1"/>
  <c r="J252" i="3"/>
  <c r="K252" i="3" s="1"/>
  <c r="J134" i="3"/>
  <c r="K134" i="3" s="1"/>
  <c r="L134" i="3" s="1"/>
  <c r="K257" i="3"/>
  <c r="L257" i="3" s="1"/>
  <c r="M257" i="3" s="1"/>
  <c r="N257" i="3" s="1"/>
  <c r="AN79" i="3"/>
  <c r="H130" i="3"/>
  <c r="Y126" i="3"/>
  <c r="AN134" i="3"/>
  <c r="AN252" i="3"/>
  <c r="J259" i="3"/>
  <c r="K259" i="3" s="1"/>
  <c r="L259" i="3" s="1"/>
  <c r="I94" i="3"/>
  <c r="Y94" i="3" s="1"/>
  <c r="Y150" i="3"/>
  <c r="Y49" i="3"/>
  <c r="J83" i="3"/>
  <c r="K83" i="3" s="1"/>
  <c r="H135" i="3"/>
  <c r="I135" i="3" s="1"/>
  <c r="Y135" i="3" s="1"/>
  <c r="J50" i="3"/>
  <c r="K261" i="3"/>
  <c r="L261" i="3" s="1"/>
  <c r="Y252" i="3"/>
  <c r="AL179" i="3"/>
  <c r="J179" i="3"/>
  <c r="K179" i="3" s="1"/>
  <c r="AN179" i="3"/>
  <c r="Y179" i="3"/>
  <c r="H125" i="3"/>
  <c r="AN160" i="3"/>
  <c r="J160" i="3"/>
  <c r="K160" i="3" s="1"/>
  <c r="AL160" i="3"/>
  <c r="Y160" i="3"/>
  <c r="Y79" i="3"/>
  <c r="Y190" i="3"/>
  <c r="K190" i="3"/>
  <c r="L190" i="3" s="1"/>
  <c r="M190" i="3" s="1"/>
  <c r="H40" i="3"/>
  <c r="I139" i="3"/>
  <c r="AL139" i="3" s="1"/>
  <c r="Y64" i="3"/>
  <c r="J64" i="3"/>
  <c r="K64" i="3" s="1"/>
  <c r="L64" i="3" s="1"/>
  <c r="M64" i="3" s="1"/>
  <c r="H137" i="3"/>
  <c r="I137" i="3" s="1"/>
  <c r="Y137" i="3" s="1"/>
  <c r="J30" i="3"/>
  <c r="K30" i="3" s="1"/>
  <c r="L30" i="3" s="1"/>
  <c r="Y30" i="3"/>
  <c r="Y216" i="3"/>
  <c r="J216" i="3"/>
  <c r="K216" i="3" s="1"/>
  <c r="L194" i="3"/>
  <c r="M194" i="3" s="1"/>
  <c r="H17" i="3"/>
  <c r="I17" i="3" s="1"/>
  <c r="J17" i="3" s="1"/>
  <c r="I114" i="3"/>
  <c r="AN114" i="3" s="1"/>
  <c r="AL252" i="3"/>
  <c r="Y155" i="3"/>
  <c r="J150" i="3"/>
  <c r="K150" i="3" s="1"/>
  <c r="I153" i="3"/>
  <c r="AN153" i="3" s="1"/>
  <c r="I59" i="3"/>
  <c r="Y59" i="3" s="1"/>
  <c r="I178" i="3"/>
  <c r="AN178" i="3" s="1"/>
  <c r="I161" i="3"/>
  <c r="AL161" i="3" s="1"/>
  <c r="I147" i="3"/>
  <c r="I55" i="3"/>
  <c r="J55" i="3" s="1"/>
  <c r="Y162" i="3"/>
  <c r="J162" i="3"/>
  <c r="J122" i="3"/>
  <c r="AL116" i="3"/>
  <c r="J204" i="3"/>
  <c r="Y204" i="3"/>
  <c r="J126" i="3"/>
  <c r="K126" i="3" s="1"/>
  <c r="L14" i="3"/>
  <c r="Y63" i="3"/>
  <c r="AN63" i="3"/>
  <c r="K63" i="3"/>
  <c r="L63" i="3" s="1"/>
  <c r="J108" i="3"/>
  <c r="I233" i="3"/>
  <c r="AL233" i="3" s="1"/>
  <c r="J158" i="3"/>
  <c r="Y123" i="3"/>
  <c r="J154" i="3"/>
  <c r="K154" i="3" s="1"/>
  <c r="L154" i="3" s="1"/>
  <c r="H228" i="3"/>
  <c r="H27" i="3"/>
  <c r="I27" i="3" s="1"/>
  <c r="AL27" i="3" s="1"/>
  <c r="I33" i="3"/>
  <c r="Y33" i="3" s="1"/>
  <c r="K221" i="3"/>
  <c r="L221" i="3" s="1"/>
  <c r="K18" i="3"/>
  <c r="L18" i="3" s="1"/>
  <c r="H85" i="3"/>
  <c r="I85" i="3" s="1"/>
  <c r="M142" i="3"/>
  <c r="AL238" i="3"/>
  <c r="AN124" i="3"/>
  <c r="Y124" i="3"/>
  <c r="J124" i="3"/>
  <c r="K124" i="3" s="1"/>
  <c r="AL124" i="3"/>
  <c r="J217" i="3"/>
  <c r="K217" i="3" s="1"/>
  <c r="Y158" i="3"/>
  <c r="H174" i="3"/>
  <c r="H206" i="3"/>
  <c r="I206" i="3" s="1"/>
  <c r="J206" i="3" s="1"/>
  <c r="J248" i="3"/>
  <c r="K248" i="3" s="1"/>
  <c r="H46" i="3"/>
  <c r="H186" i="3"/>
  <c r="I186" i="3" s="1"/>
  <c r="Y186" i="3" s="1"/>
  <c r="I185" i="3"/>
  <c r="J185" i="3" s="1"/>
  <c r="K169" i="3"/>
  <c r="L169" i="3" s="1"/>
  <c r="M169" i="3" s="1"/>
  <c r="J132" i="3"/>
  <c r="K132" i="3" s="1"/>
  <c r="Y132" i="3"/>
  <c r="I222" i="3"/>
  <c r="J222" i="3" s="1"/>
  <c r="J165" i="3"/>
  <c r="K165" i="3" s="1"/>
  <c r="L165" i="3" s="1"/>
  <c r="Y134" i="3"/>
  <c r="Y39" i="3"/>
  <c r="J148" i="3"/>
  <c r="K148" i="3" s="1"/>
  <c r="Y148" i="3"/>
  <c r="I215" i="3"/>
  <c r="J215" i="3" s="1"/>
  <c r="K215" i="3" s="1"/>
  <c r="J119" i="3"/>
  <c r="K119" i="3" s="1"/>
  <c r="Y119" i="3"/>
  <c r="I245" i="3"/>
  <c r="Y245" i="3" s="1"/>
  <c r="L219" i="3"/>
  <c r="L254" i="3"/>
  <c r="M254" i="3" s="1"/>
  <c r="I6" i="3"/>
  <c r="J6" i="3" s="1"/>
  <c r="K6" i="3" s="1"/>
  <c r="J101" i="3"/>
  <c r="K101" i="3" s="1"/>
  <c r="I244" i="3"/>
  <c r="AL244" i="3" s="1"/>
  <c r="H104" i="3"/>
  <c r="K197" i="3"/>
  <c r="J19" i="3"/>
  <c r="AL19" i="3"/>
  <c r="Y19" i="3"/>
  <c r="AN19" i="3"/>
  <c r="Y18" i="3"/>
  <c r="J256" i="3"/>
  <c r="J39" i="3"/>
  <c r="H62" i="3"/>
  <c r="I62" i="3" s="1"/>
  <c r="Y62" i="3" s="1"/>
  <c r="Y196" i="3"/>
  <c r="AN71" i="3"/>
  <c r="AL71" i="3"/>
  <c r="Y71" i="3"/>
  <c r="H210" i="3"/>
  <c r="Y257" i="3"/>
  <c r="AL53" i="3"/>
  <c r="H180" i="3"/>
  <c r="I53" i="3"/>
  <c r="J53" i="3" s="1"/>
  <c r="AL237" i="3"/>
  <c r="Y237" i="3"/>
  <c r="H207" i="3"/>
  <c r="I103" i="3"/>
  <c r="J103" i="3" s="1"/>
  <c r="I181" i="3"/>
  <c r="J181" i="3" s="1"/>
  <c r="J79" i="3"/>
  <c r="K79" i="3" s="1"/>
  <c r="Y177" i="3"/>
  <c r="I80" i="3"/>
  <c r="Y80" i="3" s="1"/>
  <c r="AL236" i="3"/>
  <c r="Y236" i="3"/>
  <c r="J236" i="3"/>
  <c r="AN236" i="3"/>
  <c r="H61" i="3"/>
  <c r="J48" i="3"/>
  <c r="Y255" i="3"/>
  <c r="J255" i="3"/>
  <c r="K255" i="3" s="1"/>
  <c r="AN255" i="3"/>
  <c r="AL255" i="3"/>
  <c r="J71" i="3"/>
  <c r="K71" i="3" s="1"/>
  <c r="L71" i="3" s="1"/>
  <c r="Y116" i="3"/>
  <c r="H115" i="3"/>
  <c r="H26" i="3"/>
  <c r="I60" i="3"/>
  <c r="AN60" i="3" s="1"/>
  <c r="K201" i="3"/>
  <c r="L201" i="3" s="1"/>
  <c r="K49" i="3"/>
  <c r="I44" i="3"/>
  <c r="Y44" i="3" s="1"/>
  <c r="I156" i="3"/>
  <c r="Y156" i="3" s="1"/>
  <c r="I253" i="3"/>
  <c r="Y253" i="3" s="1"/>
  <c r="J76" i="3"/>
  <c r="Y246" i="3"/>
  <c r="J246" i="3"/>
  <c r="H242" i="3"/>
  <c r="I242" i="3" s="1"/>
  <c r="Y171" i="3"/>
  <c r="Y203" i="3"/>
  <c r="J177" i="3"/>
  <c r="Y263" i="3"/>
  <c r="J263" i="3"/>
  <c r="K183" i="3"/>
  <c r="L183" i="3" s="1"/>
  <c r="L235" i="3"/>
  <c r="M235" i="3" s="1"/>
  <c r="Y66" i="3"/>
  <c r="Y154" i="3"/>
  <c r="I57" i="3"/>
  <c r="J57" i="3" s="1"/>
  <c r="J96" i="3"/>
  <c r="K96" i="3" s="1"/>
  <c r="I31" i="3"/>
  <c r="AL31" i="3" s="1"/>
  <c r="Y256" i="3"/>
  <c r="L143" i="3"/>
  <c r="M143" i="3" s="1"/>
  <c r="L133" i="3"/>
  <c r="I23" i="3"/>
  <c r="AN23" i="3" s="1"/>
  <c r="K86" i="3"/>
  <c r="Y105" i="3"/>
  <c r="J105" i="3"/>
  <c r="H144" i="3"/>
  <c r="I232" i="3"/>
  <c r="Y232" i="3" s="1"/>
  <c r="H54" i="3"/>
  <c r="H262" i="3"/>
  <c r="J203" i="3"/>
  <c r="Y192" i="3"/>
  <c r="AL164" i="3"/>
  <c r="J164" i="3"/>
  <c r="K164" i="3" s="1"/>
  <c r="AN164" i="3"/>
  <c r="Y164" i="3"/>
  <c r="Y198" i="3"/>
  <c r="H120" i="3"/>
  <c r="I120" i="3" s="1"/>
  <c r="I145" i="3"/>
  <c r="AN145" i="3" s="1"/>
  <c r="AL79" i="3"/>
  <c r="J166" i="3"/>
  <c r="H16" i="3"/>
  <c r="H193" i="3"/>
  <c r="I128" i="3"/>
  <c r="Y128" i="3" s="1"/>
  <c r="AL82" i="3"/>
  <c r="J82" i="3"/>
  <c r="K82" i="3" s="1"/>
  <c r="I234" i="3"/>
  <c r="AN234" i="3" s="1"/>
  <c r="I118" i="3"/>
  <c r="AL118" i="3" s="1"/>
  <c r="L152" i="3"/>
  <c r="I52" i="3"/>
  <c r="AN52" i="3" s="1"/>
  <c r="AN191" i="3"/>
  <c r="Y214" i="3"/>
  <c r="K214" i="3"/>
  <c r="J172" i="3"/>
  <c r="J95" i="3"/>
  <c r="H182" i="3"/>
  <c r="I98" i="3"/>
  <c r="AL98" i="3" s="1"/>
  <c r="AL155" i="3"/>
  <c r="I72" i="3"/>
  <c r="AL72" i="3" s="1"/>
  <c r="AL44" i="3"/>
  <c r="H195" i="3"/>
  <c r="J159" i="3"/>
  <c r="K5" i="3"/>
  <c r="J74" i="3"/>
  <c r="H87" i="3"/>
  <c r="Y159" i="3"/>
  <c r="I247" i="3"/>
  <c r="Y247" i="3" s="1"/>
  <c r="K65" i="3"/>
  <c r="L65" i="3" s="1"/>
  <c r="J127" i="3"/>
  <c r="I188" i="3"/>
  <c r="AL188" i="3" s="1"/>
  <c r="AN230" i="3"/>
  <c r="Y230" i="3"/>
  <c r="J230" i="3"/>
  <c r="K230" i="3" s="1"/>
  <c r="AL230" i="3"/>
  <c r="K110" i="3"/>
  <c r="L110" i="3" s="1"/>
  <c r="H24" i="3"/>
  <c r="K163" i="3"/>
  <c r="K89" i="3"/>
  <c r="I117" i="3"/>
  <c r="J117" i="3" s="1"/>
  <c r="K224" i="3"/>
  <c r="J13" i="3"/>
  <c r="AN82" i="3"/>
  <c r="I264" i="3"/>
  <c r="AN264" i="3" s="1"/>
  <c r="I270" i="3"/>
  <c r="Y270" i="3" s="1"/>
  <c r="J171" i="3"/>
  <c r="Y170" i="3"/>
  <c r="I184" i="3"/>
  <c r="AN184" i="3" s="1"/>
  <c r="J251" i="3"/>
  <c r="Y251" i="3"/>
  <c r="J192" i="3"/>
  <c r="H121" i="3"/>
  <c r="AL271" i="3"/>
  <c r="Y271" i="3"/>
  <c r="H175" i="3"/>
  <c r="I231" i="3"/>
  <c r="J231" i="3" s="1"/>
  <c r="H29" i="3"/>
  <c r="I51" i="3"/>
  <c r="AN51" i="3" s="1"/>
  <c r="K146" i="3"/>
  <c r="K68" i="3"/>
  <c r="J28" i="3"/>
  <c r="AN223" i="3"/>
  <c r="AL223" i="3"/>
  <c r="K223" i="3"/>
  <c r="L223" i="3" s="1"/>
  <c r="Y223" i="3"/>
  <c r="Y248" i="3"/>
  <c r="I225" i="3"/>
  <c r="J225" i="3" s="1"/>
  <c r="I22" i="3"/>
  <c r="Y221" i="3"/>
  <c r="H12" i="3"/>
  <c r="L141" i="3"/>
  <c r="Y202" i="3"/>
  <c r="J10" i="3"/>
  <c r="Y10" i="3"/>
  <c r="J238" i="3"/>
  <c r="H266" i="3"/>
  <c r="I266" i="3" s="1"/>
  <c r="I78" i="3"/>
  <c r="AN78" i="3" s="1"/>
  <c r="J176" i="3"/>
  <c r="Y176" i="3"/>
  <c r="AL227" i="3"/>
  <c r="AN227" i="3"/>
  <c r="Y227" i="3"/>
  <c r="J227" i="3"/>
  <c r="I34" i="3"/>
  <c r="AN34" i="3" s="1"/>
  <c r="I75" i="3"/>
  <c r="J75" i="3" s="1"/>
  <c r="J271" i="3"/>
  <c r="I189" i="3"/>
  <c r="AN189" i="3" s="1"/>
  <c r="H200" i="3"/>
  <c r="AN238" i="3"/>
  <c r="I45" i="3"/>
  <c r="AN45" i="3" s="1"/>
  <c r="AQ390" i="3" l="1"/>
  <c r="Y259" i="3"/>
  <c r="AQ323" i="3"/>
  <c r="AR323" i="3"/>
  <c r="Z311" i="3"/>
  <c r="AA311" i="3" s="1"/>
  <c r="AO333" i="3"/>
  <c r="AP333" i="3" s="1"/>
  <c r="AR299" i="3"/>
  <c r="AQ287" i="3"/>
  <c r="AR287" i="3"/>
  <c r="AR310" i="3"/>
  <c r="AQ310" i="3"/>
  <c r="AO370" i="3"/>
  <c r="AP370" i="3" s="1"/>
  <c r="Z375" i="3"/>
  <c r="AA375" i="3" s="1"/>
  <c r="AN259" i="3"/>
  <c r="AO384" i="3"/>
  <c r="AP384" i="3" s="1"/>
  <c r="AQ384" i="3" s="1"/>
  <c r="AO354" i="3"/>
  <c r="AP354" i="3" s="1"/>
  <c r="AR354" i="3" s="1"/>
  <c r="AO375" i="3"/>
  <c r="AP375" i="3" s="1"/>
  <c r="AR375" i="3" s="1"/>
  <c r="AQ317" i="3"/>
  <c r="AR317" i="3"/>
  <c r="AQ356" i="3"/>
  <c r="AR356" i="3"/>
  <c r="AQ334" i="3"/>
  <c r="AR334" i="3"/>
  <c r="AQ375" i="3"/>
  <c r="AO284" i="3"/>
  <c r="AP284" i="3" s="1"/>
  <c r="AR284" i="3" s="1"/>
  <c r="AQ298" i="3"/>
  <c r="AR298" i="3"/>
  <c r="AR408" i="3"/>
  <c r="AQ408" i="3"/>
  <c r="AM384" i="3"/>
  <c r="AM320" i="3"/>
  <c r="AR407" i="3"/>
  <c r="AQ407" i="3"/>
  <c r="Z370" i="3"/>
  <c r="AA370" i="3" s="1"/>
  <c r="AR398" i="3"/>
  <c r="AM284" i="3"/>
  <c r="AO320" i="3"/>
  <c r="AP320" i="3" s="1"/>
  <c r="AQ294" i="3"/>
  <c r="AR294" i="3"/>
  <c r="AQ352" i="3"/>
  <c r="AR352" i="3"/>
  <c r="AQ322" i="3"/>
  <c r="AR322" i="3"/>
  <c r="AR399" i="3"/>
  <c r="AQ399" i="3"/>
  <c r="AQ312" i="3"/>
  <c r="AR312" i="3"/>
  <c r="AQ315" i="3"/>
  <c r="AR315" i="3"/>
  <c r="Z284" i="3"/>
  <c r="AA284" i="3" s="1"/>
  <c r="AL69" i="3"/>
  <c r="AL243" i="3"/>
  <c r="AQ336" i="3"/>
  <c r="AR336" i="3"/>
  <c r="AQ360" i="3"/>
  <c r="AR360" i="3"/>
  <c r="N313" i="3"/>
  <c r="AQ386" i="3"/>
  <c r="AR386" i="3"/>
  <c r="N339" i="3"/>
  <c r="AM409" i="3"/>
  <c r="AN243" i="3"/>
  <c r="AM385" i="3"/>
  <c r="AM311" i="3"/>
  <c r="AM313" i="3"/>
  <c r="AR396" i="3"/>
  <c r="AQ396" i="3"/>
  <c r="AR370" i="3"/>
  <c r="AQ370" i="3"/>
  <c r="AQ289" i="3"/>
  <c r="AR289" i="3"/>
  <c r="AQ411" i="3"/>
  <c r="AR411" i="3"/>
  <c r="AO409" i="3"/>
  <c r="AP409" i="3" s="1"/>
  <c r="Z281" i="3"/>
  <c r="AA281" i="3" s="1"/>
  <c r="AO281" i="3"/>
  <c r="AP281" i="3" s="1"/>
  <c r="AQ311" i="3"/>
  <c r="AR311" i="3"/>
  <c r="Y218" i="3"/>
  <c r="AL114" i="3"/>
  <c r="AQ291" i="3"/>
  <c r="AR291" i="3"/>
  <c r="AO401" i="3"/>
  <c r="AP401" i="3" s="1"/>
  <c r="AM401" i="3"/>
  <c r="AQ326" i="3"/>
  <c r="AR326" i="3"/>
  <c r="AQ331" i="3"/>
  <c r="AR331" i="3"/>
  <c r="AM333" i="3"/>
  <c r="Z385" i="3"/>
  <c r="AA385" i="3" s="1"/>
  <c r="Z401" i="3"/>
  <c r="AA401" i="3" s="1"/>
  <c r="AQ333" i="3"/>
  <c r="AR333" i="3"/>
  <c r="AQ413" i="3"/>
  <c r="AR413" i="3"/>
  <c r="AQ354" i="3"/>
  <c r="AQ385" i="3"/>
  <c r="AR385" i="3"/>
  <c r="Z354" i="3"/>
  <c r="AA354" i="3" s="1"/>
  <c r="AQ389" i="3"/>
  <c r="AR389" i="3"/>
  <c r="J131" i="3"/>
  <c r="K131" i="3" s="1"/>
  <c r="L131" i="3" s="1"/>
  <c r="M131" i="3" s="1"/>
  <c r="AL191" i="3"/>
  <c r="Y136" i="3"/>
  <c r="AN20" i="3"/>
  <c r="AN44" i="3"/>
  <c r="Y178" i="3"/>
  <c r="J237" i="3"/>
  <c r="K237" i="3" s="1"/>
  <c r="AN185" i="3"/>
  <c r="AN233" i="3"/>
  <c r="AN218" i="3"/>
  <c r="Y138" i="3"/>
  <c r="AL113" i="3"/>
  <c r="J20" i="3"/>
  <c r="K20" i="3" s="1"/>
  <c r="AL220" i="3"/>
  <c r="AL131" i="3"/>
  <c r="L7" i="3"/>
  <c r="M7" i="3" s="1"/>
  <c r="N7" i="3" s="1"/>
  <c r="AM7" i="3" s="1"/>
  <c r="J136" i="3"/>
  <c r="K136" i="3" s="1"/>
  <c r="AL60" i="3"/>
  <c r="AL43" i="3"/>
  <c r="AL58" i="3"/>
  <c r="M112" i="3"/>
  <c r="N112" i="3" s="1"/>
  <c r="Z112" i="3" s="1"/>
  <c r="AA112" i="3" s="1"/>
  <c r="Y92" i="3"/>
  <c r="M109" i="3"/>
  <c r="N109" i="3" s="1"/>
  <c r="AO109" i="3" s="1"/>
  <c r="AP109" i="3" s="1"/>
  <c r="AN136" i="3"/>
  <c r="AN55" i="3"/>
  <c r="Y43" i="3"/>
  <c r="L249" i="3"/>
  <c r="M249" i="3" s="1"/>
  <c r="N249" i="3" s="1"/>
  <c r="AN215" i="3"/>
  <c r="AN6" i="3"/>
  <c r="J43" i="3"/>
  <c r="K43" i="3" s="1"/>
  <c r="L43" i="3" s="1"/>
  <c r="J178" i="3"/>
  <c r="K178" i="3" s="1"/>
  <c r="L178" i="3" s="1"/>
  <c r="M178" i="3" s="1"/>
  <c r="N178" i="3" s="1"/>
  <c r="AN103" i="3"/>
  <c r="J94" i="3"/>
  <c r="K94" i="3" s="1"/>
  <c r="Y38" i="3"/>
  <c r="AL38" i="3"/>
  <c r="AN38" i="3"/>
  <c r="AL59" i="3"/>
  <c r="AL145" i="3"/>
  <c r="M221" i="3"/>
  <c r="N221" i="3" s="1"/>
  <c r="Z221" i="3" s="1"/>
  <c r="AA221" i="3" s="1"/>
  <c r="J245" i="3"/>
  <c r="K245" i="3" s="1"/>
  <c r="L245" i="3" s="1"/>
  <c r="M245" i="3" s="1"/>
  <c r="K226" i="3"/>
  <c r="L226" i="3" s="1"/>
  <c r="M226" i="3" s="1"/>
  <c r="Z73" i="3"/>
  <c r="AA73" i="3" s="1"/>
  <c r="J69" i="3"/>
  <c r="K69" i="3" s="1"/>
  <c r="Y69" i="3"/>
  <c r="J58" i="3"/>
  <c r="K58" i="3" s="1"/>
  <c r="J59" i="3"/>
  <c r="K59" i="3" s="1"/>
  <c r="AN156" i="3"/>
  <c r="AL222" i="3"/>
  <c r="AL270" i="3"/>
  <c r="AN188" i="3"/>
  <c r="AN225" i="3"/>
  <c r="AN62" i="3"/>
  <c r="AM187" i="3"/>
  <c r="AL6" i="3"/>
  <c r="AN139" i="3"/>
  <c r="AN161" i="3"/>
  <c r="L67" i="3"/>
  <c r="M67" i="3" s="1"/>
  <c r="N67" i="3" s="1"/>
  <c r="AL173" i="3"/>
  <c r="L140" i="3"/>
  <c r="M140" i="3" s="1"/>
  <c r="AL93" i="3"/>
  <c r="AN247" i="3"/>
  <c r="AN245" i="3"/>
  <c r="AN222" i="3"/>
  <c r="AL80" i="3"/>
  <c r="AL55" i="3"/>
  <c r="Y226" i="3"/>
  <c r="AL185" i="3"/>
  <c r="AL234" i="3"/>
  <c r="AN98" i="3"/>
  <c r="AL51" i="3"/>
  <c r="AL178" i="3"/>
  <c r="AL264" i="3"/>
  <c r="AL20" i="3"/>
  <c r="AN186" i="3"/>
  <c r="AL78" i="3"/>
  <c r="AL245" i="3"/>
  <c r="Y222" i="3"/>
  <c r="AL23" i="3"/>
  <c r="AN231" i="3"/>
  <c r="AN57" i="3"/>
  <c r="L129" i="3"/>
  <c r="M129" i="3" s="1"/>
  <c r="N129" i="3" s="1"/>
  <c r="AN41" i="3"/>
  <c r="AN58" i="3"/>
  <c r="AL35" i="3"/>
  <c r="Y208" i="3"/>
  <c r="AL208" i="3"/>
  <c r="AN208" i="3"/>
  <c r="AN31" i="3"/>
  <c r="AL184" i="3"/>
  <c r="AL153" i="3"/>
  <c r="AN128" i="3"/>
  <c r="AL137" i="3"/>
  <c r="AL247" i="3"/>
  <c r="AN97" i="3"/>
  <c r="N239" i="3"/>
  <c r="AO239" i="3" s="1"/>
  <c r="AP239" i="3" s="1"/>
  <c r="AL32" i="3"/>
  <c r="AN94" i="3"/>
  <c r="AL167" i="3"/>
  <c r="AL117" i="3"/>
  <c r="AL232" i="3"/>
  <c r="AN244" i="3"/>
  <c r="AL189" i="3"/>
  <c r="AN232" i="3"/>
  <c r="AN22" i="3"/>
  <c r="AL22" i="3"/>
  <c r="AL57" i="3"/>
  <c r="AN181" i="3"/>
  <c r="AL181" i="3"/>
  <c r="AL85" i="3"/>
  <c r="Y31" i="3"/>
  <c r="Y84" i="3"/>
  <c r="AN117" i="3"/>
  <c r="AN72" i="3"/>
  <c r="J92" i="3"/>
  <c r="K92" i="3" s="1"/>
  <c r="AN118" i="3"/>
  <c r="AL206" i="3"/>
  <c r="AL92" i="3"/>
  <c r="AL253" i="3"/>
  <c r="AL52" i="3"/>
  <c r="AN206" i="3"/>
  <c r="AL75" i="3"/>
  <c r="AN17" i="3"/>
  <c r="AL128" i="3"/>
  <c r="AN173" i="3"/>
  <c r="AL226" i="3"/>
  <c r="K250" i="3"/>
  <c r="L250" i="3" s="1"/>
  <c r="AL34" i="3"/>
  <c r="AN75" i="3"/>
  <c r="AN270" i="3"/>
  <c r="AN253" i="3"/>
  <c r="Y99" i="3"/>
  <c r="AL99" i="3"/>
  <c r="AL45" i="3"/>
  <c r="I104" i="3"/>
  <c r="AL104" i="3" s="1"/>
  <c r="AL215" i="3"/>
  <c r="AL103" i="3"/>
  <c r="Y243" i="3"/>
  <c r="AL156" i="3"/>
  <c r="AL186" i="3"/>
  <c r="AN53" i="3"/>
  <c r="AM100" i="3"/>
  <c r="AN80" i="3"/>
  <c r="AN113" i="3"/>
  <c r="AN85" i="3"/>
  <c r="Y131" i="3"/>
  <c r="J84" i="3"/>
  <c r="K84" i="3" s="1"/>
  <c r="AN229" i="3"/>
  <c r="AN59" i="3"/>
  <c r="J138" i="3"/>
  <c r="K138" i="3" s="1"/>
  <c r="L138" i="3" s="1"/>
  <c r="AL84" i="3"/>
  <c r="AN226" i="3"/>
  <c r="AL205" i="3"/>
  <c r="AL231" i="3"/>
  <c r="AN99" i="3"/>
  <c r="AL225" i="3"/>
  <c r="AL41" i="3"/>
  <c r="AL94" i="3"/>
  <c r="AL138" i="3"/>
  <c r="Y167" i="3"/>
  <c r="J167" i="3"/>
  <c r="Y103" i="3"/>
  <c r="Y242" i="3"/>
  <c r="AN138" i="3"/>
  <c r="Y55" i="3"/>
  <c r="L123" i="3"/>
  <c r="M123" i="3" s="1"/>
  <c r="N123" i="3" s="1"/>
  <c r="J205" i="3"/>
  <c r="AL242" i="3"/>
  <c r="J208" i="3"/>
  <c r="K208" i="3" s="1"/>
  <c r="Y205" i="3"/>
  <c r="Y35" i="3"/>
  <c r="J35" i="3"/>
  <c r="K35" i="3" s="1"/>
  <c r="J44" i="3"/>
  <c r="K44" i="3" s="1"/>
  <c r="L44" i="3" s="1"/>
  <c r="J156" i="3"/>
  <c r="K156" i="3" s="1"/>
  <c r="AO269" i="3"/>
  <c r="AP269" i="3" s="1"/>
  <c r="I102" i="3"/>
  <c r="J102" i="3" s="1"/>
  <c r="K102" i="3" s="1"/>
  <c r="I46" i="3"/>
  <c r="J46" i="3" s="1"/>
  <c r="K46" i="3" s="1"/>
  <c r="L46" i="3" s="1"/>
  <c r="Z187" i="3"/>
  <c r="AA187" i="3" s="1"/>
  <c r="AL229" i="3"/>
  <c r="AO199" i="3"/>
  <c r="AP199" i="3" s="1"/>
  <c r="AL266" i="3"/>
  <c r="AL241" i="3"/>
  <c r="I207" i="3"/>
  <c r="Y207" i="3" s="1"/>
  <c r="Y6" i="3"/>
  <c r="N15" i="3"/>
  <c r="AO15" i="3" s="1"/>
  <c r="AP15" i="3" s="1"/>
  <c r="AQ15" i="3" s="1"/>
  <c r="N8" i="3"/>
  <c r="AO8" i="3" s="1"/>
  <c r="AP8" i="3" s="1"/>
  <c r="M111" i="3"/>
  <c r="N111" i="3" s="1"/>
  <c r="J191" i="3"/>
  <c r="K191" i="3" s="1"/>
  <c r="Y41" i="3"/>
  <c r="L265" i="3"/>
  <c r="M265" i="3" s="1"/>
  <c r="J241" i="3"/>
  <c r="K241" i="3" s="1"/>
  <c r="Y241" i="3"/>
  <c r="N107" i="3"/>
  <c r="AM107" i="3" s="1"/>
  <c r="J266" i="3"/>
  <c r="K266" i="3" s="1"/>
  <c r="AM199" i="3"/>
  <c r="AN241" i="3"/>
  <c r="J128" i="3"/>
  <c r="K128" i="3" s="1"/>
  <c r="I54" i="3"/>
  <c r="AN54" i="3" s="1"/>
  <c r="L215" i="3"/>
  <c r="M215" i="3" s="1"/>
  <c r="N215" i="3" s="1"/>
  <c r="I210" i="3"/>
  <c r="AN210" i="3" s="1"/>
  <c r="J33" i="3"/>
  <c r="K33" i="3" s="1"/>
  <c r="Z21" i="3"/>
  <c r="AA21" i="3" s="1"/>
  <c r="AO21" i="3"/>
  <c r="AP21" i="3" s="1"/>
  <c r="AM21" i="3"/>
  <c r="L209" i="3"/>
  <c r="M209" i="3" s="1"/>
  <c r="L170" i="3"/>
  <c r="M170" i="3" s="1"/>
  <c r="L36" i="3"/>
  <c r="Y220" i="3"/>
  <c r="J220" i="3"/>
  <c r="K220" i="3" s="1"/>
  <c r="L220" i="3" s="1"/>
  <c r="K243" i="3"/>
  <c r="L243" i="3" s="1"/>
  <c r="J229" i="3"/>
  <c r="K229" i="3" s="1"/>
  <c r="Y229" i="3"/>
  <c r="M71" i="3"/>
  <c r="N71" i="3" s="1"/>
  <c r="Z71" i="3" s="1"/>
  <c r="AA71" i="3" s="1"/>
  <c r="I157" i="3"/>
  <c r="J157" i="3" s="1"/>
  <c r="K157" i="3" s="1"/>
  <c r="L157" i="3" s="1"/>
  <c r="Y181" i="3"/>
  <c r="Y85" i="3"/>
  <c r="AO73" i="3"/>
  <c r="AP73" i="3" s="1"/>
  <c r="M77" i="3"/>
  <c r="N77" i="3" s="1"/>
  <c r="AO77" i="3" s="1"/>
  <c r="AP77" i="3" s="1"/>
  <c r="AQ77" i="3" s="1"/>
  <c r="M268" i="3"/>
  <c r="N268" i="3" s="1"/>
  <c r="Z268" i="3" s="1"/>
  <c r="AA268" i="3" s="1"/>
  <c r="J93" i="3"/>
  <c r="Y93" i="3"/>
  <c r="K91" i="3"/>
  <c r="L91" i="3" s="1"/>
  <c r="AN220" i="3"/>
  <c r="Y266" i="3"/>
  <c r="I262" i="3"/>
  <c r="AN262" i="3" s="1"/>
  <c r="L126" i="3"/>
  <c r="M126" i="3" s="1"/>
  <c r="N126" i="3" s="1"/>
  <c r="N194" i="3"/>
  <c r="Z194" i="3" s="1"/>
  <c r="AA194" i="3" s="1"/>
  <c r="AL97" i="3"/>
  <c r="M37" i="3"/>
  <c r="N37" i="3" s="1"/>
  <c r="Z37" i="3" s="1"/>
  <c r="AA37" i="3" s="1"/>
  <c r="I228" i="3"/>
  <c r="Y228" i="3" s="1"/>
  <c r="M154" i="3"/>
  <c r="N154" i="3" s="1"/>
  <c r="Y53" i="3"/>
  <c r="K55" i="3"/>
  <c r="L55" i="3" s="1"/>
  <c r="M55" i="3" s="1"/>
  <c r="M66" i="3"/>
  <c r="N66" i="3" s="1"/>
  <c r="J218" i="3"/>
  <c r="I213" i="3"/>
  <c r="J213" i="3" s="1"/>
  <c r="K127" i="3"/>
  <c r="L127" i="3" s="1"/>
  <c r="L148" i="3"/>
  <c r="M148" i="3" s="1"/>
  <c r="M165" i="3"/>
  <c r="N165" i="3" s="1"/>
  <c r="AO165" i="3" s="1"/>
  <c r="AP165" i="3" s="1"/>
  <c r="AQ165" i="3" s="1"/>
  <c r="L216" i="3"/>
  <c r="M216" i="3" s="1"/>
  <c r="N216" i="3" s="1"/>
  <c r="L173" i="3"/>
  <c r="M173" i="3" s="1"/>
  <c r="N173" i="3" s="1"/>
  <c r="M202" i="3"/>
  <c r="N202" i="3" s="1"/>
  <c r="Z202" i="3" s="1"/>
  <c r="AA202" i="3" s="1"/>
  <c r="Z100" i="3"/>
  <c r="AA100" i="3" s="1"/>
  <c r="L42" i="3"/>
  <c r="M42" i="3" s="1"/>
  <c r="K41" i="3"/>
  <c r="L41" i="3" s="1"/>
  <c r="M41" i="3" s="1"/>
  <c r="K222" i="3"/>
  <c r="L222" i="3" s="1"/>
  <c r="M222" i="3" s="1"/>
  <c r="K185" i="3"/>
  <c r="AM257" i="3"/>
  <c r="AO106" i="3"/>
  <c r="AP106" i="3" s="1"/>
  <c r="AQ106" i="3" s="1"/>
  <c r="K53" i="3"/>
  <c r="L53" i="3" s="1"/>
  <c r="M18" i="3"/>
  <c r="N18" i="3" s="1"/>
  <c r="L160" i="3"/>
  <c r="M160" i="3" s="1"/>
  <c r="AM56" i="3"/>
  <c r="Z56" i="3"/>
  <c r="AA56" i="3" s="1"/>
  <c r="AO56" i="3"/>
  <c r="AP56" i="3" s="1"/>
  <c r="AQ56" i="3" s="1"/>
  <c r="N99" i="3"/>
  <c r="AR260" i="3"/>
  <c r="Y78" i="3"/>
  <c r="J78" i="3"/>
  <c r="K78" i="3" s="1"/>
  <c r="L78" i="3" s="1"/>
  <c r="J120" i="3"/>
  <c r="K120" i="3" s="1"/>
  <c r="L120" i="3" s="1"/>
  <c r="Y22" i="3"/>
  <c r="J22" i="3"/>
  <c r="K22" i="3" s="1"/>
  <c r="L22" i="3" s="1"/>
  <c r="M22" i="3" s="1"/>
  <c r="I200" i="3"/>
  <c r="Y200" i="3" s="1"/>
  <c r="K251" i="3"/>
  <c r="L251" i="3" s="1"/>
  <c r="AN266" i="3"/>
  <c r="I12" i="3"/>
  <c r="J12" i="3" s="1"/>
  <c r="K225" i="3"/>
  <c r="L225" i="3" s="1"/>
  <c r="K28" i="3"/>
  <c r="L28" i="3" s="1"/>
  <c r="L68" i="3"/>
  <c r="M68" i="3" s="1"/>
  <c r="N198" i="3"/>
  <c r="Z198" i="3" s="1"/>
  <c r="AA198" i="3" s="1"/>
  <c r="J270" i="3"/>
  <c r="K270" i="3" s="1"/>
  <c r="J264" i="3"/>
  <c r="K264" i="3" s="1"/>
  <c r="L264" i="3" s="1"/>
  <c r="J188" i="3"/>
  <c r="K188" i="3" s="1"/>
  <c r="Y188" i="3"/>
  <c r="I182" i="3"/>
  <c r="AL182" i="3" s="1"/>
  <c r="K95" i="3"/>
  <c r="L95" i="3" s="1"/>
  <c r="K97" i="3"/>
  <c r="L97" i="3" s="1"/>
  <c r="L146" i="3"/>
  <c r="M146" i="3" s="1"/>
  <c r="N146" i="3" s="1"/>
  <c r="I193" i="3"/>
  <c r="Y193" i="3" s="1"/>
  <c r="AN120" i="3"/>
  <c r="Y231" i="3"/>
  <c r="I175" i="3"/>
  <c r="AN175" i="3" s="1"/>
  <c r="J23" i="3"/>
  <c r="Y23" i="3"/>
  <c r="N143" i="3"/>
  <c r="Z143" i="3" s="1"/>
  <c r="AA143" i="3" s="1"/>
  <c r="J189" i="3"/>
  <c r="K189" i="3" s="1"/>
  <c r="Y57" i="3"/>
  <c r="AN27" i="3"/>
  <c r="M223" i="3"/>
  <c r="N223" i="3" s="1"/>
  <c r="Z223" i="3" s="1"/>
  <c r="AA223" i="3" s="1"/>
  <c r="N190" i="3"/>
  <c r="AM190" i="3" s="1"/>
  <c r="K171" i="3"/>
  <c r="L171" i="3" s="1"/>
  <c r="J242" i="3"/>
  <c r="K242" i="3" s="1"/>
  <c r="L242" i="3" s="1"/>
  <c r="AM106" i="3"/>
  <c r="L255" i="3"/>
  <c r="M255" i="3" s="1"/>
  <c r="K48" i="3"/>
  <c r="L48" i="3" s="1"/>
  <c r="L197" i="3"/>
  <c r="M197" i="3" s="1"/>
  <c r="J51" i="3"/>
  <c r="Y27" i="3"/>
  <c r="N169" i="3"/>
  <c r="AO169" i="3" s="1"/>
  <c r="AP169" i="3" s="1"/>
  <c r="AQ169" i="3" s="1"/>
  <c r="Y215" i="3"/>
  <c r="K39" i="3"/>
  <c r="Z106" i="3"/>
  <c r="AA106" i="3" s="1"/>
  <c r="Y206" i="3"/>
  <c r="J147" i="3"/>
  <c r="K147" i="3" s="1"/>
  <c r="Y34" i="3"/>
  <c r="K227" i="3"/>
  <c r="K75" i="3"/>
  <c r="L75" i="3" s="1"/>
  <c r="M75" i="3" s="1"/>
  <c r="AL33" i="3"/>
  <c r="AN33" i="3"/>
  <c r="J27" i="3"/>
  <c r="K158" i="3"/>
  <c r="L158" i="3" s="1"/>
  <c r="M158" i="3" s="1"/>
  <c r="Y233" i="3"/>
  <c r="Y184" i="3"/>
  <c r="M14" i="3"/>
  <c r="M219" i="3"/>
  <c r="Y161" i="3"/>
  <c r="J161" i="3"/>
  <c r="J153" i="3"/>
  <c r="K153" i="3" s="1"/>
  <c r="L153" i="3" s="1"/>
  <c r="AM73" i="3"/>
  <c r="J60" i="3"/>
  <c r="I130" i="3"/>
  <c r="AN130" i="3" s="1"/>
  <c r="M258" i="3"/>
  <c r="N258" i="3" s="1"/>
  <c r="AO258" i="3" s="1"/>
  <c r="AP258" i="3" s="1"/>
  <c r="AQ258" i="3" s="1"/>
  <c r="Z70" i="3"/>
  <c r="AA70" i="3" s="1"/>
  <c r="Y264" i="3"/>
  <c r="N254" i="3"/>
  <c r="AM254" i="3" s="1"/>
  <c r="Y113" i="3"/>
  <c r="N81" i="3"/>
  <c r="AO81" i="3" s="1"/>
  <c r="AP81" i="3" s="1"/>
  <c r="AQ81" i="3" s="1"/>
  <c r="M152" i="3"/>
  <c r="N152" i="3" s="1"/>
  <c r="AO152" i="3" s="1"/>
  <c r="AP152" i="3" s="1"/>
  <c r="AQ152" i="3" s="1"/>
  <c r="K181" i="3"/>
  <c r="M134" i="3"/>
  <c r="N134" i="3" s="1"/>
  <c r="AO134" i="3" s="1"/>
  <c r="AP134" i="3" s="1"/>
  <c r="AQ134" i="3" s="1"/>
  <c r="N142" i="3"/>
  <c r="AM142" i="3" s="1"/>
  <c r="M133" i="3"/>
  <c r="I144" i="3"/>
  <c r="AL144" i="3" s="1"/>
  <c r="L20" i="3"/>
  <c r="L124" i="3"/>
  <c r="J38" i="3"/>
  <c r="K238" i="3"/>
  <c r="K13" i="3"/>
  <c r="L13" i="3" s="1"/>
  <c r="K176" i="3"/>
  <c r="L176" i="3" s="1"/>
  <c r="K76" i="3"/>
  <c r="L76" i="3" s="1"/>
  <c r="K177" i="3"/>
  <c r="L177" i="3" s="1"/>
  <c r="Y97" i="3"/>
  <c r="K192" i="3"/>
  <c r="L192" i="3" s="1"/>
  <c r="Y60" i="3"/>
  <c r="I26" i="3"/>
  <c r="AN26" i="3" s="1"/>
  <c r="J186" i="3"/>
  <c r="K206" i="3"/>
  <c r="L206" i="3" s="1"/>
  <c r="M206" i="3" s="1"/>
  <c r="Y75" i="3"/>
  <c r="Y244" i="3"/>
  <c r="J184" i="3"/>
  <c r="K184" i="3" s="1"/>
  <c r="K162" i="3"/>
  <c r="L162" i="3" s="1"/>
  <c r="M162" i="3" s="1"/>
  <c r="AR100" i="3"/>
  <c r="K17" i="3"/>
  <c r="I87" i="3"/>
  <c r="J87" i="3" s="1"/>
  <c r="I125" i="3"/>
  <c r="J125" i="3" s="1"/>
  <c r="L79" i="3"/>
  <c r="M79" i="3" s="1"/>
  <c r="M116" i="3"/>
  <c r="N116" i="3" s="1"/>
  <c r="Z116" i="3" s="1"/>
  <c r="AA116" i="3" s="1"/>
  <c r="L89" i="3"/>
  <c r="M259" i="3"/>
  <c r="L83" i="3"/>
  <c r="I90" i="3"/>
  <c r="AL90" i="3" s="1"/>
  <c r="L4" i="3"/>
  <c r="M4" i="3" s="1"/>
  <c r="K271" i="3"/>
  <c r="L149" i="3"/>
  <c r="M149" i="3" s="1"/>
  <c r="J80" i="3"/>
  <c r="K80" i="3" s="1"/>
  <c r="Z269" i="3"/>
  <c r="AA269" i="3" s="1"/>
  <c r="AO257" i="3"/>
  <c r="AP257" i="3" s="1"/>
  <c r="AQ257" i="3" s="1"/>
  <c r="AL62" i="3"/>
  <c r="M196" i="3"/>
  <c r="N196" i="3" s="1"/>
  <c r="L6" i="3"/>
  <c r="J32" i="3"/>
  <c r="N267" i="3"/>
  <c r="Z267" i="3" s="1"/>
  <c r="AA267" i="3" s="1"/>
  <c r="J31" i="3"/>
  <c r="K31" i="3" s="1"/>
  <c r="L224" i="3"/>
  <c r="M224" i="3" s="1"/>
  <c r="N224" i="3" s="1"/>
  <c r="Y118" i="3"/>
  <c r="J98" i="3"/>
  <c r="K98" i="3" s="1"/>
  <c r="J45" i="3"/>
  <c r="Y45" i="3"/>
  <c r="I151" i="3"/>
  <c r="Y151" i="3" s="1"/>
  <c r="K10" i="3"/>
  <c r="L10" i="3" s="1"/>
  <c r="I121" i="3"/>
  <c r="Y121" i="3" s="1"/>
  <c r="I195" i="3"/>
  <c r="J195" i="3" s="1"/>
  <c r="K172" i="3"/>
  <c r="L163" i="3"/>
  <c r="M163" i="3" s="1"/>
  <c r="J118" i="3"/>
  <c r="K118" i="3" s="1"/>
  <c r="Y98" i="3"/>
  <c r="I16" i="3"/>
  <c r="J16" i="3" s="1"/>
  <c r="AL120" i="3"/>
  <c r="Y120" i="3"/>
  <c r="Y51" i="3"/>
  <c r="L164" i="3"/>
  <c r="I24" i="3"/>
  <c r="Y24" i="3" s="1"/>
  <c r="M110" i="3"/>
  <c r="N110" i="3" s="1"/>
  <c r="AM110" i="3" s="1"/>
  <c r="K57" i="3"/>
  <c r="K236" i="3"/>
  <c r="L236" i="3" s="1"/>
  <c r="Z257" i="3"/>
  <c r="AA257" i="3" s="1"/>
  <c r="L101" i="3"/>
  <c r="L119" i="3"/>
  <c r="M119" i="3" s="1"/>
  <c r="N119" i="3" s="1"/>
  <c r="L96" i="3"/>
  <c r="J232" i="3"/>
  <c r="K232" i="3" s="1"/>
  <c r="I174" i="3"/>
  <c r="J174" i="3" s="1"/>
  <c r="AM260" i="3"/>
  <c r="J233" i="3"/>
  <c r="K108" i="3"/>
  <c r="K204" i="3"/>
  <c r="K122" i="3"/>
  <c r="L122" i="3" s="1"/>
  <c r="AN147" i="3"/>
  <c r="Y147" i="3"/>
  <c r="AL147" i="3"/>
  <c r="N211" i="3"/>
  <c r="AO211" i="3" s="1"/>
  <c r="AP211" i="3" s="1"/>
  <c r="AQ211" i="3" s="1"/>
  <c r="J114" i="3"/>
  <c r="K114" i="3" s="1"/>
  <c r="Y114" i="3"/>
  <c r="K256" i="3"/>
  <c r="L256" i="3" s="1"/>
  <c r="Y17" i="3"/>
  <c r="AL17" i="3"/>
  <c r="M30" i="3"/>
  <c r="N30" i="3" s="1"/>
  <c r="Z30" i="3" s="1"/>
  <c r="AA30" i="3" s="1"/>
  <c r="J137" i="3"/>
  <c r="K137" i="3" s="1"/>
  <c r="AN137" i="3"/>
  <c r="N64" i="3"/>
  <c r="AM64" i="3" s="1"/>
  <c r="J247" i="3"/>
  <c r="K247" i="3" s="1"/>
  <c r="K103" i="3"/>
  <c r="L103" i="3" s="1"/>
  <c r="L179" i="3"/>
  <c r="I180" i="3"/>
  <c r="AN180" i="3" s="1"/>
  <c r="J135" i="3"/>
  <c r="K135" i="3" s="1"/>
  <c r="AN135" i="3"/>
  <c r="I61" i="3"/>
  <c r="AL61" i="3" s="1"/>
  <c r="L168" i="3"/>
  <c r="M168" i="3" s="1"/>
  <c r="I212" i="3"/>
  <c r="AN212" i="3" s="1"/>
  <c r="J62" i="3"/>
  <c r="AO70" i="3"/>
  <c r="AP70" i="3" s="1"/>
  <c r="AQ70" i="3" s="1"/>
  <c r="K113" i="3"/>
  <c r="L113" i="3" s="1"/>
  <c r="M113" i="3" s="1"/>
  <c r="K246" i="3"/>
  <c r="L49" i="3"/>
  <c r="L214" i="3"/>
  <c r="M220" i="3"/>
  <c r="AM70" i="3"/>
  <c r="K155" i="3"/>
  <c r="I115" i="3"/>
  <c r="AN115" i="3" s="1"/>
  <c r="Y52" i="3"/>
  <c r="K19" i="3"/>
  <c r="L19" i="3" s="1"/>
  <c r="Y173" i="3"/>
  <c r="L230" i="3"/>
  <c r="M230" i="3" s="1"/>
  <c r="K117" i="3"/>
  <c r="M65" i="3"/>
  <c r="M141" i="3"/>
  <c r="Y32" i="3"/>
  <c r="J34" i="3"/>
  <c r="Y117" i="3"/>
  <c r="L217" i="3"/>
  <c r="M217" i="3" s="1"/>
  <c r="K74" i="3"/>
  <c r="L74" i="3" s="1"/>
  <c r="K159" i="3"/>
  <c r="L159" i="3" s="1"/>
  <c r="Y72" i="3"/>
  <c r="J72" i="3"/>
  <c r="L47" i="3"/>
  <c r="M47" i="3" s="1"/>
  <c r="L82" i="3"/>
  <c r="M82" i="3" s="1"/>
  <c r="J145" i="3"/>
  <c r="L88" i="3"/>
  <c r="K105" i="3"/>
  <c r="L86" i="3"/>
  <c r="Y189" i="3"/>
  <c r="N235" i="3"/>
  <c r="Z235" i="3" s="1"/>
  <c r="AA235" i="3" s="1"/>
  <c r="AN242" i="3"/>
  <c r="Y234" i="3"/>
  <c r="J52" i="3"/>
  <c r="Y185" i="3"/>
  <c r="J253" i="3"/>
  <c r="AM71" i="3"/>
  <c r="M183" i="3"/>
  <c r="L132" i="3"/>
  <c r="M132" i="3" s="1"/>
  <c r="J85" i="3"/>
  <c r="J244" i="3"/>
  <c r="K244" i="3" s="1"/>
  <c r="I29" i="3"/>
  <c r="Y29" i="3" s="1"/>
  <c r="K231" i="3"/>
  <c r="M63" i="3"/>
  <c r="N63" i="3" s="1"/>
  <c r="Y153" i="3"/>
  <c r="L150" i="3"/>
  <c r="AR187" i="3"/>
  <c r="L5" i="3"/>
  <c r="M201" i="3"/>
  <c r="J139" i="3"/>
  <c r="Y139" i="3"/>
  <c r="I40" i="3"/>
  <c r="AN40" i="3" s="1"/>
  <c r="M261" i="3"/>
  <c r="K50" i="3"/>
  <c r="AL135" i="3"/>
  <c r="K166" i="3"/>
  <c r="L252" i="3"/>
  <c r="J234" i="3"/>
  <c r="K203" i="3"/>
  <c r="M25" i="3"/>
  <c r="Z260" i="3"/>
  <c r="AA260" i="3" s="1"/>
  <c r="K263" i="3"/>
  <c r="L263" i="3" s="1"/>
  <c r="Y145" i="3"/>
  <c r="L240" i="3"/>
  <c r="L11" i="3"/>
  <c r="L248" i="3"/>
  <c r="Y225" i="3"/>
  <c r="AR384" i="3" l="1"/>
  <c r="L237" i="3"/>
  <c r="M237" i="3" s="1"/>
  <c r="AQ284" i="3"/>
  <c r="J193" i="3"/>
  <c r="AO339" i="3"/>
  <c r="AP339" i="3" s="1"/>
  <c r="Z339" i="3"/>
  <c r="AA339" i="3" s="1"/>
  <c r="AO313" i="3"/>
  <c r="AP313" i="3" s="1"/>
  <c r="Z313" i="3"/>
  <c r="AA313" i="3" s="1"/>
  <c r="AQ320" i="3"/>
  <c r="AR320" i="3"/>
  <c r="J228" i="3"/>
  <c r="K228" i="3" s="1"/>
  <c r="AM339" i="3"/>
  <c r="AM109" i="3"/>
  <c r="L191" i="3"/>
  <c r="AQ409" i="3"/>
  <c r="AR409" i="3"/>
  <c r="AQ281" i="3"/>
  <c r="AR281" i="3"/>
  <c r="AQ401" i="3"/>
  <c r="AR401" i="3"/>
  <c r="L92" i="3"/>
  <c r="AL54" i="3"/>
  <c r="Z109" i="3"/>
  <c r="AA109" i="3" s="1"/>
  <c r="Y46" i="3"/>
  <c r="AR199" i="3"/>
  <c r="AQ199" i="3"/>
  <c r="AR239" i="3"/>
  <c r="AQ239" i="3"/>
  <c r="AR109" i="3"/>
  <c r="AQ109" i="3"/>
  <c r="AR73" i="3"/>
  <c r="AQ73" i="3"/>
  <c r="AR21" i="3"/>
  <c r="AQ21" i="3"/>
  <c r="AR269" i="3"/>
  <c r="AQ269" i="3"/>
  <c r="AR8" i="3"/>
  <c r="AQ8" i="3"/>
  <c r="Y175" i="3"/>
  <c r="AN200" i="3"/>
  <c r="Y262" i="3"/>
  <c r="AM8" i="3"/>
  <c r="AL46" i="3"/>
  <c r="AM239" i="3"/>
  <c r="AO215" i="3"/>
  <c r="AP215" i="3" s="1"/>
  <c r="AQ215" i="3" s="1"/>
  <c r="AL130" i="3"/>
  <c r="J262" i="3"/>
  <c r="K262" i="3" s="1"/>
  <c r="L262" i="3" s="1"/>
  <c r="AN157" i="3"/>
  <c r="J104" i="3"/>
  <c r="K104" i="3" s="1"/>
  <c r="L59" i="3"/>
  <c r="M59" i="3" s="1"/>
  <c r="AO143" i="3"/>
  <c r="AP143" i="3" s="1"/>
  <c r="Y102" i="3"/>
  <c r="AM143" i="3"/>
  <c r="AN90" i="3"/>
  <c r="AL262" i="3"/>
  <c r="J24" i="3"/>
  <c r="K24" i="3" s="1"/>
  <c r="AN193" i="3"/>
  <c r="AM194" i="3"/>
  <c r="Y26" i="3"/>
  <c r="Y104" i="3"/>
  <c r="AN104" i="3"/>
  <c r="N226" i="3"/>
  <c r="Z226" i="3" s="1"/>
  <c r="AA226" i="3" s="1"/>
  <c r="N255" i="3"/>
  <c r="AO255" i="3" s="1"/>
  <c r="AP255" i="3" s="1"/>
  <c r="Y182" i="3"/>
  <c r="AN125" i="3"/>
  <c r="AL24" i="3"/>
  <c r="M43" i="3"/>
  <c r="N43" i="3" s="1"/>
  <c r="L33" i="3"/>
  <c r="M33" i="3" s="1"/>
  <c r="N33" i="3" s="1"/>
  <c r="Z33" i="3" s="1"/>
  <c r="AA33" i="3" s="1"/>
  <c r="Z111" i="3"/>
  <c r="AA111" i="3" s="1"/>
  <c r="AL207" i="3"/>
  <c r="AM112" i="3"/>
  <c r="Z8" i="3"/>
  <c r="AA8" i="3" s="1"/>
  <c r="Z190" i="3"/>
  <c r="AA190" i="3" s="1"/>
  <c r="J200" i="3"/>
  <c r="K200" i="3" s="1"/>
  <c r="AO71" i="3"/>
  <c r="AP71" i="3" s="1"/>
  <c r="J207" i="3"/>
  <c r="K207" i="3" s="1"/>
  <c r="AL87" i="3"/>
  <c r="AL26" i="3"/>
  <c r="AL200" i="3"/>
  <c r="AL193" i="3"/>
  <c r="M138" i="3"/>
  <c r="N138" i="3" s="1"/>
  <c r="AM99" i="3"/>
  <c r="Z154" i="3"/>
  <c r="AA154" i="3" s="1"/>
  <c r="AO154" i="3"/>
  <c r="AP154" i="3" s="1"/>
  <c r="AM154" i="3"/>
  <c r="AM198" i="3"/>
  <c r="Z239" i="3"/>
  <c r="AA239" i="3" s="1"/>
  <c r="AL212" i="3"/>
  <c r="AN121" i="3"/>
  <c r="AL228" i="3"/>
  <c r="AN213" i="3"/>
  <c r="AN207" i="3"/>
  <c r="AL121" i="3"/>
  <c r="AL16" i="3"/>
  <c r="AN12" i="3"/>
  <c r="AO129" i="3"/>
  <c r="AP129" i="3" s="1"/>
  <c r="AM123" i="3"/>
  <c r="Z123" i="3"/>
  <c r="AA123" i="3" s="1"/>
  <c r="AN87" i="3"/>
  <c r="AL210" i="3"/>
  <c r="Z254" i="3"/>
  <c r="AA254" i="3" s="1"/>
  <c r="Z18" i="3"/>
  <c r="AA18" i="3" s="1"/>
  <c r="J175" i="3"/>
  <c r="K175" i="3" s="1"/>
  <c r="AN61" i="3"/>
  <c r="AN182" i="3"/>
  <c r="AL115" i="3"/>
  <c r="M92" i="3"/>
  <c r="AN144" i="3"/>
  <c r="AN174" i="3"/>
  <c r="M250" i="3"/>
  <c r="N250" i="3" s="1"/>
  <c r="Z250" i="3" s="1"/>
  <c r="AA250" i="3" s="1"/>
  <c r="AL157" i="3"/>
  <c r="AL180" i="3"/>
  <c r="AN151" i="3"/>
  <c r="AO202" i="3"/>
  <c r="AP202" i="3" s="1"/>
  <c r="AL175" i="3"/>
  <c r="AO198" i="3"/>
  <c r="AP198" i="3" s="1"/>
  <c r="AM15" i="3"/>
  <c r="Y157" i="3"/>
  <c r="AL174" i="3"/>
  <c r="AL151" i="3"/>
  <c r="AN29" i="3"/>
  <c r="AN24" i="3"/>
  <c r="N59" i="3"/>
  <c r="Z59" i="3" s="1"/>
  <c r="AA59" i="3" s="1"/>
  <c r="L266" i="3"/>
  <c r="M266" i="3" s="1"/>
  <c r="AL102" i="3"/>
  <c r="AN46" i="3"/>
  <c r="AN228" i="3"/>
  <c r="AL12" i="3"/>
  <c r="AL40" i="3"/>
  <c r="AL29" i="3"/>
  <c r="Z15" i="3"/>
  <c r="AA15" i="3" s="1"/>
  <c r="AO190" i="3"/>
  <c r="AP190" i="3" s="1"/>
  <c r="L128" i="3"/>
  <c r="M128" i="3" s="1"/>
  <c r="AL213" i="3"/>
  <c r="AM215" i="3"/>
  <c r="AN16" i="3"/>
  <c r="AL195" i="3"/>
  <c r="AL125" i="3"/>
  <c r="AN195" i="3"/>
  <c r="AN102" i="3"/>
  <c r="L35" i="3"/>
  <c r="M35" i="3" s="1"/>
  <c r="N35" i="3" s="1"/>
  <c r="J29" i="3"/>
  <c r="K29" i="3" s="1"/>
  <c r="Y125" i="3"/>
  <c r="L241" i="3"/>
  <c r="M241" i="3" s="1"/>
  <c r="N241" i="3" s="1"/>
  <c r="AO111" i="3"/>
  <c r="AP111" i="3" s="1"/>
  <c r="K205" i="3"/>
  <c r="L205" i="3" s="1"/>
  <c r="M205" i="3" s="1"/>
  <c r="K167" i="3"/>
  <c r="L167" i="3" s="1"/>
  <c r="AM111" i="3"/>
  <c r="N170" i="3"/>
  <c r="AO170" i="3" s="1"/>
  <c r="AP170" i="3" s="1"/>
  <c r="AO107" i="3"/>
  <c r="AP107" i="3" s="1"/>
  <c r="M48" i="3"/>
  <c r="N48" i="3" s="1"/>
  <c r="AO48" i="3" s="1"/>
  <c r="AP48" i="3" s="1"/>
  <c r="AQ48" i="3" s="1"/>
  <c r="Z107" i="3"/>
  <c r="AA107" i="3" s="1"/>
  <c r="AO235" i="3"/>
  <c r="AP235" i="3" s="1"/>
  <c r="Y174" i="3"/>
  <c r="Z196" i="3"/>
  <c r="AA196" i="3" s="1"/>
  <c r="J151" i="3"/>
  <c r="K151" i="3" s="1"/>
  <c r="L172" i="3"/>
  <c r="M172" i="3" s="1"/>
  <c r="N172" i="3" s="1"/>
  <c r="Z172" i="3" s="1"/>
  <c r="AA172" i="3" s="1"/>
  <c r="AO194" i="3"/>
  <c r="AP194" i="3" s="1"/>
  <c r="AM129" i="3"/>
  <c r="Y54" i="3"/>
  <c r="J54" i="3"/>
  <c r="Z129" i="3"/>
  <c r="AA129" i="3" s="1"/>
  <c r="L137" i="3"/>
  <c r="M137" i="3" s="1"/>
  <c r="AO249" i="3"/>
  <c r="AP249" i="3" s="1"/>
  <c r="M91" i="3"/>
  <c r="Y210" i="3"/>
  <c r="J210" i="3"/>
  <c r="K210" i="3" s="1"/>
  <c r="AM235" i="3"/>
  <c r="M74" i="3"/>
  <c r="N74" i="3" s="1"/>
  <c r="AM74" i="3" s="1"/>
  <c r="Z249" i="3"/>
  <c r="AA249" i="3" s="1"/>
  <c r="AM173" i="3"/>
  <c r="AO173" i="3"/>
  <c r="AP173" i="3" s="1"/>
  <c r="AM126" i="3"/>
  <c r="Z126" i="3"/>
  <c r="AA126" i="3" s="1"/>
  <c r="AO126" i="3"/>
  <c r="AP126" i="3" s="1"/>
  <c r="M127" i="3"/>
  <c r="N127" i="3" s="1"/>
  <c r="AM66" i="3"/>
  <c r="Z66" i="3"/>
  <c r="AA66" i="3" s="1"/>
  <c r="AO66" i="3"/>
  <c r="AP66" i="3" s="1"/>
  <c r="N209" i="3"/>
  <c r="AM209" i="3" s="1"/>
  <c r="M252" i="3"/>
  <c r="N252" i="3" s="1"/>
  <c r="AM268" i="3"/>
  <c r="K32" i="3"/>
  <c r="L32" i="3" s="1"/>
  <c r="M192" i="3"/>
  <c r="N192" i="3" s="1"/>
  <c r="M177" i="3"/>
  <c r="N177" i="3" s="1"/>
  <c r="AM177" i="3" s="1"/>
  <c r="AM152" i="3"/>
  <c r="N158" i="3"/>
  <c r="AO158" i="3" s="1"/>
  <c r="AP158" i="3" s="1"/>
  <c r="N160" i="3"/>
  <c r="AM160" i="3" s="1"/>
  <c r="L185" i="3"/>
  <c r="M185" i="3" s="1"/>
  <c r="Z211" i="3"/>
  <c r="AA211" i="3" s="1"/>
  <c r="AO37" i="3"/>
  <c r="AP37" i="3" s="1"/>
  <c r="AM37" i="3"/>
  <c r="Z173" i="3"/>
  <c r="AA173" i="3" s="1"/>
  <c r="N82" i="3"/>
  <c r="Z82" i="3" s="1"/>
  <c r="AA82" i="3" s="1"/>
  <c r="AM211" i="3"/>
  <c r="AM165" i="3"/>
  <c r="AO112" i="3"/>
  <c r="AP112" i="3" s="1"/>
  <c r="N163" i="3"/>
  <c r="AO163" i="3" s="1"/>
  <c r="AP163" i="3" s="1"/>
  <c r="J121" i="3"/>
  <c r="K121" i="3" s="1"/>
  <c r="AM134" i="3"/>
  <c r="N259" i="3"/>
  <c r="Z259" i="3" s="1"/>
  <c r="AA259" i="3" s="1"/>
  <c r="AO7" i="3"/>
  <c r="AP7" i="3" s="1"/>
  <c r="M36" i="3"/>
  <c r="N36" i="3" s="1"/>
  <c r="Z36" i="3" s="1"/>
  <c r="AA36" i="3" s="1"/>
  <c r="K213" i="3"/>
  <c r="L213" i="3" s="1"/>
  <c r="K93" i="3"/>
  <c r="L93" i="3" s="1"/>
  <c r="M243" i="3"/>
  <c r="N148" i="3"/>
  <c r="L118" i="3"/>
  <c r="M118" i="3" s="1"/>
  <c r="M176" i="3"/>
  <c r="N176" i="3" s="1"/>
  <c r="AM258" i="3"/>
  <c r="AM119" i="3"/>
  <c r="Z110" i="3"/>
  <c r="AA110" i="3" s="1"/>
  <c r="M13" i="3"/>
  <c r="N13" i="3" s="1"/>
  <c r="L147" i="3"/>
  <c r="M147" i="3" s="1"/>
  <c r="N147" i="3" s="1"/>
  <c r="L189" i="3"/>
  <c r="M189" i="3" s="1"/>
  <c r="N189" i="3" s="1"/>
  <c r="Z189" i="3" s="1"/>
  <c r="AA189" i="3" s="1"/>
  <c r="L270" i="3"/>
  <c r="M270" i="3" s="1"/>
  <c r="AO18" i="3"/>
  <c r="K218" i="3"/>
  <c r="Y213" i="3"/>
  <c r="N42" i="3"/>
  <c r="Z42" i="3" s="1"/>
  <c r="AA42" i="3" s="1"/>
  <c r="N206" i="3"/>
  <c r="AM206" i="3" s="1"/>
  <c r="AR258" i="3"/>
  <c r="AR134" i="3"/>
  <c r="AR81" i="3"/>
  <c r="M120" i="3"/>
  <c r="N120" i="3" s="1"/>
  <c r="Z146" i="3"/>
  <c r="AA146" i="3" s="1"/>
  <c r="N22" i="3"/>
  <c r="AM22" i="3" s="1"/>
  <c r="L188" i="3"/>
  <c r="AO178" i="3"/>
  <c r="AP178" i="3" s="1"/>
  <c r="AQ178" i="3" s="1"/>
  <c r="AM178" i="3"/>
  <c r="Z178" i="3"/>
  <c r="AA178" i="3" s="1"/>
  <c r="AR77" i="3"/>
  <c r="M157" i="3"/>
  <c r="N157" i="3" s="1"/>
  <c r="M46" i="3"/>
  <c r="N46" i="3" s="1"/>
  <c r="N222" i="3"/>
  <c r="AM222" i="3" s="1"/>
  <c r="M153" i="3"/>
  <c r="N153" i="3" s="1"/>
  <c r="AM63" i="3"/>
  <c r="AO63" i="3"/>
  <c r="AP63" i="3" s="1"/>
  <c r="AQ63" i="3" s="1"/>
  <c r="M159" i="3"/>
  <c r="N159" i="3" s="1"/>
  <c r="AR165" i="3"/>
  <c r="L247" i="3"/>
  <c r="M247" i="3" s="1"/>
  <c r="N247" i="3" s="1"/>
  <c r="AO224" i="3"/>
  <c r="AP224" i="3" s="1"/>
  <c r="AQ224" i="3" s="1"/>
  <c r="L135" i="3"/>
  <c r="M135" i="3" s="1"/>
  <c r="L204" i="3"/>
  <c r="M204" i="3" s="1"/>
  <c r="N265" i="3"/>
  <c r="AO265" i="3" s="1"/>
  <c r="AP265" i="3" s="1"/>
  <c r="AQ265" i="3" s="1"/>
  <c r="L98" i="3"/>
  <c r="M98" i="3" s="1"/>
  <c r="AR257" i="3"/>
  <c r="AR152" i="3"/>
  <c r="M264" i="3"/>
  <c r="AM216" i="3"/>
  <c r="N162" i="3"/>
  <c r="AM162" i="3" s="1"/>
  <c r="AR15" i="3"/>
  <c r="Y144" i="3"/>
  <c r="AO146" i="3"/>
  <c r="AP146" i="3" s="1"/>
  <c r="AQ146" i="3" s="1"/>
  <c r="L232" i="3"/>
  <c r="M232" i="3" s="1"/>
  <c r="K60" i="3"/>
  <c r="Z134" i="3"/>
  <c r="AA134" i="3" s="1"/>
  <c r="M6" i="3"/>
  <c r="N197" i="3"/>
  <c r="AM197" i="3" s="1"/>
  <c r="Z152" i="3"/>
  <c r="AA152" i="3" s="1"/>
  <c r="L102" i="3"/>
  <c r="K23" i="3"/>
  <c r="K186" i="3"/>
  <c r="Y87" i="3"/>
  <c r="N68" i="3"/>
  <c r="AO68" i="3" s="1"/>
  <c r="AP68" i="3" s="1"/>
  <c r="AQ68" i="3" s="1"/>
  <c r="AO223" i="3"/>
  <c r="AP223" i="3" s="1"/>
  <c r="AQ223" i="3" s="1"/>
  <c r="N261" i="3"/>
  <c r="AO261" i="3" s="1"/>
  <c r="AP261" i="3" s="1"/>
  <c r="AQ261" i="3" s="1"/>
  <c r="M124" i="3"/>
  <c r="N124" i="3" s="1"/>
  <c r="Z7" i="3"/>
  <c r="AA7" i="3" s="1"/>
  <c r="L208" i="3"/>
  <c r="M208" i="3" s="1"/>
  <c r="AO99" i="3"/>
  <c r="AP99" i="3" s="1"/>
  <c r="AQ99" i="3" s="1"/>
  <c r="N14" i="3"/>
  <c r="Z14" i="3" s="1"/>
  <c r="AA14" i="3" s="1"/>
  <c r="AM18" i="3"/>
  <c r="AO254" i="3"/>
  <c r="AP254" i="3" s="1"/>
  <c r="AQ254" i="3" s="1"/>
  <c r="M53" i="3"/>
  <c r="N53" i="3" s="1"/>
  <c r="M236" i="3"/>
  <c r="N236" i="3" s="1"/>
  <c r="AR106" i="3"/>
  <c r="M263" i="3"/>
  <c r="N263" i="3" s="1"/>
  <c r="Z263" i="3" s="1"/>
  <c r="AA263" i="3" s="1"/>
  <c r="K27" i="3"/>
  <c r="L27" i="3" s="1"/>
  <c r="L231" i="3"/>
  <c r="AO123" i="3"/>
  <c r="AP123" i="3" s="1"/>
  <c r="AQ123" i="3" s="1"/>
  <c r="M179" i="3"/>
  <c r="N179" i="3" s="1"/>
  <c r="AO179" i="3" s="1"/>
  <c r="AP179" i="3" s="1"/>
  <c r="AQ179" i="3" s="1"/>
  <c r="AM77" i="3"/>
  <c r="L31" i="3"/>
  <c r="M89" i="3"/>
  <c r="AO221" i="3"/>
  <c r="AP221" i="3" s="1"/>
  <c r="AQ221" i="3" s="1"/>
  <c r="N55" i="3"/>
  <c r="Z55" i="3" s="1"/>
  <c r="AA55" i="3" s="1"/>
  <c r="K139" i="3"/>
  <c r="L139" i="3" s="1"/>
  <c r="M139" i="3" s="1"/>
  <c r="L244" i="3"/>
  <c r="M244" i="3" s="1"/>
  <c r="L203" i="3"/>
  <c r="M203" i="3" s="1"/>
  <c r="N203" i="3" s="1"/>
  <c r="K145" i="3"/>
  <c r="L145" i="3" s="1"/>
  <c r="AM221" i="3"/>
  <c r="M122" i="3"/>
  <c r="N122" i="3" s="1"/>
  <c r="J115" i="3"/>
  <c r="K115" i="3" s="1"/>
  <c r="Z258" i="3"/>
  <c r="AA258" i="3" s="1"/>
  <c r="M10" i="3"/>
  <c r="Z64" i="3"/>
  <c r="AA64" i="3" s="1"/>
  <c r="K85" i="3"/>
  <c r="L85" i="3" s="1"/>
  <c r="AM146" i="3"/>
  <c r="N201" i="3"/>
  <c r="Z201" i="3" s="1"/>
  <c r="AA201" i="3" s="1"/>
  <c r="K234" i="3"/>
  <c r="L234" i="3" s="1"/>
  <c r="M88" i="3"/>
  <c r="N88" i="3" s="1"/>
  <c r="N47" i="3"/>
  <c r="AO47" i="3" s="1"/>
  <c r="AP47" i="3" s="1"/>
  <c r="AQ47" i="3" s="1"/>
  <c r="K72" i="3"/>
  <c r="L72" i="3" s="1"/>
  <c r="N141" i="3"/>
  <c r="AO141" i="3" s="1"/>
  <c r="AP141" i="3" s="1"/>
  <c r="AQ141" i="3" s="1"/>
  <c r="N25" i="3"/>
  <c r="Z25" i="3" s="1"/>
  <c r="AA25" i="3" s="1"/>
  <c r="L155" i="3"/>
  <c r="M49" i="3"/>
  <c r="K62" i="3"/>
  <c r="K52" i="3"/>
  <c r="L52" i="3" s="1"/>
  <c r="N168" i="3"/>
  <c r="Z168" i="3" s="1"/>
  <c r="AA168" i="3" s="1"/>
  <c r="AO64" i="3"/>
  <c r="AP64" i="3" s="1"/>
  <c r="AQ64" i="3" s="1"/>
  <c r="AR211" i="3"/>
  <c r="N75" i="3"/>
  <c r="AO75" i="3" s="1"/>
  <c r="AP75" i="3" s="1"/>
  <c r="AQ75" i="3" s="1"/>
  <c r="K195" i="3"/>
  <c r="L195" i="3" s="1"/>
  <c r="M195" i="3" s="1"/>
  <c r="N195" i="3" s="1"/>
  <c r="K174" i="3"/>
  <c r="L174" i="3" s="1"/>
  <c r="L80" i="3"/>
  <c r="M80" i="3" s="1"/>
  <c r="N80" i="3" s="1"/>
  <c r="AO67" i="3"/>
  <c r="AP67" i="3" s="1"/>
  <c r="AQ67" i="3" s="1"/>
  <c r="Z67" i="3"/>
  <c r="AA67" i="3" s="1"/>
  <c r="AM67" i="3"/>
  <c r="Y90" i="3"/>
  <c r="Y180" i="3"/>
  <c r="N131" i="3"/>
  <c r="AO131" i="3" s="1"/>
  <c r="AP131" i="3" s="1"/>
  <c r="AQ131" i="3" s="1"/>
  <c r="K38" i="3"/>
  <c r="L38" i="3" s="1"/>
  <c r="M20" i="3"/>
  <c r="N20" i="3" s="1"/>
  <c r="M44" i="3"/>
  <c r="N44" i="3" s="1"/>
  <c r="AO30" i="3"/>
  <c r="AP30" i="3" s="1"/>
  <c r="AQ30" i="3" s="1"/>
  <c r="N65" i="3"/>
  <c r="AM65" i="3" s="1"/>
  <c r="Z119" i="3"/>
  <c r="AA119" i="3" s="1"/>
  <c r="M240" i="3"/>
  <c r="N240" i="3" s="1"/>
  <c r="AM240" i="3" s="1"/>
  <c r="J144" i="3"/>
  <c r="M95" i="3"/>
  <c r="M171" i="3"/>
  <c r="N171" i="3" s="1"/>
  <c r="AM223" i="3"/>
  <c r="M248" i="3"/>
  <c r="Z99" i="3"/>
  <c r="AA99" i="3" s="1"/>
  <c r="M103" i="3"/>
  <c r="N103" i="3" s="1"/>
  <c r="AM103" i="3" s="1"/>
  <c r="AO268" i="3"/>
  <c r="AP268" i="3" s="1"/>
  <c r="AQ268" i="3" s="1"/>
  <c r="AM267" i="3"/>
  <c r="N245" i="3"/>
  <c r="AO245" i="3" s="1"/>
  <c r="AP245" i="3" s="1"/>
  <c r="AQ245" i="3" s="1"/>
  <c r="K45" i="3"/>
  <c r="L45" i="3" s="1"/>
  <c r="M45" i="3" s="1"/>
  <c r="Z77" i="3"/>
  <c r="AA77" i="3" s="1"/>
  <c r="N237" i="3"/>
  <c r="Z237" i="3" s="1"/>
  <c r="AA237" i="3" s="1"/>
  <c r="L69" i="3"/>
  <c r="N133" i="3"/>
  <c r="Z133" i="3" s="1"/>
  <c r="AA133" i="3" s="1"/>
  <c r="M164" i="3"/>
  <c r="N164" i="3" s="1"/>
  <c r="Z164" i="3" s="1"/>
  <c r="AA164" i="3" s="1"/>
  <c r="M83" i="3"/>
  <c r="L136" i="3"/>
  <c r="M136" i="3" s="1"/>
  <c r="L108" i="3"/>
  <c r="M108" i="3" s="1"/>
  <c r="L181" i="3"/>
  <c r="M181" i="3" s="1"/>
  <c r="L166" i="3"/>
  <c r="M166" i="3" s="1"/>
  <c r="L50" i="3"/>
  <c r="N230" i="3"/>
  <c r="AO230" i="3" s="1"/>
  <c r="AP230" i="3" s="1"/>
  <c r="AQ230" i="3" s="1"/>
  <c r="J61" i="3"/>
  <c r="K61" i="3" s="1"/>
  <c r="Z216" i="3"/>
  <c r="AA216" i="3" s="1"/>
  <c r="L114" i="3"/>
  <c r="M114" i="3" s="1"/>
  <c r="N219" i="3"/>
  <c r="AO219" i="3" s="1"/>
  <c r="AP219" i="3" s="1"/>
  <c r="AQ219" i="3" s="1"/>
  <c r="M78" i="3"/>
  <c r="M76" i="3"/>
  <c r="N76" i="3" s="1"/>
  <c r="L105" i="3"/>
  <c r="M105" i="3" s="1"/>
  <c r="K16" i="3"/>
  <c r="L16" i="3" s="1"/>
  <c r="K193" i="3"/>
  <c r="L193" i="3" s="1"/>
  <c r="M5" i="3"/>
  <c r="L229" i="3"/>
  <c r="M229" i="3" s="1"/>
  <c r="M214" i="3"/>
  <c r="L84" i="3"/>
  <c r="M84" i="3" s="1"/>
  <c r="AO216" i="3"/>
  <c r="AP216" i="3" s="1"/>
  <c r="AQ216" i="3" s="1"/>
  <c r="L57" i="3"/>
  <c r="AO119" i="3"/>
  <c r="AP119" i="3" s="1"/>
  <c r="AQ119" i="3" s="1"/>
  <c r="L238" i="3"/>
  <c r="M238" i="3" s="1"/>
  <c r="K253" i="3"/>
  <c r="L253" i="3" s="1"/>
  <c r="L156" i="3"/>
  <c r="M156" i="3" s="1"/>
  <c r="Z165" i="3"/>
  <c r="AA165" i="3" s="1"/>
  <c r="AO110" i="3"/>
  <c r="AP110" i="3" s="1"/>
  <c r="AQ110" i="3" s="1"/>
  <c r="AM196" i="3"/>
  <c r="Y130" i="3"/>
  <c r="J130" i="3"/>
  <c r="AM30" i="3"/>
  <c r="AM116" i="3"/>
  <c r="Z63" i="3"/>
  <c r="AA63" i="3" s="1"/>
  <c r="L227" i="3"/>
  <c r="M227" i="3" s="1"/>
  <c r="AR169" i="3"/>
  <c r="M191" i="3"/>
  <c r="L94" i="3"/>
  <c r="Z81" i="3"/>
  <c r="AA81" i="3" s="1"/>
  <c r="L117" i="3"/>
  <c r="M117" i="3" s="1"/>
  <c r="J182" i="3"/>
  <c r="L184" i="3"/>
  <c r="K12" i="3"/>
  <c r="L12" i="3" s="1"/>
  <c r="M12" i="3" s="1"/>
  <c r="Y12" i="3"/>
  <c r="K34" i="3"/>
  <c r="L34" i="3" s="1"/>
  <c r="L271" i="3"/>
  <c r="M251" i="3"/>
  <c r="K233" i="3"/>
  <c r="J180" i="3"/>
  <c r="K180" i="3" s="1"/>
  <c r="AO116" i="3"/>
  <c r="AP116" i="3" s="1"/>
  <c r="AQ116" i="3" s="1"/>
  <c r="N217" i="3"/>
  <c r="AO217" i="3" s="1"/>
  <c r="AP217" i="3" s="1"/>
  <c r="AQ217" i="3" s="1"/>
  <c r="N132" i="3"/>
  <c r="AO132" i="3" s="1"/>
  <c r="AP132" i="3" s="1"/>
  <c r="AQ132" i="3" s="1"/>
  <c r="AR56" i="3"/>
  <c r="AM169" i="3"/>
  <c r="L17" i="3"/>
  <c r="AM202" i="3"/>
  <c r="N79" i="3"/>
  <c r="Z79" i="3" s="1"/>
  <c r="AA79" i="3" s="1"/>
  <c r="N183" i="3"/>
  <c r="AO183" i="3" s="1"/>
  <c r="AP183" i="3" s="1"/>
  <c r="AQ183" i="3" s="1"/>
  <c r="J40" i="3"/>
  <c r="M150" i="3"/>
  <c r="Y40" i="3"/>
  <c r="N140" i="3"/>
  <c r="Z140" i="3" s="1"/>
  <c r="AA140" i="3" s="1"/>
  <c r="M19" i="3"/>
  <c r="N113" i="3"/>
  <c r="AO113" i="3" s="1"/>
  <c r="AP113" i="3" s="1"/>
  <c r="AQ113" i="3" s="1"/>
  <c r="AR70" i="3"/>
  <c r="J212" i="3"/>
  <c r="K212" i="3" s="1"/>
  <c r="Y212" i="3"/>
  <c r="M256" i="3"/>
  <c r="M101" i="3"/>
  <c r="N101" i="3" s="1"/>
  <c r="Y61" i="3"/>
  <c r="M96" i="3"/>
  <c r="N96" i="3" s="1"/>
  <c r="Y16" i="3"/>
  <c r="Y195" i="3"/>
  <c r="Z142" i="3"/>
  <c r="AA142" i="3" s="1"/>
  <c r="N220" i="3"/>
  <c r="AM220" i="3" s="1"/>
  <c r="N4" i="3"/>
  <c r="AM4" i="3" s="1"/>
  <c r="J90" i="3"/>
  <c r="L246" i="3"/>
  <c r="M246" i="3" s="1"/>
  <c r="K125" i="3"/>
  <c r="L125" i="3" s="1"/>
  <c r="N149" i="3"/>
  <c r="Z149" i="3" s="1"/>
  <c r="AA149" i="3" s="1"/>
  <c r="N41" i="3"/>
  <c r="Z41" i="3" s="1"/>
  <c r="AA41" i="3" s="1"/>
  <c r="J26" i="3"/>
  <c r="AM81" i="3"/>
  <c r="Y115" i="3"/>
  <c r="M86" i="3"/>
  <c r="N86" i="3" s="1"/>
  <c r="K161" i="3"/>
  <c r="AO196" i="3"/>
  <c r="AP196" i="3" s="1"/>
  <c r="AQ196" i="3" s="1"/>
  <c r="L58" i="3"/>
  <c r="M58" i="3" s="1"/>
  <c r="AO267" i="3"/>
  <c r="AP267" i="3" s="1"/>
  <c r="AQ267" i="3" s="1"/>
  <c r="AO35" i="3"/>
  <c r="M11" i="3"/>
  <c r="Z215" i="3"/>
  <c r="AA215" i="3" s="1"/>
  <c r="AM224" i="3"/>
  <c r="M242" i="3"/>
  <c r="M97" i="3"/>
  <c r="K87" i="3"/>
  <c r="L87" i="3" s="1"/>
  <c r="Z224" i="3"/>
  <c r="AA224" i="3" s="1"/>
  <c r="K51" i="3"/>
  <c r="M28" i="3"/>
  <c r="M225" i="3"/>
  <c r="Z169" i="3"/>
  <c r="AA169" i="3" s="1"/>
  <c r="L228" i="3"/>
  <c r="L39" i="3"/>
  <c r="AO142" i="3"/>
  <c r="AP142" i="3" s="1"/>
  <c r="AQ142" i="3" s="1"/>
  <c r="AM249" i="3"/>
  <c r="AO226" i="3" l="1"/>
  <c r="AP226" i="3" s="1"/>
  <c r="AM226" i="3"/>
  <c r="AQ313" i="3"/>
  <c r="AR313" i="3"/>
  <c r="N266" i="3"/>
  <c r="AQ339" i="3"/>
  <c r="AR339" i="3"/>
  <c r="AP18" i="3"/>
  <c r="AQ18" i="3" s="1"/>
  <c r="AR215" i="3"/>
  <c r="AO43" i="3"/>
  <c r="AP43" i="3" s="1"/>
  <c r="AQ43" i="3" s="1"/>
  <c r="AM46" i="3"/>
  <c r="AR173" i="3"/>
  <c r="AQ173" i="3"/>
  <c r="AR249" i="3"/>
  <c r="AQ249" i="3"/>
  <c r="AR190" i="3"/>
  <c r="AQ190" i="3"/>
  <c r="AR198" i="3"/>
  <c r="AQ198" i="3"/>
  <c r="AR129" i="3"/>
  <c r="AQ129" i="3"/>
  <c r="AR154" i="3"/>
  <c r="AQ154" i="3"/>
  <c r="AR107" i="3"/>
  <c r="AQ107" i="3"/>
  <c r="AR37" i="3"/>
  <c r="AQ37" i="3"/>
  <c r="AR158" i="3"/>
  <c r="AQ158" i="3"/>
  <c r="AR66" i="3"/>
  <c r="AQ66" i="3"/>
  <c r="AR126" i="3"/>
  <c r="AQ126" i="3"/>
  <c r="AR71" i="3"/>
  <c r="AQ71" i="3"/>
  <c r="AR255" i="3"/>
  <c r="AQ255" i="3"/>
  <c r="AR143" i="3"/>
  <c r="AQ143" i="3"/>
  <c r="AR7" i="3"/>
  <c r="AQ7" i="3"/>
  <c r="AR163" i="3"/>
  <c r="AQ163" i="3"/>
  <c r="AR202" i="3"/>
  <c r="AQ202" i="3"/>
  <c r="AR194" i="3"/>
  <c r="AQ194" i="3"/>
  <c r="AR226" i="3"/>
  <c r="AQ226" i="3"/>
  <c r="AR112" i="3"/>
  <c r="AQ112" i="3"/>
  <c r="AR235" i="3"/>
  <c r="AQ235" i="3"/>
  <c r="AR170" i="3"/>
  <c r="AQ170" i="3"/>
  <c r="AR111" i="3"/>
  <c r="AQ111" i="3"/>
  <c r="AO82" i="3"/>
  <c r="AP82" i="3" s="1"/>
  <c r="AQ82" i="3" s="1"/>
  <c r="AM35" i="3"/>
  <c r="AP35" i="3" s="1"/>
  <c r="AQ35" i="3" s="1"/>
  <c r="Z255" i="3"/>
  <c r="AA255" i="3" s="1"/>
  <c r="AM255" i="3"/>
  <c r="L210" i="3"/>
  <c r="M210" i="3" s="1"/>
  <c r="AM82" i="3"/>
  <c r="Z158" i="3"/>
  <c r="AA158" i="3" s="1"/>
  <c r="AM158" i="3"/>
  <c r="AM230" i="3"/>
  <c r="AM170" i="3"/>
  <c r="Z138" i="3"/>
  <c r="AA138" i="3" s="1"/>
  <c r="Z43" i="3"/>
  <c r="AA43" i="3" s="1"/>
  <c r="L151" i="3"/>
  <c r="M151" i="3" s="1"/>
  <c r="Z241" i="3"/>
  <c r="AA241" i="3" s="1"/>
  <c r="AO138" i="3"/>
  <c r="AP138" i="3" s="1"/>
  <c r="L207" i="3"/>
  <c r="M207" i="3" s="1"/>
  <c r="N207" i="3" s="1"/>
  <c r="AM207" i="3" s="1"/>
  <c r="AM43" i="3"/>
  <c r="AM138" i="3"/>
  <c r="AO250" i="3"/>
  <c r="AP250" i="3" s="1"/>
  <c r="AM250" i="3"/>
  <c r="Z170" i="3"/>
  <c r="AA170" i="3" s="1"/>
  <c r="Z265" i="3"/>
  <c r="AA265" i="3" s="1"/>
  <c r="AO168" i="3"/>
  <c r="AP168" i="3" s="1"/>
  <c r="AO197" i="3"/>
  <c r="AP197" i="3" s="1"/>
  <c r="AM25" i="3"/>
  <c r="Z183" i="3"/>
  <c r="AA183" i="3" s="1"/>
  <c r="Z163" i="3"/>
  <c r="AA163" i="3" s="1"/>
  <c r="AM241" i="3"/>
  <c r="AM259" i="3"/>
  <c r="Z177" i="3"/>
  <c r="AA177" i="3" s="1"/>
  <c r="AM236" i="3"/>
  <c r="N118" i="3"/>
  <c r="AO118" i="3" s="1"/>
  <c r="AP118" i="3" s="1"/>
  <c r="Z192" i="3"/>
  <c r="AA192" i="3" s="1"/>
  <c r="AM192" i="3"/>
  <c r="N92" i="3"/>
  <c r="AO92" i="3" s="1"/>
  <c r="AP92" i="3" s="1"/>
  <c r="AM59" i="3"/>
  <c r="AO59" i="3"/>
  <c r="AP59" i="3" s="1"/>
  <c r="M193" i="3"/>
  <c r="N108" i="3"/>
  <c r="AM108" i="3" s="1"/>
  <c r="AM265" i="3"/>
  <c r="AM14" i="3"/>
  <c r="AO201" i="3"/>
  <c r="AP201" i="3" s="1"/>
  <c r="M213" i="3"/>
  <c r="N213" i="3" s="1"/>
  <c r="AM213" i="3" s="1"/>
  <c r="Z171" i="3"/>
  <c r="AA171" i="3" s="1"/>
  <c r="Z35" i="3"/>
  <c r="AA35" i="3" s="1"/>
  <c r="AO177" i="3"/>
  <c r="AP177" i="3" s="1"/>
  <c r="L175" i="3"/>
  <c r="M175" i="3" s="1"/>
  <c r="N175" i="3" s="1"/>
  <c r="AM163" i="3"/>
  <c r="AO241" i="3"/>
  <c r="AP241" i="3" s="1"/>
  <c r="Z209" i="3"/>
  <c r="AA209" i="3" s="1"/>
  <c r="N205" i="3"/>
  <c r="AO205" i="3" s="1"/>
  <c r="AP205" i="3" s="1"/>
  <c r="M167" i="3"/>
  <c r="N167" i="3" s="1"/>
  <c r="Z47" i="3"/>
  <c r="AA47" i="3" s="1"/>
  <c r="AO13" i="3"/>
  <c r="AP13" i="3" s="1"/>
  <c r="AM13" i="3"/>
  <c r="Z176" i="3"/>
  <c r="AA176" i="3" s="1"/>
  <c r="AM176" i="3"/>
  <c r="N91" i="3"/>
  <c r="AM91" i="3" s="1"/>
  <c r="Z22" i="3"/>
  <c r="AA22" i="3" s="1"/>
  <c r="AM36" i="3"/>
  <c r="AP36" i="3" s="1"/>
  <c r="AM79" i="3"/>
  <c r="AM201" i="3"/>
  <c r="AM47" i="3"/>
  <c r="N10" i="3"/>
  <c r="AO10" i="3" s="1"/>
  <c r="AP10" i="3" s="1"/>
  <c r="AM33" i="3"/>
  <c r="Z206" i="3"/>
  <c r="AA206" i="3" s="1"/>
  <c r="AM237" i="3"/>
  <c r="AO22" i="3"/>
  <c r="AP22" i="3" s="1"/>
  <c r="AO176" i="3"/>
  <c r="AP176" i="3" s="1"/>
  <c r="Z162" i="3"/>
  <c r="AA162" i="3" s="1"/>
  <c r="AO20" i="3"/>
  <c r="AP20" i="3" s="1"/>
  <c r="Z20" i="3"/>
  <c r="AA20" i="3" s="1"/>
  <c r="AM20" i="3"/>
  <c r="Z230" i="3"/>
  <c r="AA230" i="3" s="1"/>
  <c r="AM172" i="3"/>
  <c r="Z141" i="3"/>
  <c r="AA141" i="3" s="1"/>
  <c r="Z88" i="3"/>
  <c r="AA88" i="3" s="1"/>
  <c r="AM48" i="3"/>
  <c r="M72" i="3"/>
  <c r="N72" i="3" s="1"/>
  <c r="AM72" i="3" s="1"/>
  <c r="AO206" i="3"/>
  <c r="AP206" i="3" s="1"/>
  <c r="Z261" i="3"/>
  <c r="AA261" i="3" s="1"/>
  <c r="Z197" i="3"/>
  <c r="AA197" i="3" s="1"/>
  <c r="AM261" i="3"/>
  <c r="Z48" i="3"/>
  <c r="AA48" i="3" s="1"/>
  <c r="Z13" i="3"/>
  <c r="AA13" i="3" s="1"/>
  <c r="AO42" i="3"/>
  <c r="AP42" i="3" s="1"/>
  <c r="K54" i="3"/>
  <c r="L54" i="3" s="1"/>
  <c r="N185" i="3"/>
  <c r="Z185" i="3" s="1"/>
  <c r="AA185" i="3" s="1"/>
  <c r="N270" i="3"/>
  <c r="Z270" i="3" s="1"/>
  <c r="AA270" i="3" s="1"/>
  <c r="M32" i="3"/>
  <c r="N32" i="3" s="1"/>
  <c r="Z252" i="3"/>
  <c r="AA252" i="3" s="1"/>
  <c r="AO252" i="3"/>
  <c r="AP252" i="3" s="1"/>
  <c r="AM252" i="3"/>
  <c r="AM247" i="3"/>
  <c r="Z247" i="3"/>
  <c r="AA247" i="3" s="1"/>
  <c r="AO247" i="3"/>
  <c r="AM127" i="3"/>
  <c r="AO127" i="3"/>
  <c r="AP127" i="3" s="1"/>
  <c r="AO263" i="3"/>
  <c r="AP263" i="3" s="1"/>
  <c r="N238" i="3"/>
  <c r="Z238" i="3" s="1"/>
  <c r="AA238" i="3" s="1"/>
  <c r="AM159" i="3"/>
  <c r="N243" i="3"/>
  <c r="Z243" i="3" s="1"/>
  <c r="AA243" i="3" s="1"/>
  <c r="AO36" i="3"/>
  <c r="AO209" i="3"/>
  <c r="AP209" i="3" s="1"/>
  <c r="AO4" i="3"/>
  <c r="AP4" i="3" s="1"/>
  <c r="AR4" i="3" s="1"/>
  <c r="Z86" i="3"/>
  <c r="AA86" i="3" s="1"/>
  <c r="Z159" i="3"/>
  <c r="AA159" i="3" s="1"/>
  <c r="N105" i="3"/>
  <c r="AO105" i="3" s="1"/>
  <c r="AP105" i="3" s="1"/>
  <c r="N114" i="3"/>
  <c r="AO114" i="3" s="1"/>
  <c r="AP114" i="3" s="1"/>
  <c r="N49" i="3"/>
  <c r="AM49" i="3" s="1"/>
  <c r="AO80" i="3"/>
  <c r="AP80" i="3" s="1"/>
  <c r="AO195" i="3"/>
  <c r="AP195" i="3" s="1"/>
  <c r="AM168" i="3"/>
  <c r="M93" i="3"/>
  <c r="AO259" i="3"/>
  <c r="AP259" i="3" s="1"/>
  <c r="Z220" i="3"/>
  <c r="AA220" i="3" s="1"/>
  <c r="N136" i="3"/>
  <c r="AO136" i="3" s="1"/>
  <c r="AP136" i="3" s="1"/>
  <c r="AQ136" i="3" s="1"/>
  <c r="M87" i="3"/>
  <c r="N87" i="3" s="1"/>
  <c r="Z4" i="3"/>
  <c r="AA4" i="3" s="1"/>
  <c r="AM263" i="3"/>
  <c r="AM86" i="3"/>
  <c r="N214" i="3"/>
  <c r="Z214" i="3" s="1"/>
  <c r="AA214" i="3" s="1"/>
  <c r="N181" i="3"/>
  <c r="AO181" i="3" s="1"/>
  <c r="AP181" i="3" s="1"/>
  <c r="AQ181" i="3" s="1"/>
  <c r="Z240" i="3"/>
  <c r="AA240" i="3" s="1"/>
  <c r="Z122" i="3"/>
  <c r="AA122" i="3" s="1"/>
  <c r="M52" i="3"/>
  <c r="N52" i="3" s="1"/>
  <c r="Z52" i="3" s="1"/>
  <c r="AA52" i="3" s="1"/>
  <c r="AM141" i="3"/>
  <c r="L115" i="3"/>
  <c r="M115" i="3" s="1"/>
  <c r="N115" i="3" s="1"/>
  <c r="Z115" i="3" s="1"/>
  <c r="AA115" i="3" s="1"/>
  <c r="Z236" i="3"/>
  <c r="AA236" i="3" s="1"/>
  <c r="AO14" i="3"/>
  <c r="AP14" i="3" s="1"/>
  <c r="N232" i="3"/>
  <c r="AO232" i="3" s="1"/>
  <c r="AP232" i="3" s="1"/>
  <c r="AQ232" i="3" s="1"/>
  <c r="N204" i="3"/>
  <c r="Z204" i="3" s="1"/>
  <c r="AA204" i="3" s="1"/>
  <c r="AO222" i="3"/>
  <c r="AP222" i="3" s="1"/>
  <c r="Z148" i="3"/>
  <c r="AA148" i="3" s="1"/>
  <c r="AO148" i="3"/>
  <c r="AP148" i="3" s="1"/>
  <c r="AM148" i="3"/>
  <c r="L218" i="3"/>
  <c r="AO172" i="3"/>
  <c r="AP172" i="3" s="1"/>
  <c r="L24" i="3"/>
  <c r="M24" i="3" s="1"/>
  <c r="M234" i="3"/>
  <c r="N234" i="3" s="1"/>
  <c r="AM76" i="3"/>
  <c r="AO192" i="3"/>
  <c r="AP192" i="3" s="1"/>
  <c r="Z46" i="3"/>
  <c r="AA46" i="3" s="1"/>
  <c r="AO103" i="3"/>
  <c r="AP103" i="3" s="1"/>
  <c r="M27" i="3"/>
  <c r="N27" i="3" s="1"/>
  <c r="AM53" i="3"/>
  <c r="N98" i="3"/>
  <c r="AM98" i="3" s="1"/>
  <c r="AM219" i="3"/>
  <c r="Z222" i="3"/>
  <c r="AA222" i="3" s="1"/>
  <c r="Z160" i="3"/>
  <c r="AA160" i="3" s="1"/>
  <c r="AO160" i="3"/>
  <c r="AP160" i="3" s="1"/>
  <c r="Z127" i="3"/>
  <c r="AA127" i="3" s="1"/>
  <c r="AM42" i="3"/>
  <c r="AR113" i="3"/>
  <c r="AR179" i="3"/>
  <c r="AR261" i="3"/>
  <c r="AR265" i="3"/>
  <c r="AR245" i="3"/>
  <c r="AR75" i="3"/>
  <c r="AM120" i="3"/>
  <c r="Z120" i="3"/>
  <c r="AA120" i="3" s="1"/>
  <c r="AO120" i="3"/>
  <c r="AP120" i="3" s="1"/>
  <c r="AQ120" i="3" s="1"/>
  <c r="AR132" i="3"/>
  <c r="AR230" i="3"/>
  <c r="AR131" i="3"/>
  <c r="AM203" i="3"/>
  <c r="N244" i="3"/>
  <c r="Z244" i="3" s="1"/>
  <c r="AA244" i="3" s="1"/>
  <c r="N135" i="3"/>
  <c r="AO135" i="3" s="1"/>
  <c r="AP135" i="3" s="1"/>
  <c r="AQ135" i="3" s="1"/>
  <c r="Z153" i="3"/>
  <c r="AA153" i="3" s="1"/>
  <c r="AM153" i="3"/>
  <c r="AO157" i="3"/>
  <c r="AP157" i="3" s="1"/>
  <c r="AQ157" i="3" s="1"/>
  <c r="Z157" i="3"/>
  <c r="AA157" i="3" s="1"/>
  <c r="AO147" i="3"/>
  <c r="AP147" i="3" s="1"/>
  <c r="AQ147" i="3" s="1"/>
  <c r="AM147" i="3"/>
  <c r="AR217" i="3"/>
  <c r="AR47" i="3"/>
  <c r="N225" i="3"/>
  <c r="AO225" i="3" s="1"/>
  <c r="AP225" i="3" s="1"/>
  <c r="AQ225" i="3" s="1"/>
  <c r="AR216" i="3"/>
  <c r="Z96" i="3"/>
  <c r="AA96" i="3" s="1"/>
  <c r="AO101" i="3"/>
  <c r="AP101" i="3" s="1"/>
  <c r="AQ101" i="3" s="1"/>
  <c r="AM140" i="3"/>
  <c r="AR30" i="3"/>
  <c r="AR67" i="3"/>
  <c r="AO140" i="3"/>
  <c r="AP140" i="3" s="1"/>
  <c r="AQ140" i="3" s="1"/>
  <c r="AO88" i="3"/>
  <c r="AP88" i="3" s="1"/>
  <c r="AQ88" i="3" s="1"/>
  <c r="M85" i="3"/>
  <c r="M174" i="3"/>
  <c r="N174" i="3" s="1"/>
  <c r="AO203" i="3"/>
  <c r="AP203" i="3" s="1"/>
  <c r="AQ203" i="3" s="1"/>
  <c r="N97" i="3"/>
  <c r="AM97" i="3" s="1"/>
  <c r="Z245" i="3"/>
  <c r="AA245" i="3" s="1"/>
  <c r="AR123" i="3"/>
  <c r="AR254" i="3"/>
  <c r="L186" i="3"/>
  <c r="M186" i="3" s="1"/>
  <c r="N208" i="3"/>
  <c r="AO208" i="3" s="1"/>
  <c r="AP208" i="3" s="1"/>
  <c r="AQ208" i="3" s="1"/>
  <c r="L60" i="3"/>
  <c r="AM133" i="3"/>
  <c r="AR224" i="3"/>
  <c r="Z101" i="3"/>
  <c r="AA101" i="3" s="1"/>
  <c r="AO122" i="3"/>
  <c r="AP122" i="3" s="1"/>
  <c r="AQ122" i="3" s="1"/>
  <c r="AM88" i="3"/>
  <c r="AR63" i="3"/>
  <c r="AM157" i="3"/>
  <c r="M188" i="3"/>
  <c r="AO189" i="3"/>
  <c r="AP189" i="3" s="1"/>
  <c r="AQ189" i="3" s="1"/>
  <c r="AO55" i="3"/>
  <c r="AP55" i="3" s="1"/>
  <c r="AQ55" i="3" s="1"/>
  <c r="Z53" i="3"/>
  <c r="AA53" i="3" s="1"/>
  <c r="M102" i="3"/>
  <c r="M57" i="3"/>
  <c r="N57" i="3" s="1"/>
  <c r="Z57" i="3" s="1"/>
  <c r="AA57" i="3" s="1"/>
  <c r="AM75" i="3"/>
  <c r="M50" i="3"/>
  <c r="N50" i="3" s="1"/>
  <c r="AO25" i="3"/>
  <c r="AP25" i="3" s="1"/>
  <c r="AQ25" i="3" s="1"/>
  <c r="N251" i="3"/>
  <c r="Z251" i="3" s="1"/>
  <c r="AA251" i="3" s="1"/>
  <c r="AM245" i="3"/>
  <c r="M231" i="3"/>
  <c r="N150" i="3"/>
  <c r="Z150" i="3" s="1"/>
  <c r="AA150" i="3" s="1"/>
  <c r="K40" i="3"/>
  <c r="L40" i="3" s="1"/>
  <c r="M155" i="3"/>
  <c r="N155" i="3" s="1"/>
  <c r="M271" i="3"/>
  <c r="N271" i="3" s="1"/>
  <c r="AM271" i="3" s="1"/>
  <c r="M94" i="3"/>
  <c r="N94" i="3" s="1"/>
  <c r="Z94" i="3" s="1"/>
  <c r="AA94" i="3" s="1"/>
  <c r="AO236" i="3"/>
  <c r="AP236" i="3" s="1"/>
  <c r="AQ236" i="3" s="1"/>
  <c r="AM149" i="3"/>
  <c r="N227" i="3"/>
  <c r="AM227" i="3" s="1"/>
  <c r="Z74" i="3"/>
  <c r="AA74" i="3" s="1"/>
  <c r="AR119" i="3"/>
  <c r="Z203" i="3"/>
  <c r="AA203" i="3" s="1"/>
  <c r="AR219" i="3"/>
  <c r="L104" i="3"/>
  <c r="M104" i="3" s="1"/>
  <c r="AR268" i="3"/>
  <c r="Z219" i="3"/>
  <c r="AA219" i="3" s="1"/>
  <c r="M184" i="3"/>
  <c r="N184" i="3" s="1"/>
  <c r="N246" i="3"/>
  <c r="AO246" i="3" s="1"/>
  <c r="AP246" i="3" s="1"/>
  <c r="AQ246" i="3" s="1"/>
  <c r="K144" i="3"/>
  <c r="AR48" i="3"/>
  <c r="L161" i="3"/>
  <c r="M161" i="3" s="1"/>
  <c r="M38" i="3"/>
  <c r="AM113" i="3"/>
  <c r="Z147" i="3"/>
  <c r="AA147" i="3" s="1"/>
  <c r="AR64" i="3"/>
  <c r="AR141" i="3"/>
  <c r="Z44" i="3"/>
  <c r="AA44" i="3" s="1"/>
  <c r="M69" i="3"/>
  <c r="N139" i="3"/>
  <c r="AO139" i="3" s="1"/>
  <c r="AP139" i="3" s="1"/>
  <c r="AQ139" i="3" s="1"/>
  <c r="N156" i="3"/>
  <c r="AO156" i="3" s="1"/>
  <c r="AP156" i="3" s="1"/>
  <c r="AQ156" i="3" s="1"/>
  <c r="Z179" i="3"/>
  <c r="AA179" i="3" s="1"/>
  <c r="AM179" i="3"/>
  <c r="M17" i="3"/>
  <c r="AR99" i="3"/>
  <c r="AR223" i="3"/>
  <c r="L200" i="3"/>
  <c r="M200" i="3" s="1"/>
  <c r="N200" i="3" s="1"/>
  <c r="Z200" i="3" s="1"/>
  <c r="AA200" i="3" s="1"/>
  <c r="L23" i="3"/>
  <c r="M23" i="3" s="1"/>
  <c r="Z65" i="3"/>
  <c r="AA65" i="3" s="1"/>
  <c r="M145" i="3"/>
  <c r="AO133" i="3"/>
  <c r="AP133" i="3" s="1"/>
  <c r="AQ133" i="3" s="1"/>
  <c r="Z217" i="3"/>
  <c r="AA217" i="3" s="1"/>
  <c r="N137" i="3"/>
  <c r="AO137" i="3" s="1"/>
  <c r="AP137" i="3" s="1"/>
  <c r="AQ137" i="3" s="1"/>
  <c r="AO162" i="3"/>
  <c r="AP162" i="3" s="1"/>
  <c r="AQ162" i="3" s="1"/>
  <c r="N248" i="3"/>
  <c r="AM248" i="3" s="1"/>
  <c r="AO159" i="3"/>
  <c r="AP159" i="3" s="1"/>
  <c r="AQ159" i="3" s="1"/>
  <c r="M262" i="3"/>
  <c r="AO153" i="3"/>
  <c r="AP153" i="3" s="1"/>
  <c r="AQ153" i="3" s="1"/>
  <c r="AO237" i="3"/>
  <c r="AP237" i="3" s="1"/>
  <c r="AQ237" i="3" s="1"/>
  <c r="M34" i="3"/>
  <c r="AM55" i="3"/>
  <c r="AO44" i="3"/>
  <c r="AP44" i="3" s="1"/>
  <c r="AQ44" i="3" s="1"/>
  <c r="M228" i="3"/>
  <c r="N19" i="3"/>
  <c r="AM19" i="3" s="1"/>
  <c r="Z76" i="3"/>
  <c r="AA76" i="3" s="1"/>
  <c r="AR116" i="3"/>
  <c r="N84" i="3"/>
  <c r="AO84" i="3" s="1"/>
  <c r="AP84" i="3" s="1"/>
  <c r="AQ84" i="3" s="1"/>
  <c r="AO240" i="3"/>
  <c r="AP240" i="3" s="1"/>
  <c r="AQ240" i="3" s="1"/>
  <c r="M16" i="3"/>
  <c r="N16" i="3" s="1"/>
  <c r="Z132" i="3"/>
  <c r="AA132" i="3" s="1"/>
  <c r="Z103" i="3"/>
  <c r="AA103" i="3" s="1"/>
  <c r="Z113" i="3"/>
  <c r="AA113" i="3" s="1"/>
  <c r="AM44" i="3"/>
  <c r="L61" i="3"/>
  <c r="M61" i="3" s="1"/>
  <c r="N193" i="3"/>
  <c r="AM193" i="3" s="1"/>
  <c r="M253" i="3"/>
  <c r="N5" i="3"/>
  <c r="AO5" i="3" s="1"/>
  <c r="AP5" i="3" s="1"/>
  <c r="AQ5" i="3" s="1"/>
  <c r="N89" i="3"/>
  <c r="Z89" i="3" s="1"/>
  <c r="AA89" i="3" s="1"/>
  <c r="AO46" i="3"/>
  <c r="AP46" i="3" s="1"/>
  <c r="AQ46" i="3" s="1"/>
  <c r="AR178" i="3"/>
  <c r="AO86" i="3"/>
  <c r="AP86" i="3" s="1"/>
  <c r="AQ86" i="3" s="1"/>
  <c r="AO53" i="3"/>
  <c r="AP53" i="3" s="1"/>
  <c r="AQ53" i="3" s="1"/>
  <c r="K182" i="3"/>
  <c r="AM131" i="3"/>
  <c r="L121" i="3"/>
  <c r="M121" i="3" s="1"/>
  <c r="AM189" i="3"/>
  <c r="AM183" i="3"/>
  <c r="AO65" i="3"/>
  <c r="AP65" i="3" s="1"/>
  <c r="AQ65" i="3" s="1"/>
  <c r="N264" i="3"/>
  <c r="Z264" i="3" s="1"/>
  <c r="AA264" i="3" s="1"/>
  <c r="AM96" i="3"/>
  <c r="AO96" i="3"/>
  <c r="AP96" i="3" s="1"/>
  <c r="AQ96" i="3" s="1"/>
  <c r="N117" i="3"/>
  <c r="AO117" i="3" s="1"/>
  <c r="AP117" i="3" s="1"/>
  <c r="AQ117" i="3" s="1"/>
  <c r="AR110" i="3"/>
  <c r="N28" i="3"/>
  <c r="Z28" i="3" s="1"/>
  <c r="AA28" i="3" s="1"/>
  <c r="AR267" i="3"/>
  <c r="AO41" i="3"/>
  <c r="AP41" i="3" s="1"/>
  <c r="AQ41" i="3" s="1"/>
  <c r="AR68" i="3"/>
  <c r="AM101" i="3"/>
  <c r="AR196" i="3"/>
  <c r="K26" i="3"/>
  <c r="L26" i="3" s="1"/>
  <c r="K90" i="3"/>
  <c r="L90" i="3" s="1"/>
  <c r="M90" i="3" s="1"/>
  <c r="N90" i="3" s="1"/>
  <c r="Z195" i="3"/>
  <c r="AA195" i="3" s="1"/>
  <c r="AO76" i="3"/>
  <c r="AP76" i="3" s="1"/>
  <c r="AQ76" i="3" s="1"/>
  <c r="N78" i="3"/>
  <c r="AO78" i="3" s="1"/>
  <c r="AP78" i="3" s="1"/>
  <c r="AQ78" i="3" s="1"/>
  <c r="N11" i="3"/>
  <c r="Z11" i="3" s="1"/>
  <c r="AA11" i="3" s="1"/>
  <c r="Z68" i="3"/>
  <c r="AA68" i="3" s="1"/>
  <c r="AM68" i="3"/>
  <c r="AM171" i="3"/>
  <c r="N95" i="3"/>
  <c r="AO95" i="3" s="1"/>
  <c r="AP95" i="3" s="1"/>
  <c r="AQ95" i="3" s="1"/>
  <c r="AR142" i="3"/>
  <c r="L51" i="3"/>
  <c r="M51" i="3" s="1"/>
  <c r="N242" i="3"/>
  <c r="Z242" i="3" s="1"/>
  <c r="AA242" i="3" s="1"/>
  <c r="M39" i="3"/>
  <c r="N166" i="3"/>
  <c r="Z166" i="3" s="1"/>
  <c r="AA166" i="3" s="1"/>
  <c r="AM132" i="3"/>
  <c r="N256" i="3"/>
  <c r="AM256" i="3" s="1"/>
  <c r="L212" i="3"/>
  <c r="M212" i="3" s="1"/>
  <c r="AR183" i="3"/>
  <c r="AO74" i="3"/>
  <c r="AP74" i="3" s="1"/>
  <c r="AQ74" i="3" s="1"/>
  <c r="K130" i="3"/>
  <c r="L130" i="3" s="1"/>
  <c r="AO238" i="3"/>
  <c r="AP238" i="3" s="1"/>
  <c r="AQ238" i="3" s="1"/>
  <c r="L29" i="3"/>
  <c r="M125" i="3"/>
  <c r="AO79" i="3"/>
  <c r="AP79" i="3" s="1"/>
  <c r="AQ79" i="3" s="1"/>
  <c r="N45" i="3"/>
  <c r="Z45" i="3" s="1"/>
  <c r="AA45" i="3" s="1"/>
  <c r="AO220" i="3"/>
  <c r="AP220" i="3" s="1"/>
  <c r="AQ220" i="3" s="1"/>
  <c r="N58" i="3"/>
  <c r="AM58" i="3" s="1"/>
  <c r="AO164" i="3"/>
  <c r="AP164" i="3" s="1"/>
  <c r="AQ164" i="3" s="1"/>
  <c r="AM41" i="3"/>
  <c r="N191" i="3"/>
  <c r="Z191" i="3" s="1"/>
  <c r="AA191" i="3" s="1"/>
  <c r="AO149" i="3"/>
  <c r="AP149" i="3" s="1"/>
  <c r="AQ149" i="3" s="1"/>
  <c r="AM80" i="3"/>
  <c r="Z131" i="3"/>
  <c r="AA131" i="3" s="1"/>
  <c r="AM195" i="3"/>
  <c r="L233" i="3"/>
  <c r="AM122" i="3"/>
  <c r="L180" i="3"/>
  <c r="L62" i="3"/>
  <c r="AM217" i="3"/>
  <c r="AR221" i="3"/>
  <c r="N128" i="3"/>
  <c r="Z128" i="3" s="1"/>
  <c r="AA128" i="3" s="1"/>
  <c r="AM124" i="3"/>
  <c r="AO124" i="3"/>
  <c r="AP124" i="3" s="1"/>
  <c r="AQ124" i="3" s="1"/>
  <c r="Z124" i="3"/>
  <c r="AA124" i="3" s="1"/>
  <c r="N12" i="3"/>
  <c r="Z12" i="3" s="1"/>
  <c r="AA12" i="3" s="1"/>
  <c r="M31" i="3"/>
  <c r="AO33" i="3"/>
  <c r="AP33" i="3" s="1"/>
  <c r="AQ33" i="3" s="1"/>
  <c r="AR146" i="3"/>
  <c r="Z75" i="3"/>
  <c r="AA75" i="3" s="1"/>
  <c r="N83" i="3"/>
  <c r="Z83" i="3" s="1"/>
  <c r="AA83" i="3" s="1"/>
  <c r="N6" i="3"/>
  <c r="Z6" i="3" s="1"/>
  <c r="AA6" i="3" s="1"/>
  <c r="Z80" i="3"/>
  <c r="AA80" i="3" s="1"/>
  <c r="AM164" i="3"/>
  <c r="AO171" i="3"/>
  <c r="AP171" i="3" s="1"/>
  <c r="AQ171" i="3" s="1"/>
  <c r="N229" i="3"/>
  <c r="AO229" i="3" s="1"/>
  <c r="AP229" i="3" s="1"/>
  <c r="AQ229" i="3" s="1"/>
  <c r="AO108" i="3" l="1"/>
  <c r="AP108" i="3" s="1"/>
  <c r="AQ108" i="3" s="1"/>
  <c r="Z266" i="3"/>
  <c r="AA266" i="3" s="1"/>
  <c r="AO266" i="3"/>
  <c r="AP266" i="3" s="1"/>
  <c r="N210" i="3"/>
  <c r="AM210" i="3" s="1"/>
  <c r="AM266" i="3"/>
  <c r="AR18" i="3"/>
  <c r="AR43" i="3"/>
  <c r="Z108" i="3"/>
  <c r="AA108" i="3" s="1"/>
  <c r="AR82" i="3"/>
  <c r="AR35" i="3"/>
  <c r="AR103" i="3"/>
  <c r="AQ103" i="3"/>
  <c r="AR114" i="3"/>
  <c r="AQ114" i="3"/>
  <c r="AR176" i="3"/>
  <c r="AQ176" i="3"/>
  <c r="AR241" i="3"/>
  <c r="AQ241" i="3"/>
  <c r="AR59" i="3"/>
  <c r="AQ59" i="3"/>
  <c r="AR259" i="3"/>
  <c r="AQ259" i="3"/>
  <c r="AR195" i="3"/>
  <c r="AQ195" i="3"/>
  <c r="AR105" i="3"/>
  <c r="AQ105" i="3"/>
  <c r="AR209" i="3"/>
  <c r="AQ209" i="3"/>
  <c r="AP247" i="3"/>
  <c r="AQ247" i="3" s="1"/>
  <c r="AR252" i="3"/>
  <c r="AQ252" i="3"/>
  <c r="AR206" i="3"/>
  <c r="AQ206" i="3"/>
  <c r="AR22" i="3"/>
  <c r="AQ22" i="3"/>
  <c r="AR10" i="3"/>
  <c r="AQ10" i="3"/>
  <c r="AR36" i="3"/>
  <c r="AQ36" i="3"/>
  <c r="AR160" i="3"/>
  <c r="AQ160" i="3"/>
  <c r="AR148" i="3"/>
  <c r="AQ148" i="3"/>
  <c r="AR192" i="3"/>
  <c r="AQ192" i="3"/>
  <c r="AR172" i="3"/>
  <c r="AQ172" i="3"/>
  <c r="AR14" i="3"/>
  <c r="AQ14" i="3"/>
  <c r="AR80" i="3"/>
  <c r="AQ80" i="3"/>
  <c r="AR263" i="3"/>
  <c r="AQ263" i="3"/>
  <c r="AR20" i="3"/>
  <c r="AQ20" i="3"/>
  <c r="AR205" i="3"/>
  <c r="AQ205" i="3"/>
  <c r="AR92" i="3"/>
  <c r="AQ92" i="3"/>
  <c r="AR118" i="3"/>
  <c r="AQ118" i="3"/>
  <c r="AR197" i="3"/>
  <c r="AQ197" i="3"/>
  <c r="AR222" i="3"/>
  <c r="AQ222" i="3"/>
  <c r="AR127" i="3"/>
  <c r="AQ127" i="3"/>
  <c r="AR42" i="3"/>
  <c r="AQ42" i="3"/>
  <c r="AR13" i="3"/>
  <c r="AQ13" i="3"/>
  <c r="AR177" i="3"/>
  <c r="AQ177" i="3"/>
  <c r="AR201" i="3"/>
  <c r="AQ201" i="3"/>
  <c r="AR168" i="3"/>
  <c r="AQ168" i="3"/>
  <c r="AR250" i="3"/>
  <c r="AQ250" i="3"/>
  <c r="AR138" i="3"/>
  <c r="AQ138" i="3"/>
  <c r="AO242" i="3"/>
  <c r="AP242" i="3" s="1"/>
  <c r="AO207" i="3"/>
  <c r="AP207" i="3" s="1"/>
  <c r="Z207" i="3"/>
  <c r="AA207" i="3" s="1"/>
  <c r="AM136" i="3"/>
  <c r="Z136" i="3"/>
  <c r="AA136" i="3" s="1"/>
  <c r="AM238" i="3"/>
  <c r="N151" i="3"/>
  <c r="AM151" i="3" s="1"/>
  <c r="Z10" i="3"/>
  <c r="AA10" i="3" s="1"/>
  <c r="Z156" i="3"/>
  <c r="AA156" i="3" s="1"/>
  <c r="Z49" i="3"/>
  <c r="AA49" i="3" s="1"/>
  <c r="AM105" i="3"/>
  <c r="Z27" i="3"/>
  <c r="AA27" i="3" s="1"/>
  <c r="AM27" i="3"/>
  <c r="AO27" i="3"/>
  <c r="AP27" i="3" s="1"/>
  <c r="AM232" i="3"/>
  <c r="Z118" i="3"/>
  <c r="AA118" i="3" s="1"/>
  <c r="Z232" i="3"/>
  <c r="AA232" i="3" s="1"/>
  <c r="AM117" i="3"/>
  <c r="AM118" i="3"/>
  <c r="Z225" i="3"/>
  <c r="AA225" i="3" s="1"/>
  <c r="AM225" i="3"/>
  <c r="AM155" i="3"/>
  <c r="Z92" i="3"/>
  <c r="AA92" i="3" s="1"/>
  <c r="AM92" i="3"/>
  <c r="AM181" i="3"/>
  <c r="AM156" i="3"/>
  <c r="AM84" i="3"/>
  <c r="Z248" i="3"/>
  <c r="AA248" i="3" s="1"/>
  <c r="Z205" i="3"/>
  <c r="AA205" i="3" s="1"/>
  <c r="Z246" i="3"/>
  <c r="AA246" i="3" s="1"/>
  <c r="Z114" i="3"/>
  <c r="AA114" i="3" s="1"/>
  <c r="AM205" i="3"/>
  <c r="Z167" i="3"/>
  <c r="AA167" i="3" s="1"/>
  <c r="AO167" i="3"/>
  <c r="AP167" i="3" s="1"/>
  <c r="AM167" i="3"/>
  <c r="AO87" i="3"/>
  <c r="AP87" i="3" s="1"/>
  <c r="Z87" i="3"/>
  <c r="AA87" i="3" s="1"/>
  <c r="AM204" i="3"/>
  <c r="Z105" i="3"/>
  <c r="AA105" i="3" s="1"/>
  <c r="AO28" i="3"/>
  <c r="AP28" i="3" s="1"/>
  <c r="AO11" i="3"/>
  <c r="AP11" i="3" s="1"/>
  <c r="Z155" i="3"/>
  <c r="AA155" i="3" s="1"/>
  <c r="AO72" i="3"/>
  <c r="AP72" i="3" s="1"/>
  <c r="AM52" i="3"/>
  <c r="Z234" i="3"/>
  <c r="AA234" i="3" s="1"/>
  <c r="N51" i="3"/>
  <c r="AO51" i="3" s="1"/>
  <c r="AP51" i="3" s="1"/>
  <c r="Z227" i="3"/>
  <c r="AA227" i="3" s="1"/>
  <c r="AO98" i="3"/>
  <c r="AP98" i="3" s="1"/>
  <c r="AM234" i="3"/>
  <c r="AO227" i="3"/>
  <c r="AP227" i="3" s="1"/>
  <c r="AM114" i="3"/>
  <c r="Z98" i="3"/>
  <c r="AA98" i="3" s="1"/>
  <c r="AO185" i="3"/>
  <c r="AP185" i="3" s="1"/>
  <c r="AM185" i="3"/>
  <c r="Z91" i="3"/>
  <c r="AA91" i="3" s="1"/>
  <c r="AM264" i="3"/>
  <c r="AM246" i="3"/>
  <c r="AM135" i="3"/>
  <c r="Z72" i="3"/>
  <c r="AA72" i="3" s="1"/>
  <c r="AO91" i="3"/>
  <c r="AP91" i="3" s="1"/>
  <c r="Z97" i="3"/>
  <c r="AA97" i="3" s="1"/>
  <c r="Z181" i="3"/>
  <c r="AA181" i="3" s="1"/>
  <c r="AO234" i="3"/>
  <c r="AP234" i="3" s="1"/>
  <c r="N161" i="3"/>
  <c r="Z161" i="3" s="1"/>
  <c r="AA161" i="3" s="1"/>
  <c r="Z135" i="3"/>
  <c r="AA135" i="3" s="1"/>
  <c r="AM10" i="3"/>
  <c r="AM32" i="3"/>
  <c r="Z32" i="3"/>
  <c r="AA32" i="3" s="1"/>
  <c r="AO32" i="3"/>
  <c r="AP32" i="3" s="1"/>
  <c r="Z78" i="3"/>
  <c r="AA78" i="3" s="1"/>
  <c r="Z271" i="3"/>
  <c r="AA271" i="3" s="1"/>
  <c r="AM243" i="3"/>
  <c r="AO150" i="3"/>
  <c r="AP150" i="3" s="1"/>
  <c r="AO243" i="3"/>
  <c r="AP243" i="3" s="1"/>
  <c r="AM87" i="3"/>
  <c r="AM150" i="3"/>
  <c r="AM270" i="3"/>
  <c r="M54" i="3"/>
  <c r="N24" i="3"/>
  <c r="AM24" i="3" s="1"/>
  <c r="AM128" i="3"/>
  <c r="AO6" i="3"/>
  <c r="AP6" i="3" s="1"/>
  <c r="AQ6" i="3" s="1"/>
  <c r="AM166" i="3"/>
  <c r="AO89" i="3"/>
  <c r="AP89" i="3" s="1"/>
  <c r="N38" i="3"/>
  <c r="Z38" i="3" s="1"/>
  <c r="AA38" i="3" s="1"/>
  <c r="AO271" i="3"/>
  <c r="AO244" i="3"/>
  <c r="AP244" i="3" s="1"/>
  <c r="Z151" i="3"/>
  <c r="AA151" i="3" s="1"/>
  <c r="N93" i="3"/>
  <c r="AM93" i="3" s="1"/>
  <c r="AO204" i="3"/>
  <c r="AP204" i="3" s="1"/>
  <c r="AO270" i="3"/>
  <c r="AP270" i="3" s="1"/>
  <c r="Z229" i="3"/>
  <c r="AA229" i="3" s="1"/>
  <c r="AO175" i="3"/>
  <c r="AP175" i="3" s="1"/>
  <c r="AM115" i="3"/>
  <c r="AO214" i="3"/>
  <c r="AP214" i="3" s="1"/>
  <c r="Z213" i="3"/>
  <c r="AA213" i="3" s="1"/>
  <c r="AO264" i="3"/>
  <c r="AP264" i="3" s="1"/>
  <c r="AO50" i="3"/>
  <c r="AP50" i="3" s="1"/>
  <c r="AM57" i="3"/>
  <c r="AM244" i="3"/>
  <c r="M218" i="3"/>
  <c r="N218" i="3" s="1"/>
  <c r="AO49" i="3"/>
  <c r="AP49" i="3" s="1"/>
  <c r="AM214" i="3"/>
  <c r="AR229" i="3"/>
  <c r="AR156" i="3"/>
  <c r="AR117" i="3"/>
  <c r="AR95" i="3"/>
  <c r="AR5" i="3"/>
  <c r="AO174" i="3"/>
  <c r="AP174" i="3" s="1"/>
  <c r="AQ174" i="3" s="1"/>
  <c r="Z174" i="3"/>
  <c r="AA174" i="3" s="1"/>
  <c r="AM174" i="3"/>
  <c r="AR238" i="3"/>
  <c r="AR124" i="3"/>
  <c r="M62" i="3"/>
  <c r="N62" i="3" s="1"/>
  <c r="AR108" i="3"/>
  <c r="N125" i="3"/>
  <c r="AM125" i="3" s="1"/>
  <c r="AM191" i="3"/>
  <c r="AR171" i="3"/>
  <c r="M180" i="3"/>
  <c r="M233" i="3"/>
  <c r="AO128" i="3"/>
  <c r="AP128" i="3" s="1"/>
  <c r="AQ128" i="3" s="1"/>
  <c r="AR220" i="3"/>
  <c r="M130" i="3"/>
  <c r="N130" i="3" s="1"/>
  <c r="AM130" i="3" s="1"/>
  <c r="AO12" i="3"/>
  <c r="AP12" i="3" s="1"/>
  <c r="AQ12" i="3" s="1"/>
  <c r="AR74" i="3"/>
  <c r="AM229" i="3"/>
  <c r="AR76" i="3"/>
  <c r="AM11" i="3"/>
  <c r="AM90" i="3"/>
  <c r="AR41" i="3"/>
  <c r="AM28" i="3"/>
  <c r="AR46" i="3"/>
  <c r="AM5" i="3"/>
  <c r="AM6" i="3"/>
  <c r="AM89" i="3"/>
  <c r="AO52" i="3"/>
  <c r="AP52" i="3" s="1"/>
  <c r="AQ52" i="3" s="1"/>
  <c r="AM95" i="3"/>
  <c r="N39" i="3"/>
  <c r="Z39" i="3" s="1"/>
  <c r="AA39" i="3" s="1"/>
  <c r="Z84" i="3"/>
  <c r="AA84" i="3" s="1"/>
  <c r="N23" i="3"/>
  <c r="AM23" i="3" s="1"/>
  <c r="AO200" i="3"/>
  <c r="AP200" i="3" s="1"/>
  <c r="AQ200" i="3" s="1"/>
  <c r="AM200" i="3"/>
  <c r="AR139" i="3"/>
  <c r="AO115" i="3"/>
  <c r="AP115" i="3" s="1"/>
  <c r="AQ115" i="3" s="1"/>
  <c r="N69" i="3"/>
  <c r="Z69" i="3" s="1"/>
  <c r="AA69" i="3" s="1"/>
  <c r="Z175" i="3"/>
  <c r="AA175" i="3" s="1"/>
  <c r="Z193" i="3"/>
  <c r="AA193" i="3" s="1"/>
  <c r="AO184" i="3"/>
  <c r="AP184" i="3" s="1"/>
  <c r="AQ184" i="3" s="1"/>
  <c r="AM83" i="3"/>
  <c r="AO94" i="3"/>
  <c r="AP94" i="3" s="1"/>
  <c r="AQ94" i="3" s="1"/>
  <c r="AM94" i="3"/>
  <c r="Z19" i="3"/>
  <c r="AA19" i="3" s="1"/>
  <c r="M26" i="3"/>
  <c r="AR189" i="3"/>
  <c r="AO191" i="3"/>
  <c r="AP191" i="3" s="1"/>
  <c r="AQ191" i="3" s="1"/>
  <c r="AM137" i="3"/>
  <c r="N34" i="3"/>
  <c r="Z34" i="3" s="1"/>
  <c r="AA34" i="3" s="1"/>
  <c r="Z139" i="3"/>
  <c r="AA139" i="3" s="1"/>
  <c r="N186" i="3"/>
  <c r="Z184" i="3"/>
  <c r="AA184" i="3" s="1"/>
  <c r="AO193" i="3"/>
  <c r="AP193" i="3" s="1"/>
  <c r="AQ193" i="3" s="1"/>
  <c r="M29" i="3"/>
  <c r="Z137" i="3"/>
  <c r="AA137" i="3" s="1"/>
  <c r="AO248" i="3"/>
  <c r="AP248" i="3" s="1"/>
  <c r="AQ248" i="3" s="1"/>
  <c r="AM78" i="3"/>
  <c r="AM12" i="3"/>
  <c r="AO19" i="3"/>
  <c r="AP19" i="3" s="1"/>
  <c r="AQ19" i="3" s="1"/>
  <c r="AR181" i="3"/>
  <c r="AR79" i="3"/>
  <c r="AR208" i="3"/>
  <c r="AR33" i="3"/>
  <c r="AR149" i="3"/>
  <c r="AR136" i="3"/>
  <c r="AO213" i="3"/>
  <c r="AP213" i="3" s="1"/>
  <c r="AQ213" i="3" s="1"/>
  <c r="Z256" i="3"/>
  <c r="AA256" i="3" s="1"/>
  <c r="AO58" i="3"/>
  <c r="AP58" i="3" s="1"/>
  <c r="AQ58" i="3" s="1"/>
  <c r="AR53" i="3"/>
  <c r="AO256" i="3"/>
  <c r="AP256" i="3" s="1"/>
  <c r="AQ256" i="3" s="1"/>
  <c r="N61" i="3"/>
  <c r="AM61" i="3" s="1"/>
  <c r="N228" i="3"/>
  <c r="AO228" i="3" s="1"/>
  <c r="AP228" i="3" s="1"/>
  <c r="AQ228" i="3" s="1"/>
  <c r="AR84" i="3"/>
  <c r="AR237" i="3"/>
  <c r="AR153" i="3"/>
  <c r="AR137" i="3"/>
  <c r="Z117" i="3"/>
  <c r="AA117" i="3" s="1"/>
  <c r="AO45" i="3"/>
  <c r="AP45" i="3" s="1"/>
  <c r="AQ45" i="3" s="1"/>
  <c r="AM175" i="3"/>
  <c r="Z58" i="3"/>
  <c r="AA58" i="3" s="1"/>
  <c r="AR25" i="3"/>
  <c r="N188" i="3"/>
  <c r="Z188" i="3" s="1"/>
  <c r="AA188" i="3" s="1"/>
  <c r="AR122" i="3"/>
  <c r="AO251" i="3"/>
  <c r="AP251" i="3" s="1"/>
  <c r="AQ251" i="3" s="1"/>
  <c r="Z50" i="3"/>
  <c r="AA50" i="3" s="1"/>
  <c r="N145" i="3"/>
  <c r="AM145" i="3" s="1"/>
  <c r="Z210" i="3"/>
  <c r="AA210" i="3" s="1"/>
  <c r="AO57" i="3"/>
  <c r="AP57" i="3" s="1"/>
  <c r="AQ57" i="3" s="1"/>
  <c r="AR225" i="3"/>
  <c r="AR147" i="3"/>
  <c r="AR157" i="3"/>
  <c r="AR232" i="3"/>
  <c r="AO83" i="3"/>
  <c r="AP83" i="3" s="1"/>
  <c r="AQ83" i="3" s="1"/>
  <c r="AO16" i="3"/>
  <c r="AP16" i="3" s="1"/>
  <c r="AQ16" i="3" s="1"/>
  <c r="AR120" i="3"/>
  <c r="N31" i="3"/>
  <c r="AO31" i="3" s="1"/>
  <c r="AP31" i="3" s="1"/>
  <c r="AQ31" i="3" s="1"/>
  <c r="AM251" i="3"/>
  <c r="AR164" i="3"/>
  <c r="AR86" i="3"/>
  <c r="N262" i="3"/>
  <c r="AO262" i="3" s="1"/>
  <c r="AP262" i="3" s="1"/>
  <c r="AQ262" i="3" s="1"/>
  <c r="Z95" i="3"/>
  <c r="AA95" i="3" s="1"/>
  <c r="AR55" i="3"/>
  <c r="M60" i="3"/>
  <c r="N60" i="3" s="1"/>
  <c r="N104" i="3"/>
  <c r="Z104" i="3" s="1"/>
  <c r="AA104" i="3" s="1"/>
  <c r="AR140" i="3"/>
  <c r="AM242" i="3"/>
  <c r="AM16" i="3"/>
  <c r="AR135" i="3"/>
  <c r="N85" i="3"/>
  <c r="Z85" i="3" s="1"/>
  <c r="AA85" i="3" s="1"/>
  <c r="AM45" i="3"/>
  <c r="Z5" i="3"/>
  <c r="AA5" i="3" s="1"/>
  <c r="N212" i="3"/>
  <c r="AM212" i="3" s="1"/>
  <c r="AO155" i="3"/>
  <c r="AP155" i="3" s="1"/>
  <c r="AQ155" i="3" s="1"/>
  <c r="AO166" i="3"/>
  <c r="AP166" i="3" s="1"/>
  <c r="AQ166" i="3" s="1"/>
  <c r="N17" i="3"/>
  <c r="AO17" i="3" s="1"/>
  <c r="AO97" i="3"/>
  <c r="AP97" i="3" s="1"/>
  <c r="AQ97" i="3" s="1"/>
  <c r="AR78" i="3"/>
  <c r="AR96" i="3"/>
  <c r="AR246" i="3"/>
  <c r="AR65" i="3"/>
  <c r="N121" i="3"/>
  <c r="Z121" i="3" s="1"/>
  <c r="AA121" i="3" s="1"/>
  <c r="N253" i="3"/>
  <c r="AM253" i="3" s="1"/>
  <c r="Z90" i="3"/>
  <c r="AA90" i="3" s="1"/>
  <c r="AR240" i="3"/>
  <c r="Z16" i="3"/>
  <c r="AA16" i="3" s="1"/>
  <c r="AR44" i="3"/>
  <c r="AR159" i="3"/>
  <c r="AR162" i="3"/>
  <c r="AR133" i="3"/>
  <c r="L144" i="3"/>
  <c r="AR236" i="3"/>
  <c r="M40" i="3"/>
  <c r="N231" i="3"/>
  <c r="Z231" i="3" s="1"/>
  <c r="AA231" i="3" s="1"/>
  <c r="AM184" i="3"/>
  <c r="N102" i="3"/>
  <c r="AM102" i="3" s="1"/>
  <c r="L182" i="3"/>
  <c r="AM208" i="3"/>
  <c r="Z208" i="3"/>
  <c r="AA208" i="3" s="1"/>
  <c r="AR203" i="3"/>
  <c r="AM50" i="3"/>
  <c r="AR88" i="3"/>
  <c r="AR101" i="3"/>
  <c r="AM139" i="3"/>
  <c r="AO90" i="3"/>
  <c r="AP90" i="3" s="1"/>
  <c r="AQ90" i="3" s="1"/>
  <c r="AQ266" i="3" l="1"/>
  <c r="AR266" i="3"/>
  <c r="AO38" i="3"/>
  <c r="AP38" i="3" s="1"/>
  <c r="AQ38" i="3" s="1"/>
  <c r="AO210" i="3"/>
  <c r="AP210" i="3" s="1"/>
  <c r="AQ210" i="3" s="1"/>
  <c r="AR89" i="3"/>
  <c r="AQ89" i="3"/>
  <c r="AR234" i="3"/>
  <c r="AQ234" i="3"/>
  <c r="AR72" i="3"/>
  <c r="AQ72" i="3"/>
  <c r="AR247" i="3"/>
  <c r="AR91" i="3"/>
  <c r="AQ91" i="3"/>
  <c r="AR98" i="3"/>
  <c r="AQ98" i="3"/>
  <c r="AR28" i="3"/>
  <c r="AQ28" i="3"/>
  <c r="AR87" i="3"/>
  <c r="AQ87" i="3"/>
  <c r="AR214" i="3"/>
  <c r="AQ214" i="3"/>
  <c r="AR270" i="3"/>
  <c r="AQ270" i="3"/>
  <c r="AR244" i="3"/>
  <c r="AQ244" i="3"/>
  <c r="AR243" i="3"/>
  <c r="AQ243" i="3"/>
  <c r="AR227" i="3"/>
  <c r="AQ227" i="3"/>
  <c r="AR51" i="3"/>
  <c r="AQ51" i="3"/>
  <c r="AR167" i="3"/>
  <c r="AQ167" i="3"/>
  <c r="AR27" i="3"/>
  <c r="AQ27" i="3"/>
  <c r="AR207" i="3"/>
  <c r="AQ207" i="3"/>
  <c r="AR264" i="3"/>
  <c r="AQ264" i="3"/>
  <c r="AR175" i="3"/>
  <c r="AQ175" i="3"/>
  <c r="AR49" i="3"/>
  <c r="AQ49" i="3"/>
  <c r="AR50" i="3"/>
  <c r="AQ50" i="3"/>
  <c r="AR204" i="3"/>
  <c r="AQ204" i="3"/>
  <c r="AR150" i="3"/>
  <c r="AQ150" i="3"/>
  <c r="AR32" i="3"/>
  <c r="AQ32" i="3"/>
  <c r="AR185" i="3"/>
  <c r="AQ185" i="3"/>
  <c r="AR11" i="3"/>
  <c r="AQ11" i="3"/>
  <c r="AR242" i="3"/>
  <c r="AQ242" i="3"/>
  <c r="AP271" i="3"/>
  <c r="AT271" i="3" s="1"/>
  <c r="AO151" i="3"/>
  <c r="AP151" i="3" s="1"/>
  <c r="AO161" i="3"/>
  <c r="AP161" i="3" s="1"/>
  <c r="Z23" i="3"/>
  <c r="AA23" i="3" s="1"/>
  <c r="AM161" i="3"/>
  <c r="AM69" i="3"/>
  <c r="AO145" i="3"/>
  <c r="AP145" i="3" s="1"/>
  <c r="N26" i="3"/>
  <c r="AM26" i="3" s="1"/>
  <c r="AO61" i="3"/>
  <c r="AP61" i="3" s="1"/>
  <c r="AO69" i="3"/>
  <c r="AP69" i="3" s="1"/>
  <c r="AM39" i="3"/>
  <c r="Z61" i="3"/>
  <c r="AA61" i="3" s="1"/>
  <c r="AT258" i="3"/>
  <c r="AT33" i="3"/>
  <c r="AT264" i="3"/>
  <c r="AT300" i="3"/>
  <c r="AT170" i="3"/>
  <c r="AT268" i="3"/>
  <c r="AT67" i="3"/>
  <c r="AT235" i="3"/>
  <c r="AT222" i="3"/>
  <c r="AT265" i="3"/>
  <c r="AT47" i="3"/>
  <c r="AT203" i="3"/>
  <c r="AT224" i="3"/>
  <c r="AT66" i="3"/>
  <c r="AT81" i="3"/>
  <c r="AT80" i="3"/>
  <c r="AT101" i="3"/>
  <c r="AT88" i="3"/>
  <c r="AT138" i="3"/>
  <c r="AT140" i="3"/>
  <c r="AT109" i="3"/>
  <c r="AT276" i="3"/>
  <c r="AT56" i="3"/>
  <c r="AT216" i="3"/>
  <c r="AT30" i="3"/>
  <c r="AT48" i="3"/>
  <c r="AT163" i="3"/>
  <c r="AT65" i="3"/>
  <c r="AT73" i="3"/>
  <c r="AT201" i="3"/>
  <c r="AT15" i="3"/>
  <c r="AT281" i="3"/>
  <c r="AT4" i="3"/>
  <c r="AT172" i="3"/>
  <c r="AT22" i="3"/>
  <c r="AT99" i="3"/>
  <c r="AT20" i="3"/>
  <c r="AT240" i="3"/>
  <c r="AT226" i="3"/>
  <c r="AT196" i="3"/>
  <c r="AT158" i="3"/>
  <c r="AT135" i="3"/>
  <c r="AT141" i="3"/>
  <c r="AT292" i="3"/>
  <c r="AT21" i="3"/>
  <c r="AT72" i="3"/>
  <c r="AT287" i="3"/>
  <c r="AT295" i="3"/>
  <c r="AT183" i="3"/>
  <c r="AT136" i="3"/>
  <c r="AT79" i="3"/>
  <c r="AT59" i="3"/>
  <c r="AT119" i="3"/>
  <c r="AT227" i="3"/>
  <c r="AT266" i="3"/>
  <c r="AT206" i="3"/>
  <c r="AT179" i="3"/>
  <c r="AT75" i="3"/>
  <c r="AT176" i="3"/>
  <c r="AT123" i="3"/>
  <c r="AT236" i="3"/>
  <c r="AT173" i="3"/>
  <c r="AT223" i="3"/>
  <c r="AT162" i="3"/>
  <c r="AT126" i="3"/>
  <c r="AT187" i="3"/>
  <c r="AT267" i="3"/>
  <c r="AT197" i="3"/>
  <c r="AT146" i="3"/>
  <c r="AT303" i="3"/>
  <c r="AT219" i="3"/>
  <c r="AT177" i="3"/>
  <c r="AT190" i="3"/>
  <c r="AT131" i="3"/>
  <c r="AT275" i="3"/>
  <c r="AT225" i="3"/>
  <c r="AT64" i="3"/>
  <c r="AT237" i="3"/>
  <c r="AT257" i="3"/>
  <c r="AT178" i="3"/>
  <c r="AT36" i="3"/>
  <c r="AT234" i="3"/>
  <c r="AT280" i="3"/>
  <c r="AT241" i="3"/>
  <c r="AT105" i="3"/>
  <c r="AT294" i="3"/>
  <c r="AT152" i="3"/>
  <c r="AT6" i="3"/>
  <c r="AT111" i="3"/>
  <c r="AT148" i="3"/>
  <c r="AT195" i="3"/>
  <c r="AT232" i="3"/>
  <c r="AT147" i="3"/>
  <c r="AT63" i="3"/>
  <c r="AT137" i="3"/>
  <c r="AT243" i="3"/>
  <c r="AT110" i="3"/>
  <c r="AT11" i="3"/>
  <c r="AT208" i="3"/>
  <c r="AT245" i="3"/>
  <c r="AT112" i="3"/>
  <c r="AT274" i="3"/>
  <c r="AT156" i="3"/>
  <c r="AT46" i="3"/>
  <c r="AM51" i="3"/>
  <c r="Z51" i="3"/>
  <c r="AA51" i="3" s="1"/>
  <c r="AT244" i="3"/>
  <c r="Z93" i="3"/>
  <c r="AA93" i="3" s="1"/>
  <c r="Z130" i="3"/>
  <c r="AA130" i="3" s="1"/>
  <c r="Z125" i="3"/>
  <c r="AA125" i="3" s="1"/>
  <c r="AO24" i="3"/>
  <c r="AP24" i="3" s="1"/>
  <c r="AT214" i="3"/>
  <c r="AT150" i="3"/>
  <c r="AT32" i="3"/>
  <c r="AT291" i="3"/>
  <c r="AT290" i="3"/>
  <c r="AT167" i="3"/>
  <c r="AT37" i="3"/>
  <c r="AT270" i="3"/>
  <c r="AT87" i="3"/>
  <c r="AT133" i="3"/>
  <c r="AT211" i="3"/>
  <c r="AT77" i="3"/>
  <c r="AT129" i="3"/>
  <c r="AT96" i="3"/>
  <c r="AT78" i="3"/>
  <c r="AT132" i="3"/>
  <c r="AT92" i="3"/>
  <c r="AT259" i="3"/>
  <c r="AT55" i="3"/>
  <c r="AT98" i="3"/>
  <c r="AT207" i="3"/>
  <c r="AT127" i="3"/>
  <c r="AT14" i="3"/>
  <c r="AT86" i="3"/>
  <c r="AT239" i="3"/>
  <c r="AT8" i="3"/>
  <c r="AT28" i="3"/>
  <c r="AT164" i="3"/>
  <c r="AT204" i="3"/>
  <c r="AT296" i="3"/>
  <c r="AT157" i="3"/>
  <c r="AT192" i="3"/>
  <c r="AT122" i="3"/>
  <c r="AT209" i="3"/>
  <c r="AT153" i="3"/>
  <c r="AT116" i="3"/>
  <c r="AT89" i="3"/>
  <c r="AT53" i="3"/>
  <c r="AT42" i="3"/>
  <c r="AT194" i="3"/>
  <c r="AT118" i="3"/>
  <c r="AT68" i="3"/>
  <c r="AT198" i="3"/>
  <c r="AT149" i="3"/>
  <c r="AT282" i="3"/>
  <c r="AT165" i="3"/>
  <c r="AT114" i="3"/>
  <c r="AT202" i="3"/>
  <c r="AT106" i="3"/>
  <c r="AT277" i="3"/>
  <c r="AT250" i="3"/>
  <c r="AT252" i="3"/>
  <c r="AT124" i="3"/>
  <c r="AT185" i="3"/>
  <c r="AT255" i="3"/>
  <c r="AT7" i="3"/>
  <c r="AT159" i="3"/>
  <c r="AT44" i="3"/>
  <c r="AT70" i="3"/>
  <c r="AT49" i="3"/>
  <c r="AT246" i="3"/>
  <c r="AT100" i="3"/>
  <c r="AT107" i="3"/>
  <c r="AT142" i="3"/>
  <c r="AT261" i="3"/>
  <c r="AT103" i="3"/>
  <c r="AT230" i="3"/>
  <c r="AT217" i="3"/>
  <c r="AT35" i="3"/>
  <c r="AT154" i="3"/>
  <c r="AT254" i="3"/>
  <c r="AT249" i="3"/>
  <c r="AT247" i="3"/>
  <c r="AT284" i="3"/>
  <c r="AT205" i="3"/>
  <c r="AT120" i="3"/>
  <c r="AT263" i="3"/>
  <c r="AT10" i="3"/>
  <c r="AT25" i="3"/>
  <c r="AT84" i="3"/>
  <c r="AT260" i="3"/>
  <c r="AT82" i="3"/>
  <c r="AT286" i="3"/>
  <c r="AT288" i="3"/>
  <c r="AT221" i="3"/>
  <c r="AT289" i="3"/>
  <c r="AT181" i="3"/>
  <c r="AT13" i="3"/>
  <c r="AT143" i="3"/>
  <c r="AT91" i="3"/>
  <c r="AT76" i="3"/>
  <c r="AT160" i="3"/>
  <c r="AT168" i="3"/>
  <c r="AT293" i="3"/>
  <c r="AT242" i="3"/>
  <c r="AT238" i="3"/>
  <c r="AT50" i="3"/>
  <c r="AT95" i="3"/>
  <c r="AT302" i="3"/>
  <c r="AT298" i="3"/>
  <c r="AT215" i="3"/>
  <c r="AT189" i="3"/>
  <c r="AT134" i="3"/>
  <c r="AT139" i="3"/>
  <c r="AT43" i="3"/>
  <c r="AT18" i="3"/>
  <c r="AT199" i="3"/>
  <c r="AT299" i="3"/>
  <c r="AT74" i="3"/>
  <c r="AT27" i="3"/>
  <c r="AT301" i="3"/>
  <c r="AT285" i="3"/>
  <c r="AT175" i="3"/>
  <c r="AO62" i="3"/>
  <c r="AP62" i="3" s="1"/>
  <c r="Z62" i="3"/>
  <c r="AA62" i="3" s="1"/>
  <c r="AO34" i="3"/>
  <c r="AP34" i="3" s="1"/>
  <c r="AM34" i="3"/>
  <c r="N54" i="3"/>
  <c r="AM121" i="3"/>
  <c r="AO39" i="3"/>
  <c r="AP39" i="3" s="1"/>
  <c r="AT269" i="3"/>
  <c r="AT41" i="3"/>
  <c r="AT220" i="3"/>
  <c r="AT71" i="3"/>
  <c r="AT171" i="3"/>
  <c r="AT169" i="3"/>
  <c r="AT108" i="3"/>
  <c r="AR6" i="3"/>
  <c r="AT5" i="3"/>
  <c r="AT117" i="3"/>
  <c r="AT273" i="3"/>
  <c r="AT113" i="3"/>
  <c r="AM38" i="3"/>
  <c r="AO121" i="3"/>
  <c r="AP121" i="3" s="1"/>
  <c r="AO231" i="3"/>
  <c r="AP231" i="3" s="1"/>
  <c r="Z60" i="3"/>
  <c r="AA60" i="3" s="1"/>
  <c r="AM262" i="3"/>
  <c r="AT51" i="3"/>
  <c r="AT229" i="3"/>
  <c r="AT9" i="3"/>
  <c r="Z31" i="3"/>
  <c r="AA31" i="3" s="1"/>
  <c r="AM62" i="3"/>
  <c r="AO93" i="3"/>
  <c r="AP93" i="3" s="1"/>
  <c r="AQ93" i="3" s="1"/>
  <c r="AO60" i="3"/>
  <c r="AP60" i="3" s="1"/>
  <c r="AO104" i="3"/>
  <c r="AP104" i="3" s="1"/>
  <c r="Z262" i="3"/>
  <c r="AA262" i="3" s="1"/>
  <c r="AO130" i="3"/>
  <c r="AP130" i="3" s="1"/>
  <c r="Z24" i="3"/>
  <c r="AA24" i="3" s="1"/>
  <c r="Z218" i="3"/>
  <c r="AA218" i="3" s="1"/>
  <c r="AO218" i="3"/>
  <c r="AP218" i="3" s="1"/>
  <c r="AQ218" i="3" s="1"/>
  <c r="AM218" i="3"/>
  <c r="AR262" i="3"/>
  <c r="AT262" i="3"/>
  <c r="AR31" i="3"/>
  <c r="AT31" i="3"/>
  <c r="AR57" i="3"/>
  <c r="AT57" i="3"/>
  <c r="AR228" i="3"/>
  <c r="AT228" i="3"/>
  <c r="AT278" i="3"/>
  <c r="AM231" i="3"/>
  <c r="AO253" i="3"/>
  <c r="AP253" i="3" s="1"/>
  <c r="AQ253" i="3" s="1"/>
  <c r="AR166" i="3"/>
  <c r="AT166" i="3"/>
  <c r="AM60" i="3"/>
  <c r="AR251" i="3"/>
  <c r="AT251" i="3"/>
  <c r="Z102" i="3"/>
  <c r="AA102" i="3" s="1"/>
  <c r="AR58" i="3"/>
  <c r="AT58" i="3"/>
  <c r="AR193" i="3"/>
  <c r="AT193" i="3"/>
  <c r="AR210" i="3"/>
  <c r="AT210" i="3"/>
  <c r="AT115" i="3"/>
  <c r="AR115" i="3"/>
  <c r="AR200" i="3"/>
  <c r="AT200" i="3"/>
  <c r="Z212" i="3"/>
  <c r="AA212" i="3" s="1"/>
  <c r="AT272" i="3"/>
  <c r="AR52" i="3"/>
  <c r="AT52" i="3"/>
  <c r="AO125" i="3"/>
  <c r="AP125" i="3" s="1"/>
  <c r="AQ125" i="3" s="1"/>
  <c r="AT297" i="3"/>
  <c r="AM85" i="3"/>
  <c r="AM104" i="3"/>
  <c r="AR155" i="3"/>
  <c r="AT155" i="3"/>
  <c r="AO188" i="3"/>
  <c r="AP188" i="3" s="1"/>
  <c r="AQ188" i="3" s="1"/>
  <c r="AO85" i="3"/>
  <c r="AP85" i="3" s="1"/>
  <c r="AQ85" i="3" s="1"/>
  <c r="AM188" i="3"/>
  <c r="AO102" i="3"/>
  <c r="AP102" i="3" s="1"/>
  <c r="AQ102" i="3" s="1"/>
  <c r="AR213" i="3"/>
  <c r="AT213" i="3"/>
  <c r="N29" i="3"/>
  <c r="Z29" i="3" s="1"/>
  <c r="AA29" i="3" s="1"/>
  <c r="AR191" i="3"/>
  <c r="AT191" i="3"/>
  <c r="AR94" i="3"/>
  <c r="AT94" i="3"/>
  <c r="AM31" i="3"/>
  <c r="AM228" i="3"/>
  <c r="AO212" i="3"/>
  <c r="AP212" i="3" s="1"/>
  <c r="AQ212" i="3" s="1"/>
  <c r="AO23" i="3"/>
  <c r="AP23" i="3" s="1"/>
  <c r="AQ23" i="3" s="1"/>
  <c r="Z253" i="3"/>
  <c r="AA253" i="3" s="1"/>
  <c r="Z17" i="3"/>
  <c r="AA17" i="3" s="1"/>
  <c r="AM17" i="3"/>
  <c r="AT279" i="3"/>
  <c r="M144" i="3"/>
  <c r="N144" i="3" s="1"/>
  <c r="AM144" i="3" s="1"/>
  <c r="AR97" i="3"/>
  <c r="AT97" i="3"/>
  <c r="AR16" i="3"/>
  <c r="AT16" i="3"/>
  <c r="AR83" i="3"/>
  <c r="AT83" i="3"/>
  <c r="N233" i="3"/>
  <c r="AO233" i="3" s="1"/>
  <c r="AP233" i="3" s="1"/>
  <c r="AQ233" i="3" s="1"/>
  <c r="AT45" i="3"/>
  <c r="AR45" i="3"/>
  <c r="AR256" i="3"/>
  <c r="AT256" i="3"/>
  <c r="AR248" i="3"/>
  <c r="AT248" i="3"/>
  <c r="AT283" i="3"/>
  <c r="AR12" i="3"/>
  <c r="AT12" i="3"/>
  <c r="N180" i="3"/>
  <c r="N40" i="3"/>
  <c r="AM40" i="3" s="1"/>
  <c r="M182" i="3"/>
  <c r="AR90" i="3"/>
  <c r="AT90" i="3"/>
  <c r="AR38" i="3"/>
  <c r="AT38" i="3"/>
  <c r="AR19" i="3"/>
  <c r="AT19" i="3"/>
  <c r="Z186" i="3"/>
  <c r="AA186" i="3" s="1"/>
  <c r="AO186" i="3"/>
  <c r="AP186" i="3" s="1"/>
  <c r="AQ186" i="3" s="1"/>
  <c r="AM186" i="3"/>
  <c r="Z228" i="3"/>
  <c r="AA228" i="3" s="1"/>
  <c r="AR184" i="3"/>
  <c r="AT184" i="3"/>
  <c r="AR128" i="3"/>
  <c r="AT128" i="3"/>
  <c r="AR174" i="3"/>
  <c r="AT174" i="3"/>
  <c r="Z145" i="3"/>
  <c r="AA145" i="3" s="1"/>
  <c r="AP17" i="3" l="1"/>
  <c r="AQ17" i="3" s="1"/>
  <c r="AR69" i="3"/>
  <c r="AQ69" i="3"/>
  <c r="AR151" i="3"/>
  <c r="AQ151" i="3"/>
  <c r="AR24" i="3"/>
  <c r="AQ24" i="3"/>
  <c r="AT145" i="3"/>
  <c r="AQ145" i="3"/>
  <c r="AT161" i="3"/>
  <c r="AQ161" i="3"/>
  <c r="AT121" i="3"/>
  <c r="AQ121" i="3"/>
  <c r="AT62" i="3"/>
  <c r="AQ62" i="3"/>
  <c r="AT104" i="3"/>
  <c r="AQ104" i="3"/>
  <c r="AR61" i="3"/>
  <c r="AQ61" i="3"/>
  <c r="AR271" i="3"/>
  <c r="AQ271" i="3"/>
  <c r="AR130" i="3"/>
  <c r="AQ130" i="3"/>
  <c r="AR231" i="3"/>
  <c r="AQ231" i="3"/>
  <c r="AT60" i="3"/>
  <c r="AQ60" i="3"/>
  <c r="AT39" i="3"/>
  <c r="AQ39" i="3"/>
  <c r="AR34" i="3"/>
  <c r="AQ34" i="3"/>
  <c r="AR161" i="3"/>
  <c r="AT151" i="3"/>
  <c r="AR145" i="3"/>
  <c r="AT61" i="3"/>
  <c r="AT24" i="3"/>
  <c r="AR62" i="3"/>
  <c r="AO26" i="3"/>
  <c r="AP26" i="3" s="1"/>
  <c r="AT69" i="3"/>
  <c r="Z26" i="3"/>
  <c r="AA26" i="3" s="1"/>
  <c r="AR121" i="3"/>
  <c r="AT231" i="3"/>
  <c r="AR60" i="3"/>
  <c r="AT34" i="3"/>
  <c r="AR39" i="3"/>
  <c r="AR104" i="3"/>
  <c r="AT130" i="3"/>
  <c r="AO144" i="3"/>
  <c r="AP144" i="3" s="1"/>
  <c r="AO54" i="3"/>
  <c r="AP54" i="3" s="1"/>
  <c r="AQ54" i="3" s="1"/>
  <c r="AM54" i="3"/>
  <c r="Z54" i="3"/>
  <c r="AA54" i="3" s="1"/>
  <c r="Z144" i="3"/>
  <c r="AA144" i="3" s="1"/>
  <c r="Z40" i="3"/>
  <c r="AA40" i="3" s="1"/>
  <c r="AR218" i="3"/>
  <c r="AT218" i="3"/>
  <c r="AR93" i="3"/>
  <c r="AT93" i="3"/>
  <c r="AM180" i="3"/>
  <c r="AO180" i="3"/>
  <c r="AP180" i="3" s="1"/>
  <c r="AQ180" i="3" s="1"/>
  <c r="AR212" i="3"/>
  <c r="AT212" i="3"/>
  <c r="AR102" i="3"/>
  <c r="AT102" i="3"/>
  <c r="AR188" i="3"/>
  <c r="AT188" i="3"/>
  <c r="AO40" i="3"/>
  <c r="AP40" i="3" s="1"/>
  <c r="AQ40" i="3" s="1"/>
  <c r="AR23" i="3"/>
  <c r="AT23" i="3"/>
  <c r="Z180" i="3"/>
  <c r="AA180" i="3" s="1"/>
  <c r="AT85" i="3"/>
  <c r="AR85" i="3"/>
  <c r="AR125" i="3"/>
  <c r="AT125" i="3"/>
  <c r="AM233" i="3"/>
  <c r="AR186" i="3"/>
  <c r="AT186" i="3"/>
  <c r="AR233" i="3"/>
  <c r="AT233" i="3"/>
  <c r="AO29" i="3"/>
  <c r="AP29" i="3" s="1"/>
  <c r="AQ29" i="3" s="1"/>
  <c r="AM29" i="3"/>
  <c r="Z233" i="3"/>
  <c r="AA233" i="3" s="1"/>
  <c r="AR253" i="3"/>
  <c r="AT253" i="3"/>
  <c r="N182" i="3"/>
  <c r="AM182" i="3" s="1"/>
  <c r="AR17" i="3" l="1"/>
  <c r="AT17" i="3"/>
  <c r="AT26" i="3"/>
  <c r="AQ26" i="3"/>
  <c r="AT144" i="3"/>
  <c r="AQ144" i="3"/>
  <c r="AR144" i="3"/>
  <c r="AR26" i="3"/>
  <c r="AR54" i="3"/>
  <c r="AT54" i="3"/>
  <c r="Z182" i="3"/>
  <c r="AA182" i="3" s="1"/>
  <c r="AO182" i="3"/>
  <c r="AP182" i="3" s="1"/>
  <c r="AQ182" i="3" s="1"/>
  <c r="AR29" i="3"/>
  <c r="AT29" i="3"/>
  <c r="AR40" i="3"/>
  <c r="AT40" i="3"/>
  <c r="AR180" i="3"/>
  <c r="AT180" i="3"/>
  <c r="AR182" i="3" l="1"/>
  <c r="AT18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Moura Giuranno</author>
  </authors>
  <commentList>
    <comment ref="C2" authorId="0" shapeId="0" xr:uid="{00000000-0006-0000-0200-000001000000}">
      <text>
        <r>
          <rPr>
            <b/>
            <sz val="9"/>
            <color indexed="81"/>
            <rFont val="Segoe UI"/>
            <family val="2"/>
          </rPr>
          <t>Leonardo Giuranno:</t>
        </r>
        <r>
          <rPr>
            <sz val="9"/>
            <color indexed="81"/>
            <rFont val="Segoe UI"/>
            <family val="2"/>
          </rPr>
          <t xml:space="preserve">
A= Atibuto
E= Entidade
</t>
        </r>
      </text>
    </comment>
  </commentList>
</comments>
</file>

<file path=xl/sharedStrings.xml><?xml version="1.0" encoding="utf-8"?>
<sst xmlns="http://schemas.openxmlformats.org/spreadsheetml/2006/main" count="19550" uniqueCount="4309">
  <si>
    <t>Como usar o conversor:</t>
  </si>
  <si>
    <t>Passo 1:</t>
  </si>
  <si>
    <t>Passo 2:</t>
  </si>
  <si>
    <t>1. Preencher o nome conceitual o mais preciso e amplo possível não usando apenas a classe é uma única palavra .</t>
  </si>
  <si>
    <t>2. Escolher os mnemonicos que deverão participar na formação do nome físico com "X"</t>
  </si>
  <si>
    <t>Obs:</t>
  </si>
  <si>
    <t>Usar: Percentual de Taxa de Juro Adicional da Simulação do Contrato de Empréstimo</t>
  </si>
  <si>
    <t xml:space="preserve">ao inves de:  Percentual de Taxa de Juro </t>
  </si>
  <si>
    <t>Nome Conceitual do Objeto</t>
  </si>
  <si>
    <t>Inclusão de Composição para o Nome Físco</t>
  </si>
  <si>
    <t>Percentual de Taxa de Juro Adicional da Simulação do Contrato de Empréstimo</t>
  </si>
  <si>
    <t>X</t>
  </si>
  <si>
    <t>Hora da Liberação do Carregamento</t>
  </si>
  <si>
    <t>x</t>
  </si>
  <si>
    <t>Data da Chegada na Doca para Carregamento</t>
  </si>
  <si>
    <t>Hora da Chegada na Doca para Carregamento</t>
  </si>
  <si>
    <t>Código do Usuário Chegada na Doca para Carregamento de material perecivel</t>
  </si>
  <si>
    <t>indicador de promoção filha crystal</t>
  </si>
  <si>
    <t>Passo 3:</t>
  </si>
  <si>
    <t>3. Utilizar [CTRL + C] para copiar o conteúdo do Nome Físico a ser utilizado.</t>
  </si>
  <si>
    <t xml:space="preserve">1. Se o nome físico não estiver grafado na cor preta significa que excede ao tamanho de 32 caracteres, conforme pode-se comprovar na coluna Tam Max, neste caso reduzir o número de palavras </t>
  </si>
  <si>
    <t>2. A inclusão ou exclusao de mnemônicos é feita com a opção "X" (Passo 2)</t>
  </si>
  <si>
    <r>
      <t>3. Palavras não incluídas no glossário aparecerão grafadas com "***" . exemplo:</t>
    </r>
    <r>
      <rPr>
        <sz val="8"/>
        <color theme="9" tint="-0.249977111117893"/>
        <rFont val="Arial"/>
        <family val="2"/>
      </rPr>
      <t xml:space="preserve"> ind_promo_filha_***
</t>
    </r>
    <r>
      <rPr>
        <b/>
        <sz val="8"/>
        <rFont val="Arial"/>
        <family val="2"/>
      </rPr>
      <t>Neste caso remover a palavra ou solicitar a criação do mnemônico à Arquitetura de Dados</t>
    </r>
  </si>
  <si>
    <r>
      <t>4.. Algumas palavras podem ser encontradas no glossario escrita sem espaço para garantir o termo a ser usado.</t>
    </r>
    <r>
      <rPr>
        <sz val="8"/>
        <color theme="9" tint="-0.249977111117893"/>
        <rFont val="Arial"/>
        <family val="2"/>
      </rPr>
      <t xml:space="preserve">
</t>
    </r>
    <r>
      <rPr>
        <b/>
        <sz val="8"/>
        <rFont val="Arial"/>
        <family val="2"/>
      </rPr>
      <t xml:space="preserve">Ex: - Centrodecusto - neste caso trata ccust de forma unificada.
Nota: Para Produto / PLU basta digitar PRODUTO, para PRODUTO / PROD deve ser usado PRODUTOPROD </t>
    </r>
  </si>
  <si>
    <t>Nome Físico</t>
  </si>
  <si>
    <t>perc_tx_juro_adic_simul_contrat_emprest</t>
  </si>
  <si>
    <t>hor_lib_carreg</t>
  </si>
  <si>
    <t>dat_cheg_doca_carreg</t>
  </si>
  <si>
    <t>hor_cheg_doca_carreg</t>
  </si>
  <si>
    <t>cod_usu_cheg_doca_carreg_percvl</t>
  </si>
  <si>
    <t>ind_promo_filho</t>
  </si>
  <si>
    <t>dat_cad_camp</t>
  </si>
  <si>
    <t>desc_objtv_camp</t>
  </si>
  <si>
    <t>cod_ofer</t>
  </si>
  <si>
    <t>cod_versao</t>
  </si>
  <si>
    <r>
      <t>ind_promo_filha_</t>
    </r>
    <r>
      <rPr>
        <b/>
        <sz val="10"/>
        <color theme="9" tint="-0.249977111117893"/>
        <rFont val="Arial"/>
        <family val="2"/>
      </rPr>
      <t>***</t>
    </r>
  </si>
  <si>
    <t>COMO USAR O CONVERSOR?</t>
  </si>
  <si>
    <r>
      <t xml:space="preserve">1. Clique na aba </t>
    </r>
    <r>
      <rPr>
        <b/>
        <i/>
        <sz val="14"/>
        <color theme="1"/>
        <rFont val="Times"/>
        <family val="1"/>
      </rPr>
      <t>"Conversor"</t>
    </r>
    <r>
      <rPr>
        <sz val="14"/>
        <color theme="1"/>
        <rFont val="Times"/>
        <family val="1"/>
      </rPr>
      <t xml:space="preserve">; </t>
    </r>
  </si>
  <si>
    <t>2. Utilize essa tabela apenas para os nomes dos campos;</t>
  </si>
  <si>
    <r>
      <t xml:space="preserve">3. Não utilizar preposições </t>
    </r>
    <r>
      <rPr>
        <b/>
        <i/>
        <sz val="14"/>
        <color theme="1"/>
        <rFont val="Times"/>
        <family val="1"/>
      </rPr>
      <t>(de, da, do, e, a, o)</t>
    </r>
    <r>
      <rPr>
        <sz val="14"/>
        <color theme="1"/>
        <rFont val="Times"/>
        <family val="1"/>
      </rPr>
      <t>;</t>
    </r>
  </si>
  <si>
    <t>4. O nome do campo deve sempre começar com a natureza do dado;</t>
  </si>
  <si>
    <t xml:space="preserve"> </t>
  </si>
  <si>
    <r>
      <t xml:space="preserve">5.  Na coluna </t>
    </r>
    <r>
      <rPr>
        <b/>
        <i/>
        <sz val="14"/>
        <color theme="1"/>
        <rFont val="Times"/>
        <family val="1"/>
      </rPr>
      <t>"A"</t>
    </r>
    <r>
      <rPr>
        <sz val="14"/>
        <color theme="1"/>
        <rFont val="Times"/>
        <family val="1"/>
      </rPr>
      <t xml:space="preserve"> (Nome Conceitual do Objeto), escreva o nome conceitual na linha abaixo dos exemplos em azul; e</t>
    </r>
  </si>
  <si>
    <r>
      <t xml:space="preserve">6. O resulto será apresentado na tabela </t>
    </r>
    <r>
      <rPr>
        <b/>
        <i/>
        <sz val="14"/>
        <color theme="1"/>
        <rFont val="Times"/>
        <family val="1"/>
      </rPr>
      <t>"AO"</t>
    </r>
    <r>
      <rPr>
        <sz val="14"/>
        <color theme="1"/>
        <rFont val="Times"/>
        <family val="1"/>
      </rPr>
      <t xml:space="preserve"> (Nome Lógico).</t>
    </r>
  </si>
  <si>
    <t>Tipo de Objeto</t>
  </si>
  <si>
    <t>Nome Separado por Espaços</t>
  </si>
  <si>
    <t>Decomposição do Nome</t>
  </si>
  <si>
    <t>Inclusão de Composição para o Nome Lógico</t>
  </si>
  <si>
    <t>Logical Name</t>
  </si>
  <si>
    <t>Nome Lógico</t>
  </si>
  <si>
    <t>Physical Table Name</t>
  </si>
  <si>
    <t>Physical Atribute Name</t>
  </si>
  <si>
    <t>não altere esta linha</t>
  </si>
  <si>
    <t>A</t>
  </si>
  <si>
    <t>data venda</t>
  </si>
  <si>
    <t>data compra</t>
  </si>
  <si>
    <t>data atual</t>
  </si>
  <si>
    <t>E</t>
  </si>
  <si>
    <t>Código</t>
  </si>
  <si>
    <t>Termo</t>
  </si>
  <si>
    <t>Mnemônico Ajustado</t>
  </si>
  <si>
    <t>Mnemônico</t>
  </si>
  <si>
    <t>Descrição</t>
  </si>
  <si>
    <t>Hab</t>
  </si>
  <si>
    <t>ABASTECIMENTO</t>
  </si>
  <si>
    <t>ABAST</t>
  </si>
  <si>
    <t>þ</t>
  </si>
  <si>
    <t>ABATIDO</t>
  </si>
  <si>
    <t>ABAT</t>
  </si>
  <si>
    <t>ABATIMENTO</t>
  </si>
  <si>
    <t>ABERTA</t>
  </si>
  <si>
    <t>ABERT</t>
  </si>
  <si>
    <t>ABERTO</t>
  </si>
  <si>
    <t>ABERTURA</t>
  </si>
  <si>
    <t>ABORDADO</t>
  </si>
  <si>
    <t>ABORD</t>
  </si>
  <si>
    <t>ABORDAGEM</t>
  </si>
  <si>
    <t>ABORTADA</t>
  </si>
  <si>
    <t>ABORT</t>
  </si>
  <si>
    <t>ABORTADO</t>
  </si>
  <si>
    <t>ABRANGENCIA</t>
  </si>
  <si>
    <t>ABRANG</t>
  </si>
  <si>
    <t>ABREVIADA</t>
  </si>
  <si>
    <t>ABREV</t>
  </si>
  <si>
    <t>ABREVIADO</t>
  </si>
  <si>
    <t>ABREVIATURA</t>
  </si>
  <si>
    <t>ACEITACAO</t>
  </si>
  <si>
    <t>ACEIT</t>
  </si>
  <si>
    <t>ACEITAVEL</t>
  </si>
  <si>
    <t>ACELERACAO</t>
  </si>
  <si>
    <t>ACEL</t>
  </si>
  <si>
    <t>ACELERADO</t>
  </si>
  <si>
    <t>ACESSA</t>
  </si>
  <si>
    <t>ACES</t>
  </si>
  <si>
    <t>ACESSO</t>
  </si>
  <si>
    <t>ACESSORIA</t>
  </si>
  <si>
    <t>ACESS</t>
  </si>
  <si>
    <t>ACESSORIO</t>
  </si>
  <si>
    <t>ACIDENTE</t>
  </si>
  <si>
    <t>ACID</t>
  </si>
  <si>
    <t>ACIDO</t>
  </si>
  <si>
    <t>ACI</t>
  </si>
  <si>
    <t>ACIONAMENTO</t>
  </si>
  <si>
    <t>ACION</t>
  </si>
  <si>
    <t>ACIONARIA</t>
  </si>
  <si>
    <t>ACIONARIO</t>
  </si>
  <si>
    <t>ACIONISTA</t>
  </si>
  <si>
    <t>ACOLHEDOR</t>
  </si>
  <si>
    <t>ACOLH</t>
  </si>
  <si>
    <t>ACOLHEDORA</t>
  </si>
  <si>
    <t>ACOLHIMENTO</t>
  </si>
  <si>
    <t>ACOMODACAO</t>
  </si>
  <si>
    <t>ACOM</t>
  </si>
  <si>
    <t>ACOMPANHAMENTO</t>
  </si>
  <si>
    <t>ACOMP</t>
  </si>
  <si>
    <t>ACOMPANHANTE</t>
  </si>
  <si>
    <t>ACORDADO</t>
  </si>
  <si>
    <t>ACORD</t>
  </si>
  <si>
    <t>ACORDO</t>
  </si>
  <si>
    <t>ACRESCIMO</t>
  </si>
  <si>
    <t>ACRESC</t>
  </si>
  <si>
    <t>ACUMULADA</t>
  </si>
  <si>
    <t>ACUM</t>
  </si>
  <si>
    <t>ACUMULADO</t>
  </si>
  <si>
    <t>ACUMULADOR</t>
  </si>
  <si>
    <t>ACUMULADORA</t>
  </si>
  <si>
    <t>ADAPTACAO</t>
  </si>
  <si>
    <t>ADAPT</t>
  </si>
  <si>
    <t>ADEQUACAO</t>
  </si>
  <si>
    <t>ADEQ</t>
  </si>
  <si>
    <t>ADEQUADO</t>
  </si>
  <si>
    <t>ADESAO</t>
  </si>
  <si>
    <t>ADES</t>
  </si>
  <si>
    <t>ADIANTADO</t>
  </si>
  <si>
    <t>ADIA</t>
  </si>
  <si>
    <t>ADIANTAMENTO</t>
  </si>
  <si>
    <t>ADICAO</t>
  </si>
  <si>
    <t>ADIC</t>
  </si>
  <si>
    <t>ADICIONAL</t>
  </si>
  <si>
    <t>ADIMPLENCIA</t>
  </si>
  <si>
    <t>ADIMP</t>
  </si>
  <si>
    <t>ADITADO</t>
  </si>
  <si>
    <t>ADITA</t>
  </si>
  <si>
    <t>ADITAMENTO</t>
  </si>
  <si>
    <t>ADITIVO</t>
  </si>
  <si>
    <t>ADIT</t>
  </si>
  <si>
    <t>ADJUDICACAO</t>
  </si>
  <si>
    <t>ADJUD</t>
  </si>
  <si>
    <t>ADJUNTO</t>
  </si>
  <si>
    <t>ADJUN</t>
  </si>
  <si>
    <t>ADMINISTRACAO</t>
  </si>
  <si>
    <t>ADM</t>
  </si>
  <si>
    <t>ADMINISTRADO</t>
  </si>
  <si>
    <t>ADMINISTRADOR</t>
  </si>
  <si>
    <t>ADMINISTRADORA</t>
  </si>
  <si>
    <t>ADMINISTRATIVA</t>
  </si>
  <si>
    <t>ADMINISTRATIVO</t>
  </si>
  <si>
    <t>ADMINSTRADO</t>
  </si>
  <si>
    <t>ADMISSAO</t>
  </si>
  <si>
    <t>ADMIS</t>
  </si>
  <si>
    <t>ADMITIDA</t>
  </si>
  <si>
    <t>ADMIT</t>
  </si>
  <si>
    <t>ADMITIDO</t>
  </si>
  <si>
    <t>ADOLESCENTE</t>
  </si>
  <si>
    <t>ADOL</t>
  </si>
  <si>
    <t>ADOTADA</t>
  </si>
  <si>
    <t>ADOT</t>
  </si>
  <si>
    <t>ADQUIRENTE</t>
  </si>
  <si>
    <t>ADQ</t>
  </si>
  <si>
    <t>ADQUIRIDA</t>
  </si>
  <si>
    <t>ADQUIRIDO</t>
  </si>
  <si>
    <t>ADVERTENCIA</t>
  </si>
  <si>
    <t>ADVERT</t>
  </si>
  <si>
    <t>ADVOCACIA</t>
  </si>
  <si>
    <t>ADV</t>
  </si>
  <si>
    <t>ADVOGADO</t>
  </si>
  <si>
    <t>AERONAUTICO</t>
  </si>
  <si>
    <t>AERO</t>
  </si>
  <si>
    <t>AERONAVE</t>
  </si>
  <si>
    <t>AEROPORTO</t>
  </si>
  <si>
    <t>AEROP</t>
  </si>
  <si>
    <t>AFASTADO</t>
  </si>
  <si>
    <t>AFAST</t>
  </si>
  <si>
    <t>AFASTAMENTO</t>
  </si>
  <si>
    <t>AFERICAO</t>
  </si>
  <si>
    <t>AFER</t>
  </si>
  <si>
    <t>AFETADO</t>
  </si>
  <si>
    <t>AFET</t>
  </si>
  <si>
    <t>AFILIACAO</t>
  </si>
  <si>
    <t>AFILIA</t>
  </si>
  <si>
    <t>AFINIDADE</t>
  </si>
  <si>
    <t>AFIN</t>
  </si>
  <si>
    <t>AFIRMACAO</t>
  </si>
  <si>
    <t>AFIRM</t>
  </si>
  <si>
    <t>AGENCIA</t>
  </si>
  <si>
    <t>AG</t>
  </si>
  <si>
    <t>AGENDA</t>
  </si>
  <si>
    <t>AGEND</t>
  </si>
  <si>
    <t>AGENDADA</t>
  </si>
  <si>
    <t>AGENDADO</t>
  </si>
  <si>
    <t>AGENDAMENTO</t>
  </si>
  <si>
    <t>AGENTE</t>
  </si>
  <si>
    <t>AGT</t>
  </si>
  <si>
    <t>AGOSTO</t>
  </si>
  <si>
    <t>AGO</t>
  </si>
  <si>
    <t>AGRARIA</t>
  </si>
  <si>
    <t>AGR</t>
  </si>
  <si>
    <t>AGRAVACAO</t>
  </si>
  <si>
    <t>AGRAV</t>
  </si>
  <si>
    <t>AGREGACAO</t>
  </si>
  <si>
    <t>AGREG</t>
  </si>
  <si>
    <t>AGREGADA</t>
  </si>
  <si>
    <t>AGREGADO</t>
  </si>
  <si>
    <t>AGREGADOR</t>
  </si>
  <si>
    <t>AGRICOLA</t>
  </si>
  <si>
    <t>AGRIC</t>
  </si>
  <si>
    <t>AGRONOMO</t>
  </si>
  <si>
    <t>AGRO</t>
  </si>
  <si>
    <t>AGROPECUARIA</t>
  </si>
  <si>
    <t>AGROP</t>
  </si>
  <si>
    <t>AGROPECUARIO</t>
  </si>
  <si>
    <t>AGRUPADA</t>
  </si>
  <si>
    <t>AGRUP</t>
  </si>
  <si>
    <t>AGRUPAMENTO</t>
  </si>
  <si>
    <t>AGUARDANDO</t>
  </si>
  <si>
    <t>AGUARD</t>
  </si>
  <si>
    <t>AJUIZADA</t>
  </si>
  <si>
    <t>AJUIZ</t>
  </si>
  <si>
    <t>AJUIZAMENTO</t>
  </si>
  <si>
    <t>AJUSTADO</t>
  </si>
  <si>
    <t>AJUST</t>
  </si>
  <si>
    <t>AJUSTAVEL</t>
  </si>
  <si>
    <t>AJUSTE</t>
  </si>
  <si>
    <t>ALAVANCAGEM</t>
  </si>
  <si>
    <t>ALAV</t>
  </si>
  <si>
    <t>ALCANCE</t>
  </si>
  <si>
    <t>ALCAN</t>
  </si>
  <si>
    <t>ALEATORIO</t>
  </si>
  <si>
    <t>ALEAT</t>
  </si>
  <si>
    <t>ALEGADA</t>
  </si>
  <si>
    <t>ALEG</t>
  </si>
  <si>
    <t>ALFABETICO</t>
  </si>
  <si>
    <t>ALFAB</t>
  </si>
  <si>
    <t>ALFANUMERICA</t>
  </si>
  <si>
    <t>ALFAN</t>
  </si>
  <si>
    <t>ALFANUMERICO</t>
  </si>
  <si>
    <t>ALGORITMO</t>
  </si>
  <si>
    <t>ALGOR</t>
  </si>
  <si>
    <t>ALIENACAO</t>
  </si>
  <si>
    <t>ALIEN</t>
  </si>
  <si>
    <t>ALIENADO</t>
  </si>
  <si>
    <t>ALIMENTACAO</t>
  </si>
  <si>
    <t>ALIM</t>
  </si>
  <si>
    <t>ALIMENTICIA</t>
  </si>
  <si>
    <t>ALINHAMENTO</t>
  </si>
  <si>
    <t>ALIN</t>
  </si>
  <si>
    <t>ALIQUOTA</t>
  </si>
  <si>
    <t>ALIQ</t>
  </si>
  <si>
    <t>ALOCACAO</t>
  </si>
  <si>
    <t>ALOC</t>
  </si>
  <si>
    <t>ALOCADO</t>
  </si>
  <si>
    <t>ALONGADA</t>
  </si>
  <si>
    <t>ALONG</t>
  </si>
  <si>
    <t>ALONGAMENTO</t>
  </si>
  <si>
    <t>ALPHAVILLE</t>
  </si>
  <si>
    <t>ALPHA</t>
  </si>
  <si>
    <t>ALTERACAO</t>
  </si>
  <si>
    <t>ALT</t>
  </si>
  <si>
    <t>ALTERADA</t>
  </si>
  <si>
    <t>ALTERADO</t>
  </si>
  <si>
    <t>ALTERAR</t>
  </si>
  <si>
    <t>ALTERNATIVA</t>
  </si>
  <si>
    <t>ALTER</t>
  </si>
  <si>
    <t>ALTERNATIVO</t>
  </si>
  <si>
    <t>ALTURA</t>
  </si>
  <si>
    <t>ALUGUEL</t>
  </si>
  <si>
    <t>ALUG</t>
  </si>
  <si>
    <t>ALVEJAMENTO</t>
  </si>
  <si>
    <t>ALVEJ</t>
  </si>
  <si>
    <t>AMBIENTAL</t>
  </si>
  <si>
    <t>AMB</t>
  </si>
  <si>
    <t>AMBIENTE</t>
  </si>
  <si>
    <t>AMBULATORIAL</t>
  </si>
  <si>
    <t>AMBUL</t>
  </si>
  <si>
    <t>AMORTIZACAO</t>
  </si>
  <si>
    <t>AMOTZ</t>
  </si>
  <si>
    <t>AMORTIZADO</t>
  </si>
  <si>
    <t>AMORTIZAR</t>
  </si>
  <si>
    <t>AMOSTRA</t>
  </si>
  <si>
    <t>AMOST</t>
  </si>
  <si>
    <t>AMOSTRAGEM</t>
  </si>
  <si>
    <t>AMOSTRAL</t>
  </si>
  <si>
    <t>AMPLIACAO</t>
  </si>
  <si>
    <t>AMPL</t>
  </si>
  <si>
    <t>ANALISADA</t>
  </si>
  <si>
    <t>ANALIS</t>
  </si>
  <si>
    <t>ANALISTA</t>
  </si>
  <si>
    <t>ANL</t>
  </si>
  <si>
    <t>ANALITICO</t>
  </si>
  <si>
    <t>ANALIT</t>
  </si>
  <si>
    <t>ANDAMENTO</t>
  </si>
  <si>
    <t>ANDAM</t>
  </si>
  <si>
    <t>ANESTESISTA</t>
  </si>
  <si>
    <t>ANEST</t>
  </si>
  <si>
    <t>ANEXACAO</t>
  </si>
  <si>
    <t>ANEX</t>
  </si>
  <si>
    <t>ANGARIACAO</t>
  </si>
  <si>
    <t>ANG</t>
  </si>
  <si>
    <t>ANGARIADOR</t>
  </si>
  <si>
    <t>ANIVERSARIO</t>
  </si>
  <si>
    <t>ANIV</t>
  </si>
  <si>
    <t>ANTECEDE</t>
  </si>
  <si>
    <t>ANT</t>
  </si>
  <si>
    <t>ANTECEDENCIA</t>
  </si>
  <si>
    <t>ANTECESSOR</t>
  </si>
  <si>
    <t>ANTCS</t>
  </si>
  <si>
    <t>ANTECESSORA</t>
  </si>
  <si>
    <t>ANTECIPACAO</t>
  </si>
  <si>
    <t>ANTECIP</t>
  </si>
  <si>
    <t>ANTECIPADA</t>
  </si>
  <si>
    <t>ANTECIPADO</t>
  </si>
  <si>
    <t>ANTECIPAVEL</t>
  </si>
  <si>
    <t>ANTERIOR</t>
  </si>
  <si>
    <t>ANTES</t>
  </si>
  <si>
    <t>ANT </t>
  </si>
  <si>
    <t>ANTIGA</t>
  </si>
  <si>
    <t>ANTIGO</t>
  </si>
  <si>
    <t>ANUENCIA</t>
  </si>
  <si>
    <t>ANU</t>
  </si>
  <si>
    <t>ANUIDADE</t>
  </si>
  <si>
    <t>ANUID</t>
  </si>
  <si>
    <t>ANULACAO</t>
  </si>
  <si>
    <t>ANUL</t>
  </si>
  <si>
    <t>ANULADO</t>
  </si>
  <si>
    <t>APARENCIA</t>
  </si>
  <si>
    <t>APAR</t>
  </si>
  <si>
    <t>APARTAMENTO</t>
  </si>
  <si>
    <t>APTO</t>
  </si>
  <si>
    <t>APELIDO</t>
  </si>
  <si>
    <t>APE</t>
  </si>
  <si>
    <t>APLICACAO</t>
  </si>
  <si>
    <t>APLIC</t>
  </si>
  <si>
    <t>APLICADA</t>
  </si>
  <si>
    <t>APLICADO</t>
  </si>
  <si>
    <t>APLICADOR</t>
  </si>
  <si>
    <t>APLICATIVO</t>
  </si>
  <si>
    <t>APLICAT</t>
  </si>
  <si>
    <t>APLICAVEL</t>
  </si>
  <si>
    <t>APOLICE</t>
  </si>
  <si>
    <t>APO</t>
  </si>
  <si>
    <t>APONTADA</t>
  </si>
  <si>
    <t>APONT</t>
  </si>
  <si>
    <t>APONTADO</t>
  </si>
  <si>
    <t>APONTAMENTO</t>
  </si>
  <si>
    <t>APOSENTADO</t>
  </si>
  <si>
    <t>APOSENT</t>
  </si>
  <si>
    <t>APOSENTADORIA</t>
  </si>
  <si>
    <t>APREENDIDO</t>
  </si>
  <si>
    <t>APRE</t>
  </si>
  <si>
    <t>APREENSAO</t>
  </si>
  <si>
    <t>APRENDIZ</t>
  </si>
  <si>
    <t>APREND</t>
  </si>
  <si>
    <t>APRENDIZADO</t>
  </si>
  <si>
    <t>APRESENTACAO</t>
  </si>
  <si>
    <t>APRES</t>
  </si>
  <si>
    <t>APRESENTADA</t>
  </si>
  <si>
    <t>APRESENTADO</t>
  </si>
  <si>
    <t>APRESENTANTE</t>
  </si>
  <si>
    <t>APROPRIACAO</t>
  </si>
  <si>
    <t>APROP</t>
  </si>
  <si>
    <t>APROPRIADA</t>
  </si>
  <si>
    <t>APROPRIAR</t>
  </si>
  <si>
    <t>APROVACAO</t>
  </si>
  <si>
    <t>APROV</t>
  </si>
  <si>
    <t>APROVADA</t>
  </si>
  <si>
    <t>APROVADO</t>
  </si>
  <si>
    <t>APROVEITAMENTO</t>
  </si>
  <si>
    <t>APROVEIT</t>
  </si>
  <si>
    <t>APURACAO</t>
  </si>
  <si>
    <t>APUR</t>
  </si>
  <si>
    <t>APURADO</t>
  </si>
  <si>
    <t>AQUISICAO</t>
  </si>
  <si>
    <t>AQUIS</t>
  </si>
  <si>
    <t>AQUISITIVO</t>
  </si>
  <si>
    <t>ARBITRADO</t>
  </si>
  <si>
    <t>ARB</t>
  </si>
  <si>
    <t>ARBITRIO</t>
  </si>
  <si>
    <t>ARGUMENTO</t>
  </si>
  <si>
    <t>ARG</t>
  </si>
  <si>
    <t>ARITMETICA</t>
  </si>
  <si>
    <t>ARITM</t>
  </si>
  <si>
    <t>ARITMETICO</t>
  </si>
  <si>
    <t>ARMAZEM</t>
  </si>
  <si>
    <t>ARMAZ</t>
  </si>
  <si>
    <t>ARMAZENADA</t>
  </si>
  <si>
    <t>ARMAZENAGEM</t>
  </si>
  <si>
    <t>ARMAZENAMENTO</t>
  </si>
  <si>
    <t>AROMATIZANTE</t>
  </si>
  <si>
    <t>AROMAT</t>
  </si>
  <si>
    <t>ARQUITETURA</t>
  </si>
  <si>
    <t>ARQUIT</t>
  </si>
  <si>
    <t>ARQUIVADO</t>
  </si>
  <si>
    <t>ARQ</t>
  </si>
  <si>
    <t>ARQUIVAMENTO</t>
  </si>
  <si>
    <t>ARQUIVO</t>
  </si>
  <si>
    <t>ARRASTO</t>
  </si>
  <si>
    <t>ARR</t>
  </si>
  <si>
    <t>ARRECADACAO</t>
  </si>
  <si>
    <t>ARRECAD</t>
  </si>
  <si>
    <t>ARRECADADO</t>
  </si>
  <si>
    <t>ARRECADADOR</t>
  </si>
  <si>
    <t>ARREDONDA</t>
  </si>
  <si>
    <t>ARRED</t>
  </si>
  <si>
    <t>ARREMATACAO</t>
  </si>
  <si>
    <t>ARREM</t>
  </si>
  <si>
    <t>ARREMATADO</t>
  </si>
  <si>
    <t>ARREMATANTE</t>
  </si>
  <si>
    <t>ARRENDADA</t>
  </si>
  <si>
    <t>ARREN</t>
  </si>
  <si>
    <t>ARRENDADOR</t>
  </si>
  <si>
    <t>ARRENDAMENTO</t>
  </si>
  <si>
    <t>ARRENDATARIA</t>
  </si>
  <si>
    <t>ARTIFICIAL</t>
  </si>
  <si>
    <t>ARTIF</t>
  </si>
  <si>
    <t>ASPECTO</t>
  </si>
  <si>
    <t>ASPEC</t>
  </si>
  <si>
    <t>ASSALTO</t>
  </si>
  <si>
    <t>ASSA</t>
  </si>
  <si>
    <t>ASSEMBLEIA</t>
  </si>
  <si>
    <t>ASSEMB</t>
  </si>
  <si>
    <t>ASSERTIVA</t>
  </si>
  <si>
    <t>ASSE</t>
  </si>
  <si>
    <t>ASSESSORIA</t>
  </si>
  <si>
    <t>ASSES</t>
  </si>
  <si>
    <t>ASSINADO</t>
  </si>
  <si>
    <t>ASS</t>
  </si>
  <si>
    <t>ASSINANTE</t>
  </si>
  <si>
    <t>ASSINATURA</t>
  </si>
  <si>
    <t>ASSINCRONA</t>
  </si>
  <si>
    <t>ASSINC</t>
  </si>
  <si>
    <t>ASSISTENCIA</t>
  </si>
  <si>
    <t>ASSIST</t>
  </si>
  <si>
    <t>ASSISTENTE</t>
  </si>
  <si>
    <t>ASSOCIACAO</t>
  </si>
  <si>
    <t>ASSOC</t>
  </si>
  <si>
    <t>ASSOCIADA</t>
  </si>
  <si>
    <t>ASSOCIADO</t>
  </si>
  <si>
    <t>ASSUNTO</t>
  </si>
  <si>
    <t>ASSU</t>
  </si>
  <si>
    <t>ATACADO</t>
  </si>
  <si>
    <t>ATAC</t>
  </si>
  <si>
    <t>ATENDENTE</t>
  </si>
  <si>
    <t>ATEND</t>
  </si>
  <si>
    <t>ATENDIDA</t>
  </si>
  <si>
    <t>ATENDIDO</t>
  </si>
  <si>
    <t>ATENDIMENTO</t>
  </si>
  <si>
    <t>ATINGIDA</t>
  </si>
  <si>
    <t>ATING</t>
  </si>
  <si>
    <t>ATINGIDO</t>
  </si>
  <si>
    <t>ATIVACAO</t>
  </si>
  <si>
    <t>ATIVA</t>
  </si>
  <si>
    <t>ATIVIDADE</t>
  </si>
  <si>
    <t>ATIV</t>
  </si>
  <si>
    <t>ATLANTICA</t>
  </si>
  <si>
    <t>ATLA</t>
  </si>
  <si>
    <t>ATRASADA</t>
  </si>
  <si>
    <t>ATRAS</t>
  </si>
  <si>
    <t>ATRASADO</t>
  </si>
  <si>
    <t>ATRASO</t>
  </si>
  <si>
    <t>ATRIBUICAO</t>
  </si>
  <si>
    <t>ATRIB</t>
  </si>
  <si>
    <t>ATRIBUIDO</t>
  </si>
  <si>
    <t>ATRIBUTO</t>
  </si>
  <si>
    <t>ATUAL</t>
  </si>
  <si>
    <t>ATUA</t>
  </si>
  <si>
    <t>ATUALIZACAO</t>
  </si>
  <si>
    <t>ATUALIZADO</t>
  </si>
  <si>
    <t>ATUARIAL</t>
  </si>
  <si>
    <t>ATUAR</t>
  </si>
  <si>
    <t>AUDIENCIA</t>
  </si>
  <si>
    <t>AUDIE</t>
  </si>
  <si>
    <t>AUDITAGEM</t>
  </si>
  <si>
    <t>AUDIT</t>
  </si>
  <si>
    <t>AUDITAVEL</t>
  </si>
  <si>
    <t>AUDITOR</t>
  </si>
  <si>
    <t>AUDITORIA</t>
  </si>
  <si>
    <t>AUMENTO</t>
  </si>
  <si>
    <t>AUM</t>
  </si>
  <si>
    <t>AUSENCIA</t>
  </si>
  <si>
    <t>AUSEN</t>
  </si>
  <si>
    <t>AUTENTICACAO</t>
  </si>
  <si>
    <t>AUTENT</t>
  </si>
  <si>
    <t>AUTOMACAO</t>
  </si>
  <si>
    <t>AUTOM</t>
  </si>
  <si>
    <t>AUTOMATICA</t>
  </si>
  <si>
    <t>AUTOMATICO</t>
  </si>
  <si>
    <t>AUTOMOVEL</t>
  </si>
  <si>
    <t>AUTO</t>
  </si>
  <si>
    <t>AUTORIDADE</t>
  </si>
  <si>
    <t>AUTOR</t>
  </si>
  <si>
    <t>AUTORIZACAO</t>
  </si>
  <si>
    <t>AUTZ</t>
  </si>
  <si>
    <t>AUTORIZADA</t>
  </si>
  <si>
    <t>AUTORIZADO</t>
  </si>
  <si>
    <t>AUTORIZADOR</t>
  </si>
  <si>
    <t>AUTORIZADORA</t>
  </si>
  <si>
    <t>AUTORIZANTE</t>
  </si>
  <si>
    <t>AUTUACAO</t>
  </si>
  <si>
    <t>AUTUA</t>
  </si>
  <si>
    <t>AUXILIAR</t>
  </si>
  <si>
    <t>AUX</t>
  </si>
  <si>
    <t>AUXILIO</t>
  </si>
  <si>
    <t>AVALIACAO</t>
  </si>
  <si>
    <t>AVAL</t>
  </si>
  <si>
    <t>AVALIADA</t>
  </si>
  <si>
    <t>AVALIADO</t>
  </si>
  <si>
    <t>AVALIADOR</t>
  </si>
  <si>
    <t>AVALIADORA</t>
  </si>
  <si>
    <t>AVALISTA</t>
  </si>
  <si>
    <t>AVARIA</t>
  </si>
  <si>
    <t>AVAR</t>
  </si>
  <si>
    <t>AVARIADO</t>
  </si>
  <si>
    <t>AVENIDA</t>
  </si>
  <si>
    <t>AV</t>
  </si>
  <si>
    <t>AVERBACAO</t>
  </si>
  <si>
    <t>AVERB</t>
  </si>
  <si>
    <t>AVERBADA</t>
  </si>
  <si>
    <t>AVERBADO</t>
  </si>
  <si>
    <t>AVISADO</t>
  </si>
  <si>
    <t>AVI</t>
  </si>
  <si>
    <t>AVISO</t>
  </si>
  <si>
    <t>AVULSA</t>
  </si>
  <si>
    <t>AVU</t>
  </si>
  <si>
    <t>AVULSO</t>
  </si>
  <si>
    <t>BACKUP</t>
  </si>
  <si>
    <t>BKP </t>
  </si>
  <si>
    <t>BAIXADA</t>
  </si>
  <si>
    <t>BAIXA</t>
  </si>
  <si>
    <t>BAIXADO</t>
  </si>
  <si>
    <t>BALANCA</t>
  </si>
  <si>
    <t>BAL</t>
  </si>
  <si>
    <t>BALANCO</t>
  </si>
  <si>
    <t>BANCARIA</t>
  </si>
  <si>
    <t>BANC</t>
  </si>
  <si>
    <t>BANCARIO</t>
  </si>
  <si>
    <t>BANCO</t>
  </si>
  <si>
    <t>BCO</t>
  </si>
  <si>
    <t>BANCO CENTRAL</t>
  </si>
  <si>
    <t>BACEN</t>
  </si>
  <si>
    <t>BC</t>
  </si>
  <si>
    <t>BANCO DE DADOS</t>
  </si>
  <si>
    <t>BD</t>
  </si>
  <si>
    <t>BANCO DO BRASIL</t>
  </si>
  <si>
    <t>BB</t>
  </si>
  <si>
    <t>BANDEIRA</t>
  </si>
  <si>
    <t>BAND</t>
  </si>
  <si>
    <t>BANHEIRO</t>
  </si>
  <si>
    <t>BANH</t>
  </si>
  <si>
    <t>BANQUEIRO</t>
  </si>
  <si>
    <t>BANQ</t>
  </si>
  <si>
    <t>BASELINE</t>
  </si>
  <si>
    <t>BSLINE</t>
  </si>
  <si>
    <t>BASICA</t>
  </si>
  <si>
    <t>BAS</t>
  </si>
  <si>
    <t>BASICO</t>
  </si>
  <si>
    <t>BATIMENTO</t>
  </si>
  <si>
    <t>BATIM</t>
  </si>
  <si>
    <t>BEBIDA</t>
  </si>
  <si>
    <t>BEB</t>
  </si>
  <si>
    <t>BENEFICIADO</t>
  </si>
  <si>
    <t>BENEF</t>
  </si>
  <si>
    <t>BENEFICIARIA</t>
  </si>
  <si>
    <t>BENEFICIARIO</t>
  </si>
  <si>
    <t>BENEFICIO</t>
  </si>
  <si>
    <t>BENFEITOR</t>
  </si>
  <si>
    <t>BENF</t>
  </si>
  <si>
    <t>BENFEITORIA</t>
  </si>
  <si>
    <t>BIBLIOGRAFIA</t>
  </si>
  <si>
    <t>BIBL</t>
  </si>
  <si>
    <t>BIBLIOTECA</t>
  </si>
  <si>
    <t>BILHETE</t>
  </si>
  <si>
    <t>BILH</t>
  </si>
  <si>
    <t>BIMESTRAL</t>
  </si>
  <si>
    <t>BIM</t>
  </si>
  <si>
    <t>BIOMETRICA</t>
  </si>
  <si>
    <t>BIOM</t>
  </si>
  <si>
    <t>BLINDAGEM</t>
  </si>
  <si>
    <t>BLIND</t>
  </si>
  <si>
    <t>BLOCADO</t>
  </si>
  <si>
    <t>BLOC</t>
  </si>
  <si>
    <t>BLOQUEADA</t>
  </si>
  <si>
    <t>BLOQ</t>
  </si>
  <si>
    <t>BLOQUEADO</t>
  </si>
  <si>
    <t>BLOQUEIO</t>
  </si>
  <si>
    <t>BOLETIM</t>
  </si>
  <si>
    <t>BOLET</t>
  </si>
  <si>
    <t>BOLETO</t>
  </si>
  <si>
    <t>BOL</t>
  </si>
  <si>
    <t>BONIFICACAO</t>
  </si>
  <si>
    <t>BONIF</t>
  </si>
  <si>
    <t>BRASILEIRA</t>
  </si>
  <si>
    <t>BRAS</t>
  </si>
  <si>
    <t>BRASILEIRO</t>
  </si>
  <si>
    <t>BRUTA</t>
  </si>
  <si>
    <t>BRUTO</t>
  </si>
  <si>
    <t>CABECALHO</t>
  </si>
  <si>
    <t>CABEC</t>
  </si>
  <si>
    <t>CADASTRADA</t>
  </si>
  <si>
    <t>CAD</t>
  </si>
  <si>
    <t>CADASTRADO</t>
  </si>
  <si>
    <t>CADASTRAL</t>
  </si>
  <si>
    <t>CADASTRAMENTO</t>
  </si>
  <si>
    <t>CADASTRO</t>
  </si>
  <si>
    <t>CAIXA</t>
  </si>
  <si>
    <t>CX</t>
  </si>
  <si>
    <t>CALCULADA</t>
  </si>
  <si>
    <t>CALC</t>
  </si>
  <si>
    <t>CALCULADO</t>
  </si>
  <si>
    <t>CALCULAR</t>
  </si>
  <si>
    <t>CALCULO</t>
  </si>
  <si>
    <t>CALENDARIO</t>
  </si>
  <si>
    <t>CALEND </t>
  </si>
  <si>
    <t>CALIBRE</t>
  </si>
  <si>
    <t>CALI</t>
  </si>
  <si>
    <t>CAMINHAO</t>
  </si>
  <si>
    <t>CAMIN</t>
  </si>
  <si>
    <t>CAMINHO</t>
  </si>
  <si>
    <t>CAM</t>
  </si>
  <si>
    <t>CAMPANHA</t>
  </si>
  <si>
    <t>CAMP</t>
  </si>
  <si>
    <t>CAMPEONATO</t>
  </si>
  <si>
    <t>CAMPE</t>
  </si>
  <si>
    <t>CANALIZACAO</t>
  </si>
  <si>
    <t>CANAL</t>
  </si>
  <si>
    <t>CANALIZADA</t>
  </si>
  <si>
    <t>CANCELA</t>
  </si>
  <si>
    <t>CANC </t>
  </si>
  <si>
    <t>CANCELADA</t>
  </si>
  <si>
    <t>CANCELADO</t>
  </si>
  <si>
    <t>CANCELAMENTO</t>
  </si>
  <si>
    <t>CANDIDATO</t>
  </si>
  <si>
    <t>CAND</t>
  </si>
  <si>
    <t>CAPACIDADE</t>
  </si>
  <si>
    <t>CAPAC</t>
  </si>
  <si>
    <t>CAPACITACAO</t>
  </si>
  <si>
    <t>CAPITAL</t>
  </si>
  <si>
    <t>CAPIT</t>
  </si>
  <si>
    <t>CAPITALIZACAO</t>
  </si>
  <si>
    <t>CAPITALIZADO</t>
  </si>
  <si>
    <t>CAPITULO</t>
  </si>
  <si>
    <t>CAP</t>
  </si>
  <si>
    <t>CAPTACAO</t>
  </si>
  <si>
    <t>CAPT</t>
  </si>
  <si>
    <t>CAPTURA</t>
  </si>
  <si>
    <t>CAPTURADO</t>
  </si>
  <si>
    <t>CARACTER</t>
  </si>
  <si>
    <t>CARAC</t>
  </si>
  <si>
    <t>CARACTERISTICA</t>
  </si>
  <si>
    <t>CARACT</t>
  </si>
  <si>
    <t>CARACTERIZACAO</t>
  </si>
  <si>
    <t>CARDAPIO</t>
  </si>
  <si>
    <t>CARDAP</t>
  </si>
  <si>
    <t>CARENCIA</t>
  </si>
  <si>
    <t>CAREN</t>
  </si>
  <si>
    <t>CARREGADO</t>
  </si>
  <si>
    <t>CARREG</t>
  </si>
  <si>
    <t>CARREGAMENTO</t>
  </si>
  <si>
    <t>CARREIRA</t>
  </si>
  <si>
    <t>CARR</t>
  </si>
  <si>
    <t>CARRETA</t>
  </si>
  <si>
    <t>CARRT</t>
  </si>
  <si>
    <t>CARRETEIRO</t>
  </si>
  <si>
    <t>CARROCERIA</t>
  </si>
  <si>
    <t>CARROC</t>
  </si>
  <si>
    <t>CARTEIRA</t>
  </si>
  <si>
    <t>CART</t>
  </si>
  <si>
    <t>CARTORIO</t>
  </si>
  <si>
    <t>CARTO</t>
  </si>
  <si>
    <t>CARTUCHO</t>
  </si>
  <si>
    <t>CARTU</t>
  </si>
  <si>
    <t>CASAMENTO</t>
  </si>
  <si>
    <t>CASAM</t>
  </si>
  <si>
    <t>CASSACAO</t>
  </si>
  <si>
    <t>CASSA</t>
  </si>
  <si>
    <t>CATALOGO</t>
  </si>
  <si>
    <t>CATAL</t>
  </si>
  <si>
    <t>CATEGORIA</t>
  </si>
  <si>
    <t>CATEG</t>
  </si>
  <si>
    <t>CAUCAO</t>
  </si>
  <si>
    <t>CAU</t>
  </si>
  <si>
    <t>CAUCIONADO</t>
  </si>
  <si>
    <t>CD</t>
  </si>
  <si>
    <t>Centro ou Central de Distribuição</t>
  </si>
  <si>
    <t>CEDULA</t>
  </si>
  <si>
    <t>CED</t>
  </si>
  <si>
    <t>CELEBRACAO</t>
  </si>
  <si>
    <t>CELEB</t>
  </si>
  <si>
    <t>CELULA</t>
  </si>
  <si>
    <t>CEL</t>
  </si>
  <si>
    <t>CELULAR</t>
  </si>
  <si>
    <t>CENARIO</t>
  </si>
  <si>
    <t>CENA</t>
  </si>
  <si>
    <t>CENTENA</t>
  </si>
  <si>
    <t>CENT</t>
  </si>
  <si>
    <t>CENTESIMO</t>
  </si>
  <si>
    <t>CENTS</t>
  </si>
  <si>
    <t>CENTÍMETRO</t>
  </si>
  <si>
    <t>CM</t>
  </si>
  <si>
    <t>CENTRAL</t>
  </si>
  <si>
    <t>CENTR</t>
  </si>
  <si>
    <t>CENTRALIZACAO</t>
  </si>
  <si>
    <t>CENTRALIZADOR</t>
  </si>
  <si>
    <t>CENTRALIZADORA</t>
  </si>
  <si>
    <t>CENTRO</t>
  </si>
  <si>
    <t>CENTRO DE CUSTO</t>
  </si>
  <si>
    <t>CCUSTO</t>
  </si>
  <si>
    <t>CENTRO DE DISTRIBUICAO</t>
  </si>
  <si>
    <t>CERTIDAO</t>
  </si>
  <si>
    <t>CERT</t>
  </si>
  <si>
    <t>CERTIFICACAO</t>
  </si>
  <si>
    <t>CERTIF</t>
  </si>
  <si>
    <t>CERTIFICADO</t>
  </si>
  <si>
    <t>CERTIFICADOR</t>
  </si>
  <si>
    <t>CERTIFICADORA</t>
  </si>
  <si>
    <t>CESSACAO</t>
  </si>
  <si>
    <t>CESSA</t>
  </si>
  <si>
    <t>CESSANTE</t>
  </si>
  <si>
    <t>CESSIONARIO</t>
  </si>
  <si>
    <t>CESS</t>
  </si>
  <si>
    <t>CEST</t>
  </si>
  <si>
    <t>Código Especificador da Substituição Tributária</t>
  </si>
  <si>
    <t>CFOP</t>
  </si>
  <si>
    <t>Código Fiscal de Operações e de Prestações das Entradas de Mercadorias e Bens e da Aquisição de Serviços</t>
  </si>
  <si>
    <t>CHAMADA</t>
  </si>
  <si>
    <t>CHAM</t>
  </si>
  <si>
    <t>CHAMADO</t>
  </si>
  <si>
    <t>CHECKPOINT</t>
  </si>
  <si>
    <t>CHKP</t>
  </si>
  <si>
    <t>CHEGADA</t>
  </si>
  <si>
    <t>CHEG</t>
  </si>
  <si>
    <t>CHEQUE</t>
  </si>
  <si>
    <t>CHEQ</t>
  </si>
  <si>
    <t>CIDADE</t>
  </si>
  <si>
    <t>CID</t>
  </si>
  <si>
    <t>CIDE</t>
  </si>
  <si>
    <t>Contribuições de Intervenção no Domínio Econômico</t>
  </si>
  <si>
    <t>CIENCIA</t>
  </si>
  <si>
    <t>CIE</t>
  </si>
  <si>
    <t>CIF</t>
  </si>
  <si>
    <t>Cost, Insurance and Freight (Fornecedor paga o frete)</t>
  </si>
  <si>
    <t>CINEMA</t>
  </si>
  <si>
    <t>CINE</t>
  </si>
  <si>
    <t>CIRCULACAO</t>
  </si>
  <si>
    <t>CIRCUL</t>
  </si>
  <si>
    <t>CIRCULAR</t>
  </si>
  <si>
    <t>CIRCUNSCRICAO</t>
  </si>
  <si>
    <t>CIRC</t>
  </si>
  <si>
    <t>CIRURGIA</t>
  </si>
  <si>
    <t>CIRUR</t>
  </si>
  <si>
    <t>CIRURGIAO</t>
  </si>
  <si>
    <t>CIRURGICA</t>
  </si>
  <si>
    <t>CLASSE</t>
  </si>
  <si>
    <t>CLAS</t>
  </si>
  <si>
    <t>CLASSIFICA</t>
  </si>
  <si>
    <t>CLASSIFICACAO</t>
  </si>
  <si>
    <t>CLASSIFICADO</t>
  </si>
  <si>
    <t>CLAUSULA</t>
  </si>
  <si>
    <t>CLAU</t>
  </si>
  <si>
    <t>CLIENTE</t>
  </si>
  <si>
    <t>CLI</t>
  </si>
  <si>
    <t>CLIENTELA</t>
  </si>
  <si>
    <t>CLINICA</t>
  </si>
  <si>
    <t>CLIN</t>
  </si>
  <si>
    <t>CNAE</t>
  </si>
  <si>
    <t>Classificação Nacional de Atividades Econômicas</t>
  </si>
  <si>
    <t>COBERTURA</t>
  </si>
  <si>
    <t>COBER</t>
  </si>
  <si>
    <t>COBRADA</t>
  </si>
  <si>
    <t>COBR</t>
  </si>
  <si>
    <t>COBRADO</t>
  </si>
  <si>
    <t>COBRADOR</t>
  </si>
  <si>
    <t>COBRADORA</t>
  </si>
  <si>
    <t>COBRANCA</t>
  </si>
  <si>
    <t>COBRAVEL</t>
  </si>
  <si>
    <t>CODIFICACAO</t>
  </si>
  <si>
    <t>CODIF</t>
  </si>
  <si>
    <t>CODIGO</t>
  </si>
  <si>
    <t>COD</t>
  </si>
  <si>
    <t>COEFICIENTE</t>
  </si>
  <si>
    <t>COEF</t>
  </si>
  <si>
    <t>COFINS</t>
  </si>
  <si>
    <t>Contribuição para Financiamento da Seguridade Social</t>
  </si>
  <si>
    <t>COLABORADOR</t>
  </si>
  <si>
    <t>COLAB</t>
  </si>
  <si>
    <t>COLABORADORA</t>
  </si>
  <si>
    <t>COLETA</t>
  </si>
  <si>
    <t xml:space="preserve">COLE </t>
  </si>
  <si>
    <t>COLETIVA</t>
  </si>
  <si>
    <t>COLET</t>
  </si>
  <si>
    <t>COLETIVO</t>
  </si>
  <si>
    <t>COLHEITA</t>
  </si>
  <si>
    <t>COLHE</t>
  </si>
  <si>
    <t>COLHEITADEIRA</t>
  </si>
  <si>
    <t>COLIGADA</t>
  </si>
  <si>
    <t>COLIG</t>
  </si>
  <si>
    <t>COLISAO</t>
  </si>
  <si>
    <t>COLIS</t>
  </si>
  <si>
    <t>COLOCACAO</t>
  </si>
  <si>
    <t>COLOC</t>
  </si>
  <si>
    <t>COMANDADO</t>
  </si>
  <si>
    <t>COMAND</t>
  </si>
  <si>
    <t>COMANDANTE</t>
  </si>
  <si>
    <t>COMARCA</t>
  </si>
  <si>
    <t>COMAR</t>
  </si>
  <si>
    <t>COMBINACAO</t>
  </si>
  <si>
    <t>COMB</t>
  </si>
  <si>
    <t>COMBINADA</t>
  </si>
  <si>
    <t>COMBO</t>
  </si>
  <si>
    <t>COMBUSTIVEL</t>
  </si>
  <si>
    <t>COMBUST</t>
  </si>
  <si>
    <t>COMENTARIO</t>
  </si>
  <si>
    <t>COMENT</t>
  </si>
  <si>
    <t>COMERCIAL</t>
  </si>
  <si>
    <t>COML</t>
  </si>
  <si>
    <t>COMERCIALIZACAO</t>
  </si>
  <si>
    <t>COMERCIALIZADA</t>
  </si>
  <si>
    <t>COMERCIALIZADO</t>
  </si>
  <si>
    <t>COMERCIO</t>
  </si>
  <si>
    <t>COMERC</t>
  </si>
  <si>
    <t>COMISSAO</t>
  </si>
  <si>
    <t>COMIS</t>
  </si>
  <si>
    <t>COMISSARIO</t>
  </si>
  <si>
    <t>COMISSIONADO</t>
  </si>
  <si>
    <t>COMISSIONAMENTO</t>
  </si>
  <si>
    <t>COMPACTADO</t>
  </si>
  <si>
    <t>COMPAC</t>
  </si>
  <si>
    <t>COMPANHEIRO</t>
  </si>
  <si>
    <t>COMPAN</t>
  </si>
  <si>
    <t>COMPANHIA</t>
  </si>
  <si>
    <t>CIA</t>
  </si>
  <si>
    <t>COMPARACAO</t>
  </si>
  <si>
    <t>COMPAR</t>
  </si>
  <si>
    <t>COMPARTILHADO</t>
  </si>
  <si>
    <t>COMPART</t>
  </si>
  <si>
    <t>COMPATIBILIDADE</t>
  </si>
  <si>
    <t>COMPAT</t>
  </si>
  <si>
    <t>COMPENSACAO</t>
  </si>
  <si>
    <t>COMPENS</t>
  </si>
  <si>
    <t>COMPENSADO</t>
  </si>
  <si>
    <t>COMPENSAR</t>
  </si>
  <si>
    <t>COMPETENCIA</t>
  </si>
  <si>
    <t>COMPT</t>
  </si>
  <si>
    <t>COMPETITIVIDADE</t>
  </si>
  <si>
    <t>COMPET</t>
  </si>
  <si>
    <t>COMPILACAO</t>
  </si>
  <si>
    <t>COMPIL</t>
  </si>
  <si>
    <t>COMPLEMENTACAO</t>
  </si>
  <si>
    <t>COMPL</t>
  </si>
  <si>
    <t>COMPLEMENTAR</t>
  </si>
  <si>
    <t>COMPLEMENTO</t>
  </si>
  <si>
    <t>COMPLETA</t>
  </si>
  <si>
    <t>COMPLETO</t>
  </si>
  <si>
    <t>COMPLEXIDADE</t>
  </si>
  <si>
    <t>COMPLEX</t>
  </si>
  <si>
    <t>COMPONENTE</t>
  </si>
  <si>
    <t>COMPO</t>
  </si>
  <si>
    <t>COMPORTAMENTO</t>
  </si>
  <si>
    <t>COMPORT</t>
  </si>
  <si>
    <t>COMPOSICAO</t>
  </si>
  <si>
    <t>COMPOS</t>
  </si>
  <si>
    <t>COMPRA</t>
  </si>
  <si>
    <t>COMP</t>
  </si>
  <si>
    <t>COMPRADOR</t>
  </si>
  <si>
    <t>COMPRIMENTO</t>
  </si>
  <si>
    <t>COMPR</t>
  </si>
  <si>
    <t>COMPRIMIDO</t>
  </si>
  <si>
    <t>COMPD</t>
  </si>
  <si>
    <t>COMPROMETIDO</t>
  </si>
  <si>
    <t>COMPM</t>
  </si>
  <si>
    <t>COMPROMETIMENTO</t>
  </si>
  <si>
    <t>COMPROMISSO</t>
  </si>
  <si>
    <t>COMPROVACAO</t>
  </si>
  <si>
    <t>COMPV</t>
  </si>
  <si>
    <t>COMPROVADA</t>
  </si>
  <si>
    <t>COMPROVADO</t>
  </si>
  <si>
    <t>COMPROVANTE</t>
  </si>
  <si>
    <t>COMPULSORIO</t>
  </si>
  <si>
    <t>COMPULS</t>
  </si>
  <si>
    <t>COMPUTACIONAL</t>
  </si>
  <si>
    <t>COMPUT</t>
  </si>
  <si>
    <t>COMPUTADOR</t>
  </si>
  <si>
    <t>COMUNICACAO</t>
  </si>
  <si>
    <t>COMUNIC</t>
  </si>
  <si>
    <t>COMUNICADO</t>
  </si>
  <si>
    <t>CONCEDE</t>
  </si>
  <si>
    <t>CONCD</t>
  </si>
  <si>
    <t>CONCEDER</t>
  </si>
  <si>
    <t>CONCEDIDO</t>
  </si>
  <si>
    <t>CONCEITO</t>
  </si>
  <si>
    <t>CONCT</t>
  </si>
  <si>
    <t>CONCEITUAL</t>
  </si>
  <si>
    <t>CONCENTRACAO</t>
  </si>
  <si>
    <t>CONCTR</t>
  </si>
  <si>
    <t>CONCENTRADOR</t>
  </si>
  <si>
    <t>CONCESSAO</t>
  </si>
  <si>
    <t>CONCS</t>
  </si>
  <si>
    <t>CONCESSIONARIA</t>
  </si>
  <si>
    <t>CONCILIACAO</t>
  </si>
  <si>
    <t>CONCIL</t>
  </si>
  <si>
    <t>CONCILIADA</t>
  </si>
  <si>
    <t>CONCILIADO</t>
  </si>
  <si>
    <t>CONCLUIDA</t>
  </si>
  <si>
    <t>CONCL</t>
  </si>
  <si>
    <t>CONCLUIDO</t>
  </si>
  <si>
    <t>CONCLUSAO</t>
  </si>
  <si>
    <t>CONCORRENCIA</t>
  </si>
  <si>
    <t>CONC</t>
  </si>
  <si>
    <t>CONCORRENTE</t>
  </si>
  <si>
    <t>CONCRETIZACAO</t>
  </si>
  <si>
    <t>CONCRE</t>
  </si>
  <si>
    <t>CONDENSADO</t>
  </si>
  <si>
    <t>CONDENS</t>
  </si>
  <si>
    <t>CONDICAO</t>
  </si>
  <si>
    <t>COND</t>
  </si>
  <si>
    <t>CONDICIONADO</t>
  </si>
  <si>
    <t>CONDOMINIO</t>
  </si>
  <si>
    <t>CONDO</t>
  </si>
  <si>
    <t>CONDOMINO</t>
  </si>
  <si>
    <t>CONDUTOR</t>
  </si>
  <si>
    <t>CONDU</t>
  </si>
  <si>
    <t>CONECTADO</t>
  </si>
  <si>
    <t>CONECT</t>
  </si>
  <si>
    <t>CONECTAR</t>
  </si>
  <si>
    <t>CONFECCIONAR</t>
  </si>
  <si>
    <t>CONFEC</t>
  </si>
  <si>
    <t>CONFERENCIA</t>
  </si>
  <si>
    <t>CONFER</t>
  </si>
  <si>
    <t>CONFERIDA</t>
  </si>
  <si>
    <t>CONFIDENCIAL</t>
  </si>
  <si>
    <t>CONFID</t>
  </si>
  <si>
    <t>CONFIGURACAO</t>
  </si>
  <si>
    <t>CONFIG</t>
  </si>
  <si>
    <t>CONFIRMACAO</t>
  </si>
  <si>
    <t>CONFIRM</t>
  </si>
  <si>
    <t>CONFIRMADO</t>
  </si>
  <si>
    <t>CONFISSAO</t>
  </si>
  <si>
    <t>CONFIS</t>
  </si>
  <si>
    <t>CONFORMIDADE</t>
  </si>
  <si>
    <t>CONFORM</t>
  </si>
  <si>
    <t>CONFRONTACAO</t>
  </si>
  <si>
    <t>CONFR</t>
  </si>
  <si>
    <t>CONFRONTO</t>
  </si>
  <si>
    <t>CONGELAMENTO</t>
  </si>
  <si>
    <t>CONGEL</t>
  </si>
  <si>
    <t>CONGENERE</t>
  </si>
  <si>
    <t>CONG</t>
  </si>
  <si>
    <t>CONGLOMERADO</t>
  </si>
  <si>
    <t>CONGL</t>
  </si>
  <si>
    <t>CONHECIDO</t>
  </si>
  <si>
    <t>CONH</t>
  </si>
  <si>
    <t>CONHECIMENTO</t>
  </si>
  <si>
    <t>CONJUGADA</t>
  </si>
  <si>
    <t>CONJUG</t>
  </si>
  <si>
    <t>CONJUGE</t>
  </si>
  <si>
    <t>CONJUNTA</t>
  </si>
  <si>
    <t>CONJ</t>
  </si>
  <si>
    <t>CONJUNTO</t>
  </si>
  <si>
    <t>CONSECUTIVA</t>
  </si>
  <si>
    <t>CONSEC</t>
  </si>
  <si>
    <t>CONSECUTIVO</t>
  </si>
  <si>
    <t>CONSELHO</t>
  </si>
  <si>
    <t>CONSE</t>
  </si>
  <si>
    <t>CONSEQUENCIA</t>
  </si>
  <si>
    <t>CONSEQ</t>
  </si>
  <si>
    <t>CONSERVACAO</t>
  </si>
  <si>
    <t>CONSER</t>
  </si>
  <si>
    <t>CONSIGNACAO</t>
  </si>
  <si>
    <t>CONSIG</t>
  </si>
  <si>
    <t>CONSIGNATARIA</t>
  </si>
  <si>
    <t>CONSISTENCIA</t>
  </si>
  <si>
    <t>CONSIS</t>
  </si>
  <si>
    <t>CONSOLIDACAO</t>
  </si>
  <si>
    <t>CONSOL</t>
  </si>
  <si>
    <t>CONSOLIDADA</t>
  </si>
  <si>
    <t>CONSOLIDADO</t>
  </si>
  <si>
    <t>CONSTANTE</t>
  </si>
  <si>
    <t>CONST</t>
  </si>
  <si>
    <t>CONSTITUICAO</t>
  </si>
  <si>
    <t>CONSTIT</t>
  </si>
  <si>
    <t>CONSTRUCAO</t>
  </si>
  <si>
    <t>CONSTR</t>
  </si>
  <si>
    <t>CONSTRUIDA</t>
  </si>
  <si>
    <t>CONSULTA</t>
  </si>
  <si>
    <t>CONS</t>
  </si>
  <si>
    <t>CONSULTAR</t>
  </si>
  <si>
    <t>CONSULTAVEL</t>
  </si>
  <si>
    <t>CONSULTOR</t>
  </si>
  <si>
    <t>CONSULTORIA</t>
  </si>
  <si>
    <t>CONSULTORIO</t>
  </si>
  <si>
    <t>CONSUMIDOR</t>
  </si>
  <si>
    <t>CONSUM</t>
  </si>
  <si>
    <t>CONTA</t>
  </si>
  <si>
    <t>CTA</t>
  </si>
  <si>
    <t>CONTA CORRENTE</t>
  </si>
  <si>
    <t>CCO</t>
  </si>
  <si>
    <t>CONTABIL</t>
  </si>
  <si>
    <t>CONTAB</t>
  </si>
  <si>
    <t>CONTABILIDADE</t>
  </si>
  <si>
    <t>CONTABILIZACAO</t>
  </si>
  <si>
    <t>CONTABILIZADA</t>
  </si>
  <si>
    <t>CONTABILIZADO</t>
  </si>
  <si>
    <t>CONTABILIZAR</t>
  </si>
  <si>
    <t>CONTADOR</t>
  </si>
  <si>
    <t>CONTAD</t>
  </si>
  <si>
    <t>CONTADORIA</t>
  </si>
  <si>
    <t>CONTAGEM</t>
  </si>
  <si>
    <t>CONTAG</t>
  </si>
  <si>
    <t>CONTAINER</t>
  </si>
  <si>
    <t>CONTAIN</t>
  </si>
  <si>
    <t>CONTAS</t>
  </si>
  <si>
    <t>CONTATO</t>
  </si>
  <si>
    <t>CTT</t>
  </si>
  <si>
    <t>CONTEMPLACAO</t>
  </si>
  <si>
    <t>CONTEMP</t>
  </si>
  <si>
    <t>CONTEMPLADO</t>
  </si>
  <si>
    <t>CONTESTACAO</t>
  </si>
  <si>
    <t>CONTEST</t>
  </si>
  <si>
    <t>CONTESTADO</t>
  </si>
  <si>
    <t>CONTEUDO</t>
  </si>
  <si>
    <t>CONTD</t>
  </si>
  <si>
    <t>CONTEXTO</t>
  </si>
  <si>
    <t>CONTX</t>
  </si>
  <si>
    <t>CONTINENTE</t>
  </si>
  <si>
    <t>CONTIN</t>
  </si>
  <si>
    <t>CONTINGENCIA</t>
  </si>
  <si>
    <t>CONTING</t>
  </si>
  <si>
    <t>CONTORNAVEL</t>
  </si>
  <si>
    <t>CONTOR</t>
  </si>
  <si>
    <t>CONTRARIA</t>
  </si>
  <si>
    <t>CONTRR</t>
  </si>
  <si>
    <t>CONTRATACAO</t>
  </si>
  <si>
    <t>CONTR</t>
  </si>
  <si>
    <t>CONTRATADA</t>
  </si>
  <si>
    <t>CONTRATADO</t>
  </si>
  <si>
    <t>CONTRATANTE</t>
  </si>
  <si>
    <t>CONTRATO</t>
  </si>
  <si>
    <t>CONTRATUAL</t>
  </si>
  <si>
    <t>CONTRIBUICAO</t>
  </si>
  <si>
    <t>CONTRIB</t>
  </si>
  <si>
    <t>CONTRIBUINTE</t>
  </si>
  <si>
    <t>CONTRIBUTARIO</t>
  </si>
  <si>
    <t>CONTROLADA</t>
  </si>
  <si>
    <t>CONTROL</t>
  </si>
  <si>
    <t>CONTROLADO</t>
  </si>
  <si>
    <t>CONTROLADORA</t>
  </si>
  <si>
    <t>CONTROLADORIA</t>
  </si>
  <si>
    <t>CONTROLE</t>
  </si>
  <si>
    <t>CTRL</t>
  </si>
  <si>
    <t>CONTROLM</t>
  </si>
  <si>
    <t>CTRLM</t>
  </si>
  <si>
    <t>CONVENCIONAL</t>
  </si>
  <si>
    <t>CONVENC</t>
  </si>
  <si>
    <t>CONVENIADA</t>
  </si>
  <si>
    <t>CONVEN</t>
  </si>
  <si>
    <t>CONVENIADO</t>
  </si>
  <si>
    <t>CONVENIENCIA</t>
  </si>
  <si>
    <t>CONVENIO</t>
  </si>
  <si>
    <t>CONVERSÃO</t>
  </si>
  <si>
    <t>CONVE</t>
  </si>
  <si>
    <t>CONVERTE</t>
  </si>
  <si>
    <t>CONVERTIDO</t>
  </si>
  <si>
    <t>CONVITE</t>
  </si>
  <si>
    <t>CONV</t>
  </si>
  <si>
    <t>CONVIVENCIA</t>
  </si>
  <si>
    <t>CONVIV</t>
  </si>
  <si>
    <t>CONVOCACAO</t>
  </si>
  <si>
    <t>CONVOC</t>
  </si>
  <si>
    <t>CONVOCADA</t>
  </si>
  <si>
    <t>CONVOCADO</t>
  </si>
  <si>
    <t>COOPERADO</t>
  </si>
  <si>
    <t>COOP</t>
  </si>
  <si>
    <t>COOPERATIVA</t>
  </si>
  <si>
    <t>COORDENADA</t>
  </si>
  <si>
    <t>COORD</t>
  </si>
  <si>
    <t>COORDENADOR</t>
  </si>
  <si>
    <t>CORPORATE</t>
  </si>
  <si>
    <t>CORP</t>
  </si>
  <si>
    <t>CORPORATIVA</t>
  </si>
  <si>
    <t>CORPORATIVO</t>
  </si>
  <si>
    <t>CORRECAO</t>
  </si>
  <si>
    <t>CORREC</t>
  </si>
  <si>
    <t>CORRENTE</t>
  </si>
  <si>
    <t>CORR</t>
  </si>
  <si>
    <t>CORRENTISTA</t>
  </si>
  <si>
    <t>CORRESPONDENCIA</t>
  </si>
  <si>
    <t>CORRESP</t>
  </si>
  <si>
    <t>CORRESPONDENTE</t>
  </si>
  <si>
    <t>CORRETAGEM</t>
  </si>
  <si>
    <t>CORRET</t>
  </si>
  <si>
    <t>CORRETIVA</t>
  </si>
  <si>
    <t>CORRETIV</t>
  </si>
  <si>
    <t>CORRIDO</t>
  </si>
  <si>
    <t>CORRI</t>
  </si>
  <si>
    <t>CORRIGIDA</t>
  </si>
  <si>
    <t>CORRIG</t>
  </si>
  <si>
    <t>CORRIGIDO</t>
  </si>
  <si>
    <t>COTACAO</t>
  </si>
  <si>
    <t>COTA</t>
  </si>
  <si>
    <t>COTADO</t>
  </si>
  <si>
    <t>COTISTA</t>
  </si>
  <si>
    <t>CPRB</t>
  </si>
  <si>
    <t>Contribuição Previdenciária sob Receita Bruta</t>
  </si>
  <si>
    <t>CREDENCIADO</t>
  </si>
  <si>
    <t>CREDE</t>
  </si>
  <si>
    <t>CREDENCIAMENTO</t>
  </si>
  <si>
    <t>¨</t>
  </si>
  <si>
    <t>CREDITADO</t>
  </si>
  <si>
    <t>CRED</t>
  </si>
  <si>
    <t>CREDITAR</t>
  </si>
  <si>
    <t>CREDITO</t>
  </si>
  <si>
    <t>CREDITORIO</t>
  </si>
  <si>
    <t>CREDOR</t>
  </si>
  <si>
    <t>CRESCIMENTO</t>
  </si>
  <si>
    <t>CRESCIM</t>
  </si>
  <si>
    <t>CRIACAO</t>
  </si>
  <si>
    <t>CRIA</t>
  </si>
  <si>
    <t>CRIADA</t>
  </si>
  <si>
    <t>CRIADO</t>
  </si>
  <si>
    <t>CRIADOR</t>
  </si>
  <si>
    <t>CRIPTOGRAFADA</t>
  </si>
  <si>
    <t>CRIPT</t>
  </si>
  <si>
    <t>CRIPTOGRAFADO</t>
  </si>
  <si>
    <t>CRIPTOGRAFIA</t>
  </si>
  <si>
    <t>CRITERIO</t>
  </si>
  <si>
    <t>CRITER</t>
  </si>
  <si>
    <t>CRITICA</t>
  </si>
  <si>
    <t>CRIT</t>
  </si>
  <si>
    <t>CRITICIDADE</t>
  </si>
  <si>
    <t>CRONOGRAMA</t>
  </si>
  <si>
    <t>CRONOG</t>
  </si>
  <si>
    <t>CRONOLOGIA</t>
  </si>
  <si>
    <t>CRONO</t>
  </si>
  <si>
    <t>CRONOLOGICA</t>
  </si>
  <si>
    <t>CROSSDOCK</t>
  </si>
  <si>
    <t>Abreviatura de Cross-Docking, que significa que o produto não tem estoque</t>
  </si>
  <si>
    <t>CRUZADA</t>
  </si>
  <si>
    <t>CRUZ</t>
  </si>
  <si>
    <t>CRUZADO</t>
  </si>
  <si>
    <t>CRUZAMENTO</t>
  </si>
  <si>
    <t>CSLL</t>
  </si>
  <si>
    <t>Contribuição Social sobre o Lucro Líquido</t>
  </si>
  <si>
    <t>CTE</t>
  </si>
  <si>
    <t>Conhecimento de Transporte Eletrônico</t>
  </si>
  <si>
    <t>CULTIVADA</t>
  </si>
  <si>
    <t>CULT</t>
  </si>
  <si>
    <t>CULTURA</t>
  </si>
  <si>
    <t>CUMPRIMENTO</t>
  </si>
  <si>
    <t>CUMPR</t>
  </si>
  <si>
    <t>CURRICULO</t>
  </si>
  <si>
    <t>CURRIC</t>
  </si>
  <si>
    <t>CUSTEIO</t>
  </si>
  <si>
    <t>CUST</t>
  </si>
  <si>
    <t>CUSTODIA</t>
  </si>
  <si>
    <t>CUSTOD</t>
  </si>
  <si>
    <t>CUSTODIANTE</t>
  </si>
  <si>
    <t>CUSTOMER</t>
  </si>
  <si>
    <t>CUSTOMIZADO</t>
  </si>
  <si>
    <t>CUSTOM</t>
  </si>
  <si>
    <t>DANIFICADO</t>
  </si>
  <si>
    <t>DANIF</t>
  </si>
  <si>
    <t>DATA</t>
  </si>
  <si>
    <t>DAT</t>
  </si>
  <si>
    <t>DATABASE</t>
  </si>
  <si>
    <t>DBASE</t>
  </si>
  <si>
    <t>DATADO</t>
  </si>
  <si>
    <t>DEBITADO</t>
  </si>
  <si>
    <t>DEBIT</t>
  </si>
  <si>
    <t>DEBITO</t>
  </si>
  <si>
    <t>DECIMAL</t>
  </si>
  <si>
    <t>DEC</t>
  </si>
  <si>
    <t>DECIMO</t>
  </si>
  <si>
    <t>DECISAO</t>
  </si>
  <si>
    <t>DECIS</t>
  </si>
  <si>
    <t>DECLARACAO</t>
  </si>
  <si>
    <t>DECLAR</t>
  </si>
  <si>
    <t>DECLARADA</t>
  </si>
  <si>
    <t>DECLARADO</t>
  </si>
  <si>
    <t>DECLARANTE</t>
  </si>
  <si>
    <t>DECODIFICADOR</t>
  </si>
  <si>
    <t>DECOD</t>
  </si>
  <si>
    <t>DECOLAGEM</t>
  </si>
  <si>
    <t>DECOL</t>
  </si>
  <si>
    <t>DECOMPOSICAO</t>
  </si>
  <si>
    <t>DECOMPOS</t>
  </si>
  <si>
    <t>DECORRIDO</t>
  </si>
  <si>
    <t>DECOR</t>
  </si>
  <si>
    <t>DECURSO</t>
  </si>
  <si>
    <t>DECUR</t>
  </si>
  <si>
    <t>DEDICADO</t>
  </si>
  <si>
    <t>DEDIC</t>
  </si>
  <si>
    <t>DEDUCAO</t>
  </si>
  <si>
    <t>DEDUC</t>
  </si>
  <si>
    <t>DEFASAGEM</t>
  </si>
  <si>
    <t>DEFAS</t>
  </si>
  <si>
    <t>DEFEITO</t>
  </si>
  <si>
    <t>DEFT</t>
  </si>
  <si>
    <t>DEFERIDO</t>
  </si>
  <si>
    <t>DEFER</t>
  </si>
  <si>
    <t>DEFERIMENTO</t>
  </si>
  <si>
    <t>DEFERIR</t>
  </si>
  <si>
    <t>DEFER  </t>
  </si>
  <si>
    <t>DEFICIENCIA</t>
  </si>
  <si>
    <t>DEFIC</t>
  </si>
  <si>
    <t>DEFICITARIA</t>
  </si>
  <si>
    <t>DEFINICAO</t>
  </si>
  <si>
    <t>DEFIN</t>
  </si>
  <si>
    <t>DEFINIDA</t>
  </si>
  <si>
    <t>DEFINIDO</t>
  </si>
  <si>
    <t>DEFINIR</t>
  </si>
  <si>
    <t>DEFINITIVO</t>
  </si>
  <si>
    <t>DELECAO</t>
  </si>
  <si>
    <t>DEL</t>
  </si>
  <si>
    <t>DELEGACIA</t>
  </si>
  <si>
    <t>DELEG</t>
  </si>
  <si>
    <t>DELIBERACAO</t>
  </si>
  <si>
    <t>DELIBER</t>
  </si>
  <si>
    <t>DEMANDA</t>
  </si>
  <si>
    <t>DEM</t>
  </si>
  <si>
    <t>DEMERITO</t>
  </si>
  <si>
    <t>DEMER</t>
  </si>
  <si>
    <t>DEMISSAO</t>
  </si>
  <si>
    <t>DEMI</t>
  </si>
  <si>
    <t>DEMITIDO</t>
  </si>
  <si>
    <t>DEMONSTRACAO</t>
  </si>
  <si>
    <t>DEMONS</t>
  </si>
  <si>
    <t>DEMONSTRATIVO</t>
  </si>
  <si>
    <t>DENEGACAO</t>
  </si>
  <si>
    <t>DENEG</t>
  </si>
  <si>
    <t>DENOMINACAO</t>
  </si>
  <si>
    <t>DENOM</t>
  </si>
  <si>
    <t>DENOMINADOR</t>
  </si>
  <si>
    <t>DENSIDADE</t>
  </si>
  <si>
    <t>DENSID</t>
  </si>
  <si>
    <t>DENTAL</t>
  </si>
  <si>
    <t>DENT</t>
  </si>
  <si>
    <t>DENTE</t>
  </si>
  <si>
    <t>DENTISTA</t>
  </si>
  <si>
    <t>DENUNCIA</t>
  </si>
  <si>
    <t>DENUN</t>
  </si>
  <si>
    <t>DENUNCIADA</t>
  </si>
  <si>
    <t>DENUNCIANTE</t>
  </si>
  <si>
    <t>DEPARTAMENTO</t>
  </si>
  <si>
    <t>DEPTO</t>
  </si>
  <si>
    <t>DEPENDENCIA</t>
  </si>
  <si>
    <t>DEPEND</t>
  </si>
  <si>
    <t>DEPENDENTE</t>
  </si>
  <si>
    <t>DEPOIMENTO</t>
  </si>
  <si>
    <t>DEPO</t>
  </si>
  <si>
    <t>DEPOSITANTE</t>
  </si>
  <si>
    <t>DEPOS</t>
  </si>
  <si>
    <t>DEPOSITARIA</t>
  </si>
  <si>
    <t>DEPOSITARIO</t>
  </si>
  <si>
    <t>DEPOSITO</t>
  </si>
  <si>
    <t>CD ou DEP</t>
  </si>
  <si>
    <t>DEPRECIACAO</t>
  </si>
  <si>
    <t>DEPREC</t>
  </si>
  <si>
    <t>DERIVATIVO</t>
  </si>
  <si>
    <t>DERIV</t>
  </si>
  <si>
    <t>DESAGIO</t>
  </si>
  <si>
    <t>DESAG</t>
  </si>
  <si>
    <t>DESATIVACAO</t>
  </si>
  <si>
    <t>DESATIV</t>
  </si>
  <si>
    <t>DESBLOCAGEM</t>
  </si>
  <si>
    <t>DBLOQ</t>
  </si>
  <si>
    <t>DESBLOQUEADO</t>
  </si>
  <si>
    <t>DESBLOQUEIO</t>
  </si>
  <si>
    <t>DESCADASTRAR</t>
  </si>
  <si>
    <t>DCAD</t>
  </si>
  <si>
    <t>DESCAPITALIZADO</t>
  </si>
  <si>
    <t>DESCAP</t>
  </si>
  <si>
    <t>DESCARACTERIZADA</t>
  </si>
  <si>
    <t>DESCAR</t>
  </si>
  <si>
    <t>DESCARGA</t>
  </si>
  <si>
    <t>DCARG</t>
  </si>
  <si>
    <t>DESCARREGADO</t>
  </si>
  <si>
    <t>DESCENTRALIZADO</t>
  </si>
  <si>
    <t>DESCENTR</t>
  </si>
  <si>
    <t>DESCLASSIFICACAO</t>
  </si>
  <si>
    <t>DESCL</t>
  </si>
  <si>
    <t>DESCOBERTO</t>
  </si>
  <si>
    <t>DESCOB</t>
  </si>
  <si>
    <t>DESCONHECIDO</t>
  </si>
  <si>
    <t>DESCONH</t>
  </si>
  <si>
    <t>DESCONSIDERADO</t>
  </si>
  <si>
    <t>DESCONS</t>
  </si>
  <si>
    <t>DESCONTADO</t>
  </si>
  <si>
    <t>DESCT</t>
  </si>
  <si>
    <t>DESCONTO</t>
  </si>
  <si>
    <t>DESCREDENCIADO</t>
  </si>
  <si>
    <t>DESCRED</t>
  </si>
  <si>
    <t>DESCREDENCIAMENTO</t>
  </si>
  <si>
    <t>DESCREVE</t>
  </si>
  <si>
    <t>DESC</t>
  </si>
  <si>
    <t>DESCRICAO</t>
  </si>
  <si>
    <t>DESCRITIVO</t>
  </si>
  <si>
    <t>DESCRITOR</t>
  </si>
  <si>
    <t>DESDOBRADA</t>
  </si>
  <si>
    <t>DESDOB</t>
  </si>
  <si>
    <t>DESDOBRAMENTO</t>
  </si>
  <si>
    <t>DESDOBRO</t>
  </si>
  <si>
    <t>DESEMBARQUE</t>
  </si>
  <si>
    <t>DESEMBQ</t>
  </si>
  <si>
    <t>DESEMBOLSO</t>
  </si>
  <si>
    <t>DESEMB</t>
  </si>
  <si>
    <t>DESEMPATE</t>
  </si>
  <si>
    <t>DESEMP</t>
  </si>
  <si>
    <t>DESEMPENHO</t>
  </si>
  <si>
    <t>DESEMPEN</t>
  </si>
  <si>
    <t>DESEMPREGO</t>
  </si>
  <si>
    <t>DESEMPR</t>
  </si>
  <si>
    <t>DESENCAIXE</t>
  </si>
  <si>
    <t>DESENC</t>
  </si>
  <si>
    <t>DESENVOLVEDOR</t>
  </si>
  <si>
    <t>DESENV</t>
  </si>
  <si>
    <t>DESENVOLVIDO</t>
  </si>
  <si>
    <t>DESENVOLVIMENTO</t>
  </si>
  <si>
    <t>DESIGNADO</t>
  </si>
  <si>
    <t>DESIGN</t>
  </si>
  <si>
    <t>DESINSTALACAO</t>
  </si>
  <si>
    <t>DESINS</t>
  </si>
  <si>
    <t>DESINTERESSE</t>
  </si>
  <si>
    <t>DESINTER</t>
  </si>
  <si>
    <t>DESISTENCIA</t>
  </si>
  <si>
    <t>DESIST</t>
  </si>
  <si>
    <t>DESISTENTE</t>
  </si>
  <si>
    <t>DESLIGADA</t>
  </si>
  <si>
    <t>DESLIG</t>
  </si>
  <si>
    <t>DESLIGADO</t>
  </si>
  <si>
    <t>DESLIGAMENTO</t>
  </si>
  <si>
    <t>DESMEMBRADA</t>
  </si>
  <si>
    <t>DESM</t>
  </si>
  <si>
    <t>DESMEMBRADO</t>
  </si>
  <si>
    <t>DESMEMBRAMENTO</t>
  </si>
  <si>
    <t>DESOCUPACAO</t>
  </si>
  <si>
    <t>DESOCUP</t>
  </si>
  <si>
    <t>DESPACHANTE</t>
  </si>
  <si>
    <t>DESPAC</t>
  </si>
  <si>
    <t>DESPACHO</t>
  </si>
  <si>
    <t>DESPESA</t>
  </si>
  <si>
    <t>DESP</t>
  </si>
  <si>
    <t>DESPREZADO</t>
  </si>
  <si>
    <t>DESPREZ</t>
  </si>
  <si>
    <t>DESTAQUE</t>
  </si>
  <si>
    <t>DESTAQ</t>
  </si>
  <si>
    <t>DESTINADO</t>
  </si>
  <si>
    <t>DEST</t>
  </si>
  <si>
    <t>DESTINATARIO</t>
  </si>
  <si>
    <t>DESTINO</t>
  </si>
  <si>
    <t>DESVALORIZACAO</t>
  </si>
  <si>
    <t>DESVAL</t>
  </si>
  <si>
    <t>DESVINCULO</t>
  </si>
  <si>
    <t>DESVINC</t>
  </si>
  <si>
    <t>DETALHADA</t>
  </si>
  <si>
    <t>DET</t>
  </si>
  <si>
    <t>DETALHADO</t>
  </si>
  <si>
    <t>DETALHE</t>
  </si>
  <si>
    <t>DETENTOR</t>
  </si>
  <si>
    <t>DETENT</t>
  </si>
  <si>
    <t>DETERMINADA</t>
  </si>
  <si>
    <t>DETER</t>
  </si>
  <si>
    <t>DETERMINADO</t>
  </si>
  <si>
    <t>DETERMINANTE</t>
  </si>
  <si>
    <t>DETERMINAR</t>
  </si>
  <si>
    <t>DEVEDOR</t>
  </si>
  <si>
    <t>DEVED</t>
  </si>
  <si>
    <t>DEVEDORA</t>
  </si>
  <si>
    <t>DEVOLUCAO</t>
  </si>
  <si>
    <t>DEVOL</t>
  </si>
  <si>
    <t>DEVOLVIDA</t>
  </si>
  <si>
    <t>DEVOLVIDO</t>
  </si>
  <si>
    <t>DEZENA</t>
  </si>
  <si>
    <t>DEZ</t>
  </si>
  <si>
    <t>DIAGNOSTICO</t>
  </si>
  <si>
    <t>DIAG</t>
  </si>
  <si>
    <t>DIAGRAMA</t>
  </si>
  <si>
    <t>DIAGR</t>
  </si>
  <si>
    <t>DIARIA</t>
  </si>
  <si>
    <t>DIA</t>
  </si>
  <si>
    <t>DIARIO</t>
  </si>
  <si>
    <t>DICIONARIO</t>
  </si>
  <si>
    <t>DIC</t>
  </si>
  <si>
    <t>DIFERENCA</t>
  </si>
  <si>
    <t>DIF</t>
  </si>
  <si>
    <t>DIFERENÇA</t>
  </si>
  <si>
    <t>DIFERENCIADA</t>
  </si>
  <si>
    <t>DIFERENCIADO</t>
  </si>
  <si>
    <t>DIFERENCIADOR</t>
  </si>
  <si>
    <t>DIFERENCIADORA</t>
  </si>
  <si>
    <t>DIFERENCIAL</t>
  </si>
  <si>
    <t>DIFERENTE</t>
  </si>
  <si>
    <t>DIFERIDA</t>
  </si>
  <si>
    <t>DIFER</t>
  </si>
  <si>
    <t>DIFERIDO</t>
  </si>
  <si>
    <t>DIFERIMENTO</t>
  </si>
  <si>
    <t>DIGITACAO</t>
  </si>
  <si>
    <t>DIGIT</t>
  </si>
  <si>
    <t>DIGITAL</t>
  </si>
  <si>
    <t>DIGITALIZACAO</t>
  </si>
  <si>
    <t>DIGITALIZADA</t>
  </si>
  <si>
    <t>DIGITO</t>
  </si>
  <si>
    <t>DIG</t>
  </si>
  <si>
    <t>DILUICAO</t>
  </si>
  <si>
    <t>DILUI</t>
  </si>
  <si>
    <t>DIMENSAO</t>
  </si>
  <si>
    <t>DIMENS</t>
  </si>
  <si>
    <t>DINAMICA</t>
  </si>
  <si>
    <t>DINAM</t>
  </si>
  <si>
    <t>DINAMICO</t>
  </si>
  <si>
    <t>DINHEIRO</t>
  </si>
  <si>
    <t>DIN</t>
  </si>
  <si>
    <t>DIRECAO</t>
  </si>
  <si>
    <t>DIR</t>
  </si>
  <si>
    <t>DIRECIONAMENTO</t>
  </si>
  <si>
    <t>DIRETOR</t>
  </si>
  <si>
    <t>DIRETORIA</t>
  </si>
  <si>
    <t>DIRETORIO</t>
  </si>
  <si>
    <t>DIRIGENTE</t>
  </si>
  <si>
    <t>DIRIG</t>
  </si>
  <si>
    <t>DISCADO</t>
  </si>
  <si>
    <t>DISC</t>
  </si>
  <si>
    <t>DISCADOR</t>
  </si>
  <si>
    <t>DISCAGEM</t>
  </si>
  <si>
    <t>DISCO</t>
  </si>
  <si>
    <t>DISCRETO</t>
  </si>
  <si>
    <t>DISCR</t>
  </si>
  <si>
    <t>DISPONIBILIDADE</t>
  </si>
  <si>
    <t>DISP</t>
  </si>
  <si>
    <t>DISPONIBILIZACAO</t>
  </si>
  <si>
    <t>DISPONIBILIZADO</t>
  </si>
  <si>
    <t>DISPONIBILIZAR</t>
  </si>
  <si>
    <t>DISPONIVEL</t>
  </si>
  <si>
    <t>DISPOSITIVO</t>
  </si>
  <si>
    <t>DISPOS</t>
  </si>
  <si>
    <t>DISQUETE</t>
  </si>
  <si>
    <t>DISQ</t>
  </si>
  <si>
    <t>DISSIDIO</t>
  </si>
  <si>
    <t>DISSID</t>
  </si>
  <si>
    <t>DISTANCIA</t>
  </si>
  <si>
    <t>DIST</t>
  </si>
  <si>
    <t>DISTINTO</t>
  </si>
  <si>
    <t>DISTIN</t>
  </si>
  <si>
    <t>DISTORCAO</t>
  </si>
  <si>
    <t>DISTOR</t>
  </si>
  <si>
    <t>DISTRIBUICAO</t>
  </si>
  <si>
    <t>DISTRIB</t>
  </si>
  <si>
    <t>DISTRIBUIDO</t>
  </si>
  <si>
    <t>DISTRIBUIDOR</t>
  </si>
  <si>
    <t>DIVERGENCIA</t>
  </si>
  <si>
    <t>DIVERG</t>
  </si>
  <si>
    <t>DIVERSIFICACAO</t>
  </si>
  <si>
    <t>DIVERSIF</t>
  </si>
  <si>
    <t>DIVERSIFICADO</t>
  </si>
  <si>
    <t>DIVIDA</t>
  </si>
  <si>
    <t>DIVDA</t>
  </si>
  <si>
    <t>DIVIDENDO</t>
  </si>
  <si>
    <t>DIVIDEND</t>
  </si>
  <si>
    <t>DIVISAO</t>
  </si>
  <si>
    <t>DIV</t>
  </si>
  <si>
    <t>DIVULGACAO</t>
  </si>
  <si>
    <t>DIVULG</t>
  </si>
  <si>
    <t>DIVULGADOR</t>
  </si>
  <si>
    <t>DLP</t>
  </si>
  <si>
    <t>Demonstrativo de Lucros e Perdas</t>
  </si>
  <si>
    <t>DOACAO</t>
  </si>
  <si>
    <t>DOA</t>
  </si>
  <si>
    <t>DOCUMENTACAO</t>
  </si>
  <si>
    <t>DOC</t>
  </si>
  <si>
    <t>DOCUMENTADOR</t>
  </si>
  <si>
    <t>DOCUMENTADORA</t>
  </si>
  <si>
    <t>DOCUMENTARIO</t>
  </si>
  <si>
    <t>DOCUMENTO</t>
  </si>
  <si>
    <t>DOMESTICA</t>
  </si>
  <si>
    <t>DOMEST</t>
  </si>
  <si>
    <t>DOMICILIO</t>
  </si>
  <si>
    <t>DOMIC</t>
  </si>
  <si>
    <t>DOMINGO</t>
  </si>
  <si>
    <t>DOM</t>
  </si>
  <si>
    <t>DOMINIO</t>
  </si>
  <si>
    <t>DOMIN</t>
  </si>
  <si>
    <t>DORMITORIO</t>
  </si>
  <si>
    <t>DORMIT</t>
  </si>
  <si>
    <t>DOURADO</t>
  </si>
  <si>
    <t>DOUR</t>
  </si>
  <si>
    <t>DOUTORADO</t>
  </si>
  <si>
    <t>DOUTOR</t>
  </si>
  <si>
    <t>DPP</t>
  </si>
  <si>
    <t>Disponibilidade de Produto na Prateleira</t>
  </si>
  <si>
    <t>DROGARIA</t>
  </si>
  <si>
    <t>DROGA</t>
  </si>
  <si>
    <t>DSAD</t>
  </si>
  <si>
    <t>Documento de Solução da Arquitetura de Dados</t>
  </si>
  <si>
    <t>DUPLICADO</t>
  </si>
  <si>
    <t>DUPLIC</t>
  </si>
  <si>
    <t>DUPLICIDADE</t>
  </si>
  <si>
    <t>DUPLICID</t>
  </si>
  <si>
    <t>DURACAO</t>
  </si>
  <si>
    <t>DURAC</t>
  </si>
  <si>
    <t>DUVIDOSO</t>
  </si>
  <si>
    <t>DUVID</t>
  </si>
  <si>
    <t>ECONOMIA</t>
  </si>
  <si>
    <t>ECON</t>
  </si>
  <si>
    <t>ECONOMICA</t>
  </si>
  <si>
    <t>ECONOMICO</t>
  </si>
  <si>
    <t>ECOSSISTEMA</t>
  </si>
  <si>
    <t>ECOSSIST</t>
  </si>
  <si>
    <t>EDIFICACAO</t>
  </si>
  <si>
    <t>EDIF</t>
  </si>
  <si>
    <t>EDIFICADA</t>
  </si>
  <si>
    <t>EDIFICIO</t>
  </si>
  <si>
    <t>EDUCACAO</t>
  </si>
  <si>
    <t>EDUCA</t>
  </si>
  <si>
    <t>EFETIVACAO</t>
  </si>
  <si>
    <t>EFET</t>
  </si>
  <si>
    <t>EFETIVADA</t>
  </si>
  <si>
    <t>EFETIVADO</t>
  </si>
  <si>
    <t>EFETIVAMENTE</t>
  </si>
  <si>
    <t>EFETIVAR</t>
  </si>
  <si>
    <t>EFETIVIDADE</t>
  </si>
  <si>
    <t>EFETIVO</t>
  </si>
  <si>
    <t>EFETUADA</t>
  </si>
  <si>
    <t>EFETUA</t>
  </si>
  <si>
    <t>EFETUADO</t>
  </si>
  <si>
    <t>EFICIENCIA</t>
  </si>
  <si>
    <t>EFIC</t>
  </si>
  <si>
    <t>ELABORACAO</t>
  </si>
  <si>
    <t>ELABO</t>
  </si>
  <si>
    <t>ELEGIBILIDADE</t>
  </si>
  <si>
    <t>ELEGIBIL</t>
  </si>
  <si>
    <t>ELEGIVEL</t>
  </si>
  <si>
    <t>ELEGIV</t>
  </si>
  <si>
    <t>ELEICAO</t>
  </si>
  <si>
    <t>ELEIC</t>
  </si>
  <si>
    <t>ELEITOR</t>
  </si>
  <si>
    <t>ELEIT</t>
  </si>
  <si>
    <t>ELEITORAL</t>
  </si>
  <si>
    <t>ELEMENTAR</t>
  </si>
  <si>
    <t>ELEM</t>
  </si>
  <si>
    <t>ELEMENTO</t>
  </si>
  <si>
    <t>ELETRICA</t>
  </si>
  <si>
    <t>ELETR</t>
  </si>
  <si>
    <t>ELETRONICA</t>
  </si>
  <si>
    <t>ELETRONICO</t>
  </si>
  <si>
    <t>ELIMINACAO</t>
  </si>
  <si>
    <t>ELIMIN</t>
  </si>
  <si>
    <t>EMANCIPACAO</t>
  </si>
  <si>
    <t>EMANCIP</t>
  </si>
  <si>
    <t>EMBALAGEM</t>
  </si>
  <si>
    <t>EMBAL</t>
  </si>
  <si>
    <t>EMBARCACAO</t>
  </si>
  <si>
    <t>EMBAR</t>
  </si>
  <si>
    <t>EMBARQUE</t>
  </si>
  <si>
    <t>EMERGENCIA</t>
  </si>
  <si>
    <t>EMERG</t>
  </si>
  <si>
    <t>EMERGENCIAL</t>
  </si>
  <si>
    <t>EMISSAO</t>
  </si>
  <si>
    <t>EMIS</t>
  </si>
  <si>
    <t>EMISSOR</t>
  </si>
  <si>
    <t>EMISSORA</t>
  </si>
  <si>
    <t>EMITENTE</t>
  </si>
  <si>
    <t>EMI</t>
  </si>
  <si>
    <t>EMITIDA</t>
  </si>
  <si>
    <t>EMITIDO</t>
  </si>
  <si>
    <t>EMOCIONAL</t>
  </si>
  <si>
    <t>EMOC</t>
  </si>
  <si>
    <t>EMOLUMENTO</t>
  </si>
  <si>
    <t>EMOLU</t>
  </si>
  <si>
    <t>EMPILHADEIRA</t>
  </si>
  <si>
    <t>EMPILH</t>
  </si>
  <si>
    <t>EMPREENDIMENTO</t>
  </si>
  <si>
    <t>EMPREEND</t>
  </si>
  <si>
    <t>EMPREGADO</t>
  </si>
  <si>
    <t>FUNC</t>
  </si>
  <si>
    <t>EMPREGADOR</t>
  </si>
  <si>
    <t>EMPREG</t>
  </si>
  <si>
    <t>EMPREGADORA</t>
  </si>
  <si>
    <t>EMPREITEIRO</t>
  </si>
  <si>
    <t>EMPREIT</t>
  </si>
  <si>
    <t>EMPREITEITADA</t>
  </si>
  <si>
    <t>EMPRESA</t>
  </si>
  <si>
    <t>EMPR</t>
  </si>
  <si>
    <t>EMPRESARIAL</t>
  </si>
  <si>
    <t>EMPRESARIO</t>
  </si>
  <si>
    <t>EMPRESTADA</t>
  </si>
  <si>
    <t>EMPREST</t>
  </si>
  <si>
    <t>EMPRESTADO</t>
  </si>
  <si>
    <t>EMPRESTIMO</t>
  </si>
  <si>
    <t>ENCADEAMENTO</t>
  </si>
  <si>
    <t>ENCAD</t>
  </si>
  <si>
    <t>ENCAMINHAMENTO</t>
  </si>
  <si>
    <t>ENCAM</t>
  </si>
  <si>
    <t>ENCARGO</t>
  </si>
  <si>
    <t>ENCAR</t>
  </si>
  <si>
    <t>ENCERRADO</t>
  </si>
  <si>
    <t>ENCER</t>
  </si>
  <si>
    <t>ENCERRAMENTO</t>
  </si>
  <si>
    <t>ENCOMENDA</t>
  </si>
  <si>
    <t>ENCOM</t>
  </si>
  <si>
    <t>ENCONTRADO</t>
  </si>
  <si>
    <t>ENCON</t>
  </si>
  <si>
    <t>ENCONTRO</t>
  </si>
  <si>
    <t>ENDERECO</t>
  </si>
  <si>
    <t>END</t>
  </si>
  <si>
    <t>ENDIVIDAMENTO</t>
  </si>
  <si>
    <t>ENDIVID</t>
  </si>
  <si>
    <t>ENDOSSANTE</t>
  </si>
  <si>
    <t>ENDOSS</t>
  </si>
  <si>
    <t>ENDOSSO</t>
  </si>
  <si>
    <t>ENERGETICO</t>
  </si>
  <si>
    <t>ENERG</t>
  </si>
  <si>
    <t>ENERGIA</t>
  </si>
  <si>
    <t>ENFERMARIA</t>
  </si>
  <si>
    <t>ENFER</t>
  </si>
  <si>
    <t>ENFERMIDADE</t>
  </si>
  <si>
    <t>ENFOQUE</t>
  </si>
  <si>
    <t>ENFOQ</t>
  </si>
  <si>
    <t>ENGENHARIA</t>
  </si>
  <si>
    <t>ENGE</t>
  </si>
  <si>
    <t>ENGENHEIRO</t>
  </si>
  <si>
    <t>ENQUADRADO</t>
  </si>
  <si>
    <t>ENQUA</t>
  </si>
  <si>
    <t>ENQUADRAMENTO</t>
  </si>
  <si>
    <t>ENSACADO</t>
  </si>
  <si>
    <t>ENSAC</t>
  </si>
  <si>
    <t>ENTENDIMENTO</t>
  </si>
  <si>
    <t>ENTEND</t>
  </si>
  <si>
    <t>ENTIDADE</t>
  </si>
  <si>
    <t>ENTID</t>
  </si>
  <si>
    <t>ENTRADA</t>
  </si>
  <si>
    <t>ENTR</t>
  </si>
  <si>
    <t>ENTREGA</t>
  </si>
  <si>
    <t>ENTREG</t>
  </si>
  <si>
    <t>ENTREGA EM DOMICILIO</t>
  </si>
  <si>
    <t>ED</t>
  </si>
  <si>
    <t>ENTREGADOR</t>
  </si>
  <si>
    <t>ENTREGUE</t>
  </si>
  <si>
    <t>ENTREVISTA</t>
  </si>
  <si>
    <t>ENTREV</t>
  </si>
  <si>
    <t>ENVELHECIMENTO</t>
  </si>
  <si>
    <t>ENVELH</t>
  </si>
  <si>
    <t>ENVELOPE</t>
  </si>
  <si>
    <t>ENVEL</t>
  </si>
  <si>
    <t>ENVIA</t>
  </si>
  <si>
    <t>ENV</t>
  </si>
  <si>
    <t>ENVIADA</t>
  </si>
  <si>
    <t>ENV </t>
  </si>
  <si>
    <t>ENVIADO</t>
  </si>
  <si>
    <t>ENVIO</t>
  </si>
  <si>
    <t>ENVOLVIDA</t>
  </si>
  <si>
    <t>ENVOL</t>
  </si>
  <si>
    <t>ENVOLVIDO</t>
  </si>
  <si>
    <t>ENVOLVIMENTO</t>
  </si>
  <si>
    <t>EQUACIONADO</t>
  </si>
  <si>
    <t>EQUAC</t>
  </si>
  <si>
    <t>EQUALIZACAO</t>
  </si>
  <si>
    <t>EQUALIZ</t>
  </si>
  <si>
    <t>EQUILIBRIO</t>
  </si>
  <si>
    <t>EQUIL</t>
  </si>
  <si>
    <t>EQUIPACAO</t>
  </si>
  <si>
    <t>EQUIPA</t>
  </si>
  <si>
    <t>EQUIPAMENTO</t>
  </si>
  <si>
    <t>EQUIP</t>
  </si>
  <si>
    <t>EQUIPE</t>
  </si>
  <si>
    <t>EQUIVALENCIA</t>
  </si>
  <si>
    <t>EQUIV</t>
  </si>
  <si>
    <t>EQUIVALENTE</t>
  </si>
  <si>
    <t>ESCAVACAO</t>
  </si>
  <si>
    <t>ESCAV</t>
  </si>
  <si>
    <t>ESCLARECIMENTO</t>
  </si>
  <si>
    <t>ESCL</t>
  </si>
  <si>
    <t>ESCOLAR</t>
  </si>
  <si>
    <t>ESCOL</t>
  </si>
  <si>
    <t>ESCOLARIDADE</t>
  </si>
  <si>
    <t>ESCOLHIDO</t>
  </si>
  <si>
    <t>ESCOLH</t>
  </si>
  <si>
    <t>ESCRITORIO</t>
  </si>
  <si>
    <t>ESCR</t>
  </si>
  <si>
    <t>ESCRITURA</t>
  </si>
  <si>
    <t>ESCRIT</t>
  </si>
  <si>
    <t>ESCRITURACAO</t>
  </si>
  <si>
    <t>ESCRITURAL</t>
  </si>
  <si>
    <t>ESCRIVAO</t>
  </si>
  <si>
    <t>ESCRIV</t>
  </si>
  <si>
    <t>ESPECIALIDADE</t>
  </si>
  <si>
    <t>ESPECIAL</t>
  </si>
  <si>
    <t>ESPECIALISTA</t>
  </si>
  <si>
    <t>ESPECIALIZACAO</t>
  </si>
  <si>
    <t>ESPECIFICA</t>
  </si>
  <si>
    <t>ESPECIF</t>
  </si>
  <si>
    <t>ESPECIFICACAO</t>
  </si>
  <si>
    <t>ESPECIFICO</t>
  </si>
  <si>
    <t>ESPELHAMENTO</t>
  </si>
  <si>
    <t>ESPELHA</t>
  </si>
  <si>
    <t>ESPERA</t>
  </si>
  <si>
    <t>ESP</t>
  </si>
  <si>
    <t>ESPERADA</t>
  </si>
  <si>
    <t>ESPONTANEO</t>
  </si>
  <si>
    <t>ESPONT</t>
  </si>
  <si>
    <t>ESSENCIAL</t>
  </si>
  <si>
    <t>ESSE</t>
  </si>
  <si>
    <t>ESTABELECIMENTO</t>
  </si>
  <si>
    <t>ESTAB</t>
  </si>
  <si>
    <t>ESTABILIDADE</t>
  </si>
  <si>
    <t>ESTABIL</t>
  </si>
  <si>
    <t>ESTABILIZADO</t>
  </si>
  <si>
    <t>ESTACAO</t>
  </si>
  <si>
    <t>ESTAC</t>
  </si>
  <si>
    <t>ESTACIONAMENTO</t>
  </si>
  <si>
    <t>ESTACI</t>
  </si>
  <si>
    <t>ESTADO</t>
  </si>
  <si>
    <t>EST</t>
  </si>
  <si>
    <t>ESTADUAL</t>
  </si>
  <si>
    <t>ESTAGIARIO</t>
  </si>
  <si>
    <t>ESTAG</t>
  </si>
  <si>
    <t>ESTAGIO</t>
  </si>
  <si>
    <t>ESTATISTICA</t>
  </si>
  <si>
    <t>ESTAT</t>
  </si>
  <si>
    <t>ESTATISTICO</t>
  </si>
  <si>
    <t>ESTATUTARIO</t>
  </si>
  <si>
    <t>ESTATUT</t>
  </si>
  <si>
    <t>ESTILO</t>
  </si>
  <si>
    <t>ESTIL</t>
  </si>
  <si>
    <t>ESTIMADO</t>
  </si>
  <si>
    <t>ESTIM</t>
  </si>
  <si>
    <t>ESTIMATIVA</t>
  </si>
  <si>
    <t>ESTIPULANTE</t>
  </si>
  <si>
    <t>ESTIP</t>
  </si>
  <si>
    <t>ESTOCAVEL</t>
  </si>
  <si>
    <t>ESTOC</t>
  </si>
  <si>
    <t>ESTOQUE</t>
  </si>
  <si>
    <t>ESTQ</t>
  </si>
  <si>
    <t>ESTORNADO</t>
  </si>
  <si>
    <t>ESTOR</t>
  </si>
  <si>
    <t>ESTORNO</t>
  </si>
  <si>
    <t>ESTOURO</t>
  </si>
  <si>
    <t>ESTOUR</t>
  </si>
  <si>
    <t>ESTRANGEIRA</t>
  </si>
  <si>
    <t>ESTRANG</t>
  </si>
  <si>
    <t>ESTRANGEIRO</t>
  </si>
  <si>
    <t>ESTRATEGIA</t>
  </si>
  <si>
    <t>ESTRAT</t>
  </si>
  <si>
    <t>ESTRATEGICO</t>
  </si>
  <si>
    <t>ESTRATIFICACAO</t>
  </si>
  <si>
    <t>ESTRATIF</t>
  </si>
  <si>
    <t>ESTRUTURA</t>
  </si>
  <si>
    <t>ESTRUT</t>
  </si>
  <si>
    <t>ESTRUTURADA</t>
  </si>
  <si>
    <t>ESTUDANTE</t>
  </si>
  <si>
    <t>ESTUD</t>
  </si>
  <si>
    <t>ESTUDO</t>
  </si>
  <si>
    <t>ETIOLOGIA</t>
  </si>
  <si>
    <t>ETIOLOG</t>
  </si>
  <si>
    <t>ETIOLOGICO</t>
  </si>
  <si>
    <t>ETIQUETA</t>
  </si>
  <si>
    <t>ETIQ</t>
  </si>
  <si>
    <t>EVENTUAL</t>
  </si>
  <si>
    <t>EVENT</t>
  </si>
  <si>
    <t>EVIDENCIA</t>
  </si>
  <si>
    <t>EVIDEN</t>
  </si>
  <si>
    <t>EVOLUCAO</t>
  </si>
  <si>
    <t>EVOL</t>
  </si>
  <si>
    <t>EXAMINADA</t>
  </si>
  <si>
    <t>EXAM</t>
  </si>
  <si>
    <t>EXAMINADO</t>
  </si>
  <si>
    <t>EXAMINADOR</t>
  </si>
  <si>
    <t>EXCECAO</t>
  </si>
  <si>
    <t>EXCEC</t>
  </si>
  <si>
    <t>EXCEDENTE</t>
  </si>
  <si>
    <t>EXCED</t>
  </si>
  <si>
    <t>EXCEDIDO</t>
  </si>
  <si>
    <t>EXCEPCIONAL</t>
  </si>
  <si>
    <t>EXCEP</t>
  </si>
  <si>
    <t>EXCESSO</t>
  </si>
  <si>
    <t>EXCES</t>
  </si>
  <si>
    <t>EXCLUIDA</t>
  </si>
  <si>
    <t>EXCL</t>
  </si>
  <si>
    <t>EXCLUIDO</t>
  </si>
  <si>
    <t>EXCLUIR</t>
  </si>
  <si>
    <t>EXCLUSAO</t>
  </si>
  <si>
    <t>EXCLUSIVA</t>
  </si>
  <si>
    <t>EXCLUS</t>
  </si>
  <si>
    <t>EXCLUSIVIDADE</t>
  </si>
  <si>
    <t>EXCLUSIVO</t>
  </si>
  <si>
    <t>EXECUCAO</t>
  </si>
  <si>
    <t>EXEC</t>
  </si>
  <si>
    <t>EXECUTA</t>
  </si>
  <si>
    <t>EXECUTAR</t>
  </si>
  <si>
    <t>EXECUTIVA</t>
  </si>
  <si>
    <t>EXECUTIVO</t>
  </si>
  <si>
    <t>EXECUTOR</t>
  </si>
  <si>
    <t>EXERCICIO</t>
  </si>
  <si>
    <t>EXERC</t>
  </si>
  <si>
    <t>EXIBICAO</t>
  </si>
  <si>
    <t>EXIB</t>
  </si>
  <si>
    <t>EXIGENCIA</t>
  </si>
  <si>
    <t>EXIGE</t>
  </si>
  <si>
    <t>EXIGIBILIDADE</t>
  </si>
  <si>
    <t>EXIGIB</t>
  </si>
  <si>
    <t>EXIGIDO</t>
  </si>
  <si>
    <t>EXIGID</t>
  </si>
  <si>
    <t>EXIGIVEL</t>
  </si>
  <si>
    <t>EXIGIV</t>
  </si>
  <si>
    <t>EXISTENCIA</t>
  </si>
  <si>
    <t>EXIST</t>
  </si>
  <si>
    <t>EXISTENTE</t>
  </si>
  <si>
    <t>EXPANSAO</t>
  </si>
  <si>
    <t>EXPANS</t>
  </si>
  <si>
    <t>EXPECTATIVA</t>
  </si>
  <si>
    <t>EXPECT</t>
  </si>
  <si>
    <t>EXPEDICAO</t>
  </si>
  <si>
    <t>EXPED</t>
  </si>
  <si>
    <t>EXPEDIDOR</t>
  </si>
  <si>
    <t>EXPEDIENTE</t>
  </si>
  <si>
    <t>EXPEDIEN</t>
  </si>
  <si>
    <t>EXPERIENCIA</t>
  </si>
  <si>
    <t>EXPER</t>
  </si>
  <si>
    <t>EXPIRACAO</t>
  </si>
  <si>
    <t>EXPIR</t>
  </si>
  <si>
    <t>EXPLORACAO</t>
  </si>
  <si>
    <t>EXPLOR</t>
  </si>
  <si>
    <t>EXPLORADO</t>
  </si>
  <si>
    <t>EXPLOSIVO</t>
  </si>
  <si>
    <t>EXPLOS</t>
  </si>
  <si>
    <t>EXPOENTE</t>
  </si>
  <si>
    <t>EXPOEN</t>
  </si>
  <si>
    <t>EXPORTACAO</t>
  </si>
  <si>
    <t>EXPORT</t>
  </si>
  <si>
    <t>EXPOSICAO</t>
  </si>
  <si>
    <t>EXPOS</t>
  </si>
  <si>
    <t>EXPOSTO</t>
  </si>
  <si>
    <t>EXPRESSA</t>
  </si>
  <si>
    <t>EXPRESS</t>
  </si>
  <si>
    <t>EXPRESSAO</t>
  </si>
  <si>
    <t>EXPRESSO</t>
  </si>
  <si>
    <t>EXPURGADA</t>
  </si>
  <si>
    <t>EXPURG</t>
  </si>
  <si>
    <t>EXPURGO</t>
  </si>
  <si>
    <t>EXTENSAO</t>
  </si>
  <si>
    <t>EXTEN</t>
  </si>
  <si>
    <t>EXTENSIVA</t>
  </si>
  <si>
    <t>EXTENSOR</t>
  </si>
  <si>
    <t>EXTERIOR</t>
  </si>
  <si>
    <t>EXT</t>
  </si>
  <si>
    <t>EXTERNA</t>
  </si>
  <si>
    <t>EXTERNO</t>
  </si>
  <si>
    <t>EXTINCAO</t>
  </si>
  <si>
    <t>EXTIN</t>
  </si>
  <si>
    <t>EXTRACAO</t>
  </si>
  <si>
    <t>EXTR</t>
  </si>
  <si>
    <t>EXTRAIDA</t>
  </si>
  <si>
    <t>EXTRAIDO</t>
  </si>
  <si>
    <t>EXTRANET</t>
  </si>
  <si>
    <t>EXTRAN</t>
  </si>
  <si>
    <t>EXTRAORDINARIA</t>
  </si>
  <si>
    <t>EXTRA</t>
  </si>
  <si>
    <t>EXTRATO</t>
  </si>
  <si>
    <t>EXTRAT</t>
  </si>
  <si>
    <t>EXTRATOR</t>
  </si>
  <si>
    <t>EXTRAVIADA</t>
  </si>
  <si>
    <t>EXTRAV</t>
  </si>
  <si>
    <t>EXTRAVIO</t>
  </si>
  <si>
    <t>FABRICA</t>
  </si>
  <si>
    <t>FABR</t>
  </si>
  <si>
    <t>FABRICACAO</t>
  </si>
  <si>
    <t>FABRICANTE</t>
  </si>
  <si>
    <t>FABRICO</t>
  </si>
  <si>
    <t>FACILITADOR</t>
  </si>
  <si>
    <t>FACIL</t>
  </si>
  <si>
    <t>FACTORING</t>
  </si>
  <si>
    <t>FACTOR</t>
  </si>
  <si>
    <t>FACULDADE</t>
  </si>
  <si>
    <t>FACULD</t>
  </si>
  <si>
    <t>FACULTATIVA</t>
  </si>
  <si>
    <t>FACULT</t>
  </si>
  <si>
    <t>FACULTATIVO</t>
  </si>
  <si>
    <t>FALENCIA</t>
  </si>
  <si>
    <t>FALEN</t>
  </si>
  <si>
    <t>FALTANTE</t>
  </si>
  <si>
    <t>FALTA</t>
  </si>
  <si>
    <t>FAMILIA</t>
  </si>
  <si>
    <t>FAM</t>
  </si>
  <si>
    <t>FAMILIAR</t>
  </si>
  <si>
    <t>FANTASIA</t>
  </si>
  <si>
    <t>FANT</t>
  </si>
  <si>
    <t>FARMACIA</t>
  </si>
  <si>
    <t>FATURA</t>
  </si>
  <si>
    <t>FAT</t>
  </si>
  <si>
    <t>FATURADO</t>
  </si>
  <si>
    <t>FATURAMENTO</t>
  </si>
  <si>
    <t>FAVORECIDO</t>
  </si>
  <si>
    <t>FAVOR</t>
  </si>
  <si>
    <t>FCI</t>
  </si>
  <si>
    <t>FICHA CONTEUDO IMPORTAÇÃO</t>
  </si>
  <si>
    <t>FCP</t>
  </si>
  <si>
    <t>Fundo de Combate a Pobreza</t>
  </si>
  <si>
    <t>FECHADO</t>
  </si>
  <si>
    <t>FECH</t>
  </si>
  <si>
    <t>FECHADURA</t>
  </si>
  <si>
    <t>FECHAMENTO</t>
  </si>
  <si>
    <t>FEDERACAO</t>
  </si>
  <si>
    <t>FEDER</t>
  </si>
  <si>
    <t>FEDERAL</t>
  </si>
  <si>
    <t>FEDERATIVA</t>
  </si>
  <si>
    <t>FEMININO</t>
  </si>
  <si>
    <t>FEM</t>
  </si>
  <si>
    <t>FERRAMENTA</t>
  </si>
  <si>
    <t>FERRAM</t>
  </si>
  <si>
    <t>FEVEREIRO</t>
  </si>
  <si>
    <t>FEV</t>
  </si>
  <si>
    <t>FGTS</t>
  </si>
  <si>
    <t>Fundo de Garantia do Tempo de Serviço</t>
  </si>
  <si>
    <t>FICTICIA</t>
  </si>
  <si>
    <t>FICT</t>
  </si>
  <si>
    <t>FICTICIO</t>
  </si>
  <si>
    <t>FIDELIDADE</t>
  </si>
  <si>
    <t>FIDE</t>
  </si>
  <si>
    <t>FIDUCIARIA</t>
  </si>
  <si>
    <t>FIDUC</t>
  </si>
  <si>
    <t>FILIACAO</t>
  </si>
  <si>
    <t>FILIAC</t>
  </si>
  <si>
    <t>FINAL</t>
  </si>
  <si>
    <t>FIM</t>
  </si>
  <si>
    <t>FINALIDADE</t>
  </si>
  <si>
    <t>FINANCEIRA</t>
  </si>
  <si>
    <t>FINANC</t>
  </si>
  <si>
    <t>FINANCEIRO</t>
  </si>
  <si>
    <t>FINANCIADA</t>
  </si>
  <si>
    <t>FINANCIADO</t>
  </si>
  <si>
    <t>FINANCIADORA</t>
  </si>
  <si>
    <t>FINANCIAMENTO</t>
  </si>
  <si>
    <t>FISCALIZACAO</t>
  </si>
  <si>
    <t>FISCAL</t>
  </si>
  <si>
    <t>FISICA</t>
  </si>
  <si>
    <t>FIS</t>
  </si>
  <si>
    <t>FISICO</t>
  </si>
  <si>
    <t>FISIOTERAPIA</t>
  </si>
  <si>
    <t>FISIOT</t>
  </si>
  <si>
    <t>FLEXIBILIZACAO</t>
  </si>
  <si>
    <t>FLEXIB</t>
  </si>
  <si>
    <t>FLEXIBILIZADO</t>
  </si>
  <si>
    <t>FLEXIVEL</t>
  </si>
  <si>
    <t>FLEX</t>
  </si>
  <si>
    <t>FLOATING</t>
  </si>
  <si>
    <t>FLOAT</t>
  </si>
  <si>
    <t>FLORESTAL</t>
  </si>
  <si>
    <t>FLOR</t>
  </si>
  <si>
    <t>FLUTUACAO</t>
  </si>
  <si>
    <t>FLUTUA</t>
  </si>
  <si>
    <t>FLUTUANTE</t>
  </si>
  <si>
    <t>FLV</t>
  </si>
  <si>
    <t>Frutas Legumes Verduras</t>
  </si>
  <si>
    <t>FOB</t>
  </si>
  <si>
    <t>Free on board (Pão de Açucar paga o frete)</t>
  </si>
  <si>
    <t>FONETICA</t>
  </si>
  <si>
    <t>FONET</t>
  </si>
  <si>
    <t>FONETICO</t>
  </si>
  <si>
    <t>FORMACAO</t>
  </si>
  <si>
    <t>FORMA</t>
  </si>
  <si>
    <t>FORMADOR</t>
  </si>
  <si>
    <t>FORMALIZACAO</t>
  </si>
  <si>
    <t>FORMATACAO</t>
  </si>
  <si>
    <t>FORMATADO</t>
  </si>
  <si>
    <t>FORMATO</t>
  </si>
  <si>
    <t>FORMULARIO</t>
  </si>
  <si>
    <t>FORM</t>
  </si>
  <si>
    <t>FORNECEDOR</t>
  </si>
  <si>
    <t>FORNEC</t>
  </si>
  <si>
    <t>FORNECIMENTO</t>
  </si>
  <si>
    <t>FOTOGRAFIA</t>
  </si>
  <si>
    <t>FOTO</t>
  </si>
  <si>
    <t>FOTOGRAFO</t>
  </si>
  <si>
    <t>FRACIONAMENTO</t>
  </si>
  <si>
    <t>FRAC</t>
  </si>
  <si>
    <t>FRANQUIA</t>
  </si>
  <si>
    <t>FRANQ</t>
  </si>
  <si>
    <t>FREATICO</t>
  </si>
  <si>
    <t>FREAT</t>
  </si>
  <si>
    <t>FRENTE</t>
  </si>
  <si>
    <t>FRENT</t>
  </si>
  <si>
    <t>FREQUENCIA</t>
  </si>
  <si>
    <t>FREQ</t>
  </si>
  <si>
    <t>FUMANTE</t>
  </si>
  <si>
    <t>FUM</t>
  </si>
  <si>
    <t>FUNCAO</t>
  </si>
  <si>
    <t>FUNCIONAL</t>
  </si>
  <si>
    <t>FUNCIONALIDADE</t>
  </si>
  <si>
    <t>FUNCIONAMENTO</t>
  </si>
  <si>
    <t>FUNCIONARIO</t>
  </si>
  <si>
    <t>FUNDACAO</t>
  </si>
  <si>
    <t>FUNDAC</t>
  </si>
  <si>
    <t>FUTEBOL</t>
  </si>
  <si>
    <t>FUTEB</t>
  </si>
  <si>
    <t>FUTURO</t>
  </si>
  <si>
    <t>FUT</t>
  </si>
  <si>
    <t>GALPAO</t>
  </si>
  <si>
    <t>GALP</t>
  </si>
  <si>
    <t>GANHADOR</t>
  </si>
  <si>
    <t>GAN</t>
  </si>
  <si>
    <t>GANHO</t>
  </si>
  <si>
    <t>GARAGEM</t>
  </si>
  <si>
    <t>GARAG</t>
  </si>
  <si>
    <t>GARANTIA</t>
  </si>
  <si>
    <t>GARANT</t>
  </si>
  <si>
    <t>GARANTIDA</t>
  </si>
  <si>
    <t>GARANTIDO</t>
  </si>
  <si>
    <t>GARANTIDOR</t>
  </si>
  <si>
    <t>GENERICA</t>
  </si>
  <si>
    <t>GENER</t>
  </si>
  <si>
    <t>GENERICO</t>
  </si>
  <si>
    <t>GEOGRAFICA</t>
  </si>
  <si>
    <t>GEOGR</t>
  </si>
  <si>
    <t>GERADA</t>
  </si>
  <si>
    <t>GERAD</t>
  </si>
  <si>
    <t>GERADO</t>
  </si>
  <si>
    <t>GERADOR</t>
  </si>
  <si>
    <t>GERENCIA</t>
  </si>
  <si>
    <t>GERENC</t>
  </si>
  <si>
    <t>GERENCIADA</t>
  </si>
  <si>
    <t>GERENCIADOR</t>
  </si>
  <si>
    <t>GERENCIAL</t>
  </si>
  <si>
    <t>GERENCIAMENTO</t>
  </si>
  <si>
    <t>GESTACAO</t>
  </si>
  <si>
    <t>GESTAC</t>
  </si>
  <si>
    <t>GESTAO</t>
  </si>
  <si>
    <t>GEST</t>
  </si>
  <si>
    <t>GESTOR</t>
  </si>
  <si>
    <t>GESTORA</t>
  </si>
  <si>
    <t>GLOSADO</t>
  </si>
  <si>
    <t>GLOSA</t>
  </si>
  <si>
    <t>GLOSSARIO</t>
  </si>
  <si>
    <t>GLOSS</t>
  </si>
  <si>
    <t>GONDOLA</t>
  </si>
  <si>
    <t>GOND</t>
  </si>
  <si>
    <t>GÔNDOLA</t>
  </si>
  <si>
    <t>GOVERNANCA</t>
  </si>
  <si>
    <t>GOV</t>
  </si>
  <si>
    <t>GOVERNO</t>
  </si>
  <si>
    <t>GRADUACAO</t>
  </si>
  <si>
    <t>GRADUA</t>
  </si>
  <si>
    <t>GRAFICA</t>
  </si>
  <si>
    <t>GRAF</t>
  </si>
  <si>
    <t>GRAFICO</t>
  </si>
  <si>
    <t>GRAMAGEM</t>
  </si>
  <si>
    <t>GRAMA</t>
  </si>
  <si>
    <t>GRANDE</t>
  </si>
  <si>
    <t>GDE</t>
  </si>
  <si>
    <t>GRANDEZA</t>
  </si>
  <si>
    <t>GRATIFICACAO</t>
  </si>
  <si>
    <t>GRATIF</t>
  </si>
  <si>
    <t>GRAVACAO</t>
  </si>
  <si>
    <t>GRAV</t>
  </si>
  <si>
    <t>GRAVADO</t>
  </si>
  <si>
    <t>GRUPAMENTO</t>
  </si>
  <si>
    <t>GRU</t>
  </si>
  <si>
    <t>GRUPO</t>
  </si>
  <si>
    <t>GUARNICAO</t>
  </si>
  <si>
    <t>GUARN</t>
  </si>
  <si>
    <t>HABILITACAO</t>
  </si>
  <si>
    <t>HABIL</t>
  </si>
  <si>
    <t>HABILITADA</t>
  </si>
  <si>
    <t>HABILITADO</t>
  </si>
  <si>
    <t>HABITACIONAL</t>
  </si>
  <si>
    <t>HABIT</t>
  </si>
  <si>
    <t>HABITESE</t>
  </si>
  <si>
    <t>HABITUAL</t>
  </si>
  <si>
    <t>HAB</t>
  </si>
  <si>
    <t>HARDWARE</t>
  </si>
  <si>
    <t>HDW</t>
  </si>
  <si>
    <t>HARMONIZAÇÃO</t>
  </si>
  <si>
    <t>HARM</t>
  </si>
  <si>
    <t>HELICOPTERO</t>
  </si>
  <si>
    <t>HELIC</t>
  </si>
  <si>
    <t>HIBRIDO</t>
  </si>
  <si>
    <t>HIBR</t>
  </si>
  <si>
    <t>HIDRATADO</t>
  </si>
  <si>
    <t>HIDRAT</t>
  </si>
  <si>
    <t>HIDRAULICA</t>
  </si>
  <si>
    <t>HIDRAU</t>
  </si>
  <si>
    <t>HIDROGRAFICO</t>
  </si>
  <si>
    <t>HIDROG</t>
  </si>
  <si>
    <t>HIDROPONICO</t>
  </si>
  <si>
    <t>HIDROP</t>
  </si>
  <si>
    <t>HIERARQUIA</t>
  </si>
  <si>
    <t>HIER</t>
  </si>
  <si>
    <t>HIERARQUICO</t>
  </si>
  <si>
    <t>HIPOALERGENICO</t>
  </si>
  <si>
    <t>HIPOAL</t>
  </si>
  <si>
    <t>HIPOTECA</t>
  </si>
  <si>
    <t>HIPOT</t>
  </si>
  <si>
    <t>HIPOTECARIA</t>
  </si>
  <si>
    <t>HISTORICA</t>
  </si>
  <si>
    <t>HIST</t>
  </si>
  <si>
    <t>HISTORICO</t>
  </si>
  <si>
    <t>HOLDING</t>
  </si>
  <si>
    <t>HOLD</t>
  </si>
  <si>
    <t>HOMOLOGACAO</t>
  </si>
  <si>
    <t>HOMO </t>
  </si>
  <si>
    <t>HONORARIO</t>
  </si>
  <si>
    <t>HONOR</t>
  </si>
  <si>
    <t>HONORARIOS</t>
  </si>
  <si>
    <t>HORA</t>
  </si>
  <si>
    <t>HOR</t>
  </si>
  <si>
    <t>HORARIO</t>
  </si>
  <si>
    <t>HORIZONTAL</t>
  </si>
  <si>
    <t>HORIZ</t>
  </si>
  <si>
    <t>HOSPEDA</t>
  </si>
  <si>
    <t>HOSP</t>
  </si>
  <si>
    <t>HOSPEDADA</t>
  </si>
  <si>
    <t>HOSPEDADO</t>
  </si>
  <si>
    <t>HOSPEDAR</t>
  </si>
  <si>
    <t>HOSPITAL</t>
  </si>
  <si>
    <t>HOSPIT</t>
  </si>
  <si>
    <t>HOSPITALAR</t>
  </si>
  <si>
    <t>ICMS</t>
  </si>
  <si>
    <t>Imposto sobre Operações Relativas à Circulação de Mercadorias e Serviços de Transporte Interestadual, Intermunicipal e de Comunicações</t>
  </si>
  <si>
    <t>IDENTIDADE</t>
  </si>
  <si>
    <t>IDT</t>
  </si>
  <si>
    <t>IDENTIFICA</t>
  </si>
  <si>
    <t>IDENTIFICACAO</t>
  </si>
  <si>
    <t>IDENTIFICADA</t>
  </si>
  <si>
    <t>IDENTIFICADO</t>
  </si>
  <si>
    <t>IDENTIFICADOR</t>
  </si>
  <si>
    <t xml:space="preserve">IDT (sufixo) ou ID (outras) </t>
  </si>
  <si>
    <t>IDENTIFICADORA</t>
  </si>
  <si>
    <t>ILUMINACAO</t>
  </si>
  <si>
    <t>ILUM</t>
  </si>
  <si>
    <t>IMAGEM</t>
  </si>
  <si>
    <t>IMG</t>
  </si>
  <si>
    <t>IMEDIATA</t>
  </si>
  <si>
    <t>IMED</t>
  </si>
  <si>
    <t>IMEDIATO</t>
  </si>
  <si>
    <t>IMOBILIARIA</t>
  </si>
  <si>
    <t>IMOBIL</t>
  </si>
  <si>
    <t>IMOBILIARIO</t>
  </si>
  <si>
    <t>IMOBILIZACAO</t>
  </si>
  <si>
    <t>IMOBILIZ</t>
  </si>
  <si>
    <t>IMOBILIZADO</t>
  </si>
  <si>
    <t>IMOVEL</t>
  </si>
  <si>
    <t>IMOV</t>
  </si>
  <si>
    <t>IMPEDIDA</t>
  </si>
  <si>
    <t>IMPED</t>
  </si>
  <si>
    <t>IMPEDIDO</t>
  </si>
  <si>
    <t>IMPEDIMENTO</t>
  </si>
  <si>
    <t>IMPEDITIVO</t>
  </si>
  <si>
    <t>IMPETRANTE</t>
  </si>
  <si>
    <t>IMPETRA</t>
  </si>
  <si>
    <t>IMPLANTACAO</t>
  </si>
  <si>
    <t>IMPLAN</t>
  </si>
  <si>
    <t>IMPLANTADO</t>
  </si>
  <si>
    <t>IMPLEMENTADA</t>
  </si>
  <si>
    <t>IMPLEM</t>
  </si>
  <si>
    <t>IMPLEMENTADO</t>
  </si>
  <si>
    <t>IMPLEMENTO</t>
  </si>
  <si>
    <t>IMPONTUALIDADE</t>
  </si>
  <si>
    <t>IMPONT</t>
  </si>
  <si>
    <t>IMPORTACAO</t>
  </si>
  <si>
    <t>IMPORT </t>
  </si>
  <si>
    <t>IMPORTADO</t>
  </si>
  <si>
    <t>IMPORTADOR</t>
  </si>
  <si>
    <t>IMPOSTO</t>
  </si>
  <si>
    <t>IMP</t>
  </si>
  <si>
    <t>IMPRESSA</t>
  </si>
  <si>
    <t>IMPRES</t>
  </si>
  <si>
    <t>IMPRESSAO</t>
  </si>
  <si>
    <t>IMPRESSO</t>
  </si>
  <si>
    <t>IMPRESSORA</t>
  </si>
  <si>
    <t>IMPUGNACAO</t>
  </si>
  <si>
    <t>IMPUGNA</t>
  </si>
  <si>
    <t>IMPUTADO</t>
  </si>
  <si>
    <t>IMPUT</t>
  </si>
  <si>
    <t>INADIMPLENCIA</t>
  </si>
  <si>
    <t>INADIM</t>
  </si>
  <si>
    <t>INADIMPLENTE</t>
  </si>
  <si>
    <t>INATIVA</t>
  </si>
  <si>
    <t>INAT</t>
  </si>
  <si>
    <t>INATIVACAO</t>
  </si>
  <si>
    <t>INATIVADOR</t>
  </si>
  <si>
    <t>INATIVIDADE</t>
  </si>
  <si>
    <t>INATIVO</t>
  </si>
  <si>
    <t>INAUGURACAO</t>
  </si>
  <si>
    <t>INAUG</t>
  </si>
  <si>
    <t>INCAPACIDADE</t>
  </si>
  <si>
    <t>INCAPAC</t>
  </si>
  <si>
    <t>INCENTIVO</t>
  </si>
  <si>
    <t>INCENT</t>
  </si>
  <si>
    <t>INCIDENCIA</t>
  </si>
  <si>
    <t>INCID</t>
  </si>
  <si>
    <t>INCLUIDA</t>
  </si>
  <si>
    <t>INCL</t>
  </si>
  <si>
    <t>INCLUIDO</t>
  </si>
  <si>
    <t>INCLUIR</t>
  </si>
  <si>
    <t>INCLUSAO</t>
  </si>
  <si>
    <t>INCOMPATIBILIDADE</t>
  </si>
  <si>
    <t>INCOMP</t>
  </si>
  <si>
    <t>INCOMPATIVEL</t>
  </si>
  <si>
    <t>INCOMPLETA</t>
  </si>
  <si>
    <t>INCOMPL</t>
  </si>
  <si>
    <t>INCOMPLETO</t>
  </si>
  <si>
    <t>INCONDICIONAL</t>
  </si>
  <si>
    <t>INCOND</t>
  </si>
  <si>
    <t>INCONSISTENCIA</t>
  </si>
  <si>
    <t>INCONS</t>
  </si>
  <si>
    <t>INCONSISTENTE</t>
  </si>
  <si>
    <t>INCORPORACAO</t>
  </si>
  <si>
    <t>INCORP</t>
  </si>
  <si>
    <t>INCORPORADA</t>
  </si>
  <si>
    <t>INCORPORADO</t>
  </si>
  <si>
    <t>INCORPORADOR</t>
  </si>
  <si>
    <t>INCORPORADORA</t>
  </si>
  <si>
    <t>INCORRETO</t>
  </si>
  <si>
    <t>INCORR</t>
  </si>
  <si>
    <t>INCREMENTAL</t>
  </si>
  <si>
    <t>INCREM</t>
  </si>
  <si>
    <t>INCREMENTO</t>
  </si>
  <si>
    <t>INDEFERIDO</t>
  </si>
  <si>
    <t>INDEFER</t>
  </si>
  <si>
    <t>INDEFINIDA</t>
  </si>
  <si>
    <t>INDEF</t>
  </si>
  <si>
    <t>INDENIZACAO</t>
  </si>
  <si>
    <t>INDEN</t>
  </si>
  <si>
    <t>INDENIZADO</t>
  </si>
  <si>
    <t>INDEPENDENTE</t>
  </si>
  <si>
    <t>INDEP</t>
  </si>
  <si>
    <t>INDETERMINADO</t>
  </si>
  <si>
    <t>INDET</t>
  </si>
  <si>
    <t>INDEXADA</t>
  </si>
  <si>
    <t>INDEX</t>
  </si>
  <si>
    <t>INDEXADO</t>
  </si>
  <si>
    <t>INDEXADOR</t>
  </si>
  <si>
    <t>INDICACAO</t>
  </si>
  <si>
    <t>IND</t>
  </si>
  <si>
    <t>INDICADA</t>
  </si>
  <si>
    <t>INDICADO</t>
  </si>
  <si>
    <t>INDICADOR</t>
  </si>
  <si>
    <t>INDICATIVO</t>
  </si>
  <si>
    <t>INDIFERENTE</t>
  </si>
  <si>
    <t>INDIFER</t>
  </si>
  <si>
    <t>INDISPONIBILIDADE</t>
  </si>
  <si>
    <t>INDISP</t>
  </si>
  <si>
    <t>INDIVIDUAL</t>
  </si>
  <si>
    <t>INDIVID</t>
  </si>
  <si>
    <t>INDIVIDUALIZACAO</t>
  </si>
  <si>
    <t>INDIVIDUALIZADO</t>
  </si>
  <si>
    <t>INDUSTRIAL</t>
  </si>
  <si>
    <t>INDUST</t>
  </si>
  <si>
    <t>INDUTIVO</t>
  </si>
  <si>
    <t>INDUT</t>
  </si>
  <si>
    <t>INESPERADO</t>
  </si>
  <si>
    <t>INESP</t>
  </si>
  <si>
    <t>INFERIOR</t>
  </si>
  <si>
    <t>INFER</t>
  </si>
  <si>
    <t>INFLACAO</t>
  </si>
  <si>
    <t>INFL</t>
  </si>
  <si>
    <t>INFLUENCIA</t>
  </si>
  <si>
    <t>INFLU</t>
  </si>
  <si>
    <t>INFORMACAO</t>
  </si>
  <si>
    <t>INF</t>
  </si>
  <si>
    <t>INFORMAÇÃO NUTRICIONAL</t>
  </si>
  <si>
    <t>INFNUT</t>
  </si>
  <si>
    <t>INFORMADA</t>
  </si>
  <si>
    <t>INFORMADO</t>
  </si>
  <si>
    <t>INFORMANTE</t>
  </si>
  <si>
    <t>INFORMATICA</t>
  </si>
  <si>
    <t>INFO</t>
  </si>
  <si>
    <t>INFORMATIVO</t>
  </si>
  <si>
    <t>INFORMATIZADO</t>
  </si>
  <si>
    <t>INFRACAO</t>
  </si>
  <si>
    <t>INFR</t>
  </si>
  <si>
    <t>INFRA-ESTRUTURA </t>
  </si>
  <si>
    <t>INFRA</t>
  </si>
  <si>
    <t>INGESTAO</t>
  </si>
  <si>
    <t>INGE</t>
  </si>
  <si>
    <t>INGREDIENTE</t>
  </si>
  <si>
    <t>INGRED</t>
  </si>
  <si>
    <t>INIBICAO</t>
  </si>
  <si>
    <t>INIB</t>
  </si>
  <si>
    <t>INICIADO</t>
  </si>
  <si>
    <t>INI</t>
  </si>
  <si>
    <t>INICIAL</t>
  </si>
  <si>
    <t>INICIALIZADOR</t>
  </si>
  <si>
    <t>INICIATIVA</t>
  </si>
  <si>
    <t>INICIO</t>
  </si>
  <si>
    <t>INJUSTIFICAVEL</t>
  </si>
  <si>
    <t>INJUST</t>
  </si>
  <si>
    <t>INOPERANCIA</t>
  </si>
  <si>
    <t>INOPER</t>
  </si>
  <si>
    <t>INOPERANTE</t>
  </si>
  <si>
    <t>INQUERITO</t>
  </si>
  <si>
    <t>INQUER</t>
  </si>
  <si>
    <t>INSALUBRIDADE</t>
  </si>
  <si>
    <t>INSALUB</t>
  </si>
  <si>
    <t>INSATISFATORIO</t>
  </si>
  <si>
    <t>INSATISF</t>
  </si>
  <si>
    <t>INSATISFEITO</t>
  </si>
  <si>
    <t>INSCRICAO</t>
  </si>
  <si>
    <t>INSCR</t>
  </si>
  <si>
    <t>INSERCAO</t>
  </si>
  <si>
    <t>INSOLUVEL</t>
  </si>
  <si>
    <t>INSOL</t>
  </si>
  <si>
    <t>INSPECAO</t>
  </si>
  <si>
    <t>INSPEC</t>
  </si>
  <si>
    <t>INSPECIONADO</t>
  </si>
  <si>
    <t>INSPETOR</t>
  </si>
  <si>
    <t>INSPET</t>
  </si>
  <si>
    <t>INSPETORIA</t>
  </si>
  <si>
    <t>INSS</t>
  </si>
  <si>
    <t>Instituto Nacional da Seguridade Nacional</t>
  </si>
  <si>
    <t>INSTALACAO</t>
  </si>
  <si>
    <t>INSTAL</t>
  </si>
  <si>
    <t>INSTANCIA</t>
  </si>
  <si>
    <t>INSTA</t>
  </si>
  <si>
    <t>INSTANTANEO</t>
  </si>
  <si>
    <t>INSTAN</t>
  </si>
  <si>
    <t>INSTITUCIONAL</t>
  </si>
  <si>
    <t>INSTIT</t>
  </si>
  <si>
    <t>INSTITUICAO</t>
  </si>
  <si>
    <t>INSTITUTO</t>
  </si>
  <si>
    <t>INSTRUCAO</t>
  </si>
  <si>
    <t>INSTR</t>
  </si>
  <si>
    <t>INSTRUMENTO</t>
  </si>
  <si>
    <t>INSTRUM</t>
  </si>
  <si>
    <t>INSUCESSO</t>
  </si>
  <si>
    <t>INSUC</t>
  </si>
  <si>
    <t>INSUFICIENCIA</t>
  </si>
  <si>
    <t>INSUF</t>
  </si>
  <si>
    <t>INSUFICIENTE</t>
  </si>
  <si>
    <t>INTEGRACAO</t>
  </si>
  <si>
    <t>INTEG</t>
  </si>
  <si>
    <t>INTEGRADA</t>
  </si>
  <si>
    <t>INTEGRADO</t>
  </si>
  <si>
    <t>INTEGRADOR</t>
  </si>
  <si>
    <t>INTEGRAL</t>
  </si>
  <si>
    <t>INTEGR</t>
  </si>
  <si>
    <t>INTEGRALIZACAO</t>
  </si>
  <si>
    <t>INTEGRALIZADA</t>
  </si>
  <si>
    <t>INTEGRIDADE</t>
  </si>
  <si>
    <t>INTEGRID</t>
  </si>
  <si>
    <t>INTEIRO</t>
  </si>
  <si>
    <t>INT</t>
  </si>
  <si>
    <t>INTENSIDADE</t>
  </si>
  <si>
    <t>INTENS</t>
  </si>
  <si>
    <t>INTENSIVA</t>
  </si>
  <si>
    <t>INTENSIVO</t>
  </si>
  <si>
    <t>INTERATIVO</t>
  </si>
  <si>
    <t>INTERA</t>
  </si>
  <si>
    <t>INTERBANCARIA</t>
  </si>
  <si>
    <t>INTERB</t>
  </si>
  <si>
    <t>INTERCAMBIO</t>
  </si>
  <si>
    <t>INTERC</t>
  </si>
  <si>
    <t>INTERDEPARTAMENTAL</t>
  </si>
  <si>
    <t>INTERDEPT</t>
  </si>
  <si>
    <t>INTERFACE</t>
  </si>
  <si>
    <t>INTERF</t>
  </si>
  <si>
    <t>INTERLIGADA</t>
  </si>
  <si>
    <t>INTERL</t>
  </si>
  <si>
    <t>INTERMEDIARIA</t>
  </si>
  <si>
    <t>INTERM</t>
  </si>
  <si>
    <t>INTERNA</t>
  </si>
  <si>
    <t>INTERNACAO</t>
  </si>
  <si>
    <t>INTERN</t>
  </si>
  <si>
    <t>INTERNACIONAL</t>
  </si>
  <si>
    <t>INTERNAC</t>
  </si>
  <si>
    <t>INTERNADA</t>
  </si>
  <si>
    <t>INTERNADO</t>
  </si>
  <si>
    <t>INTERVALO</t>
  </si>
  <si>
    <t>INTERV</t>
  </si>
  <si>
    <t>INTERVENCAO</t>
  </si>
  <si>
    <t>INTERVEN</t>
  </si>
  <si>
    <t>INTERVENIENCIA</t>
  </si>
  <si>
    <t>INTERVN</t>
  </si>
  <si>
    <t>INTERVENIENTE</t>
  </si>
  <si>
    <t>INUTILIZADO</t>
  </si>
  <si>
    <t>INUTILIZ</t>
  </si>
  <si>
    <t>INVALIDEZ</t>
  </si>
  <si>
    <t>INVAL</t>
  </si>
  <si>
    <t>INVALIDO</t>
  </si>
  <si>
    <t>INVENTARIANTE</t>
  </si>
  <si>
    <t>INVENT</t>
  </si>
  <si>
    <t>INVENTARIO</t>
  </si>
  <si>
    <t>INVERSAO</t>
  </si>
  <si>
    <t>INVERS</t>
  </si>
  <si>
    <t>INVERTIDA</t>
  </si>
  <si>
    <t>INVERT</t>
  </si>
  <si>
    <t>INVERTIDO</t>
  </si>
  <si>
    <t>INVESTIDA</t>
  </si>
  <si>
    <t>INVEST</t>
  </si>
  <si>
    <t>INVESTIDOR</t>
  </si>
  <si>
    <t>INVESTIDORA</t>
  </si>
  <si>
    <t>INVESTIMENTO</t>
  </si>
  <si>
    <t>IOF</t>
  </si>
  <si>
    <t>Imposto sobre Operações Financeiras</t>
  </si>
  <si>
    <t>IP</t>
  </si>
  <si>
    <t>Internet Protocol</t>
  </si>
  <si>
    <t>IPI</t>
  </si>
  <si>
    <t>Imposto sobre Produtos Industrializados</t>
  </si>
  <si>
    <t>IRPF</t>
  </si>
  <si>
    <t>Imposto de Renda Pessoa Física</t>
  </si>
  <si>
    <t>IRPJ</t>
  </si>
  <si>
    <t>Imposto de Renda Pessoa Jurídica</t>
  </si>
  <si>
    <t>IRREGULAR</t>
  </si>
  <si>
    <t>IRREG</t>
  </si>
  <si>
    <t>IRREGULARIDADE</t>
  </si>
  <si>
    <t>ISENCAO</t>
  </si>
  <si>
    <t>ISENC</t>
  </si>
  <si>
    <t>ISS</t>
  </si>
  <si>
    <t>Imposto Sobre Serviços</t>
  </si>
  <si>
    <t>ITBI</t>
  </si>
  <si>
    <t>Imposto sobre Transmissão de Bens Inter Vivos</t>
  </si>
  <si>
    <t>ITEM</t>
  </si>
  <si>
    <t>ITINERARIO</t>
  </si>
  <si>
    <t>ITINER</t>
  </si>
  <si>
    <t>ITR</t>
  </si>
  <si>
    <t>Imposto sobre a Propriedade Territorial Rural</t>
  </si>
  <si>
    <t>JANEIRO</t>
  </si>
  <si>
    <t>JAN</t>
  </si>
  <si>
    <t>JANTAR</t>
  </si>
  <si>
    <t>JANT</t>
  </si>
  <si>
    <t>JAPONESA</t>
  </si>
  <si>
    <t>JAP</t>
  </si>
  <si>
    <t>JOBNAME</t>
  </si>
  <si>
    <t>JOB</t>
  </si>
  <si>
    <t>JORNADA</t>
  </si>
  <si>
    <t>JORN</t>
  </si>
  <si>
    <t>JUDICIAL</t>
  </si>
  <si>
    <t>JUDIC</t>
  </si>
  <si>
    <t>JUDICIARIA</t>
  </si>
  <si>
    <t>JUDICIARIO</t>
  </si>
  <si>
    <t>JULGADOR</t>
  </si>
  <si>
    <t>JULG</t>
  </si>
  <si>
    <t>JULGAMENTO</t>
  </si>
  <si>
    <t>JULHO</t>
  </si>
  <si>
    <t>JUL</t>
  </si>
  <si>
    <t>JULIANA</t>
  </si>
  <si>
    <t>JULI</t>
  </si>
  <si>
    <t>JULIANO</t>
  </si>
  <si>
    <t>JUNCAO</t>
  </si>
  <si>
    <t>JUNC</t>
  </si>
  <si>
    <t>JUNHO</t>
  </si>
  <si>
    <t>JUN</t>
  </si>
  <si>
    <t>JURIDICA</t>
  </si>
  <si>
    <t>JURID</t>
  </si>
  <si>
    <t>JURIDICO</t>
  </si>
  <si>
    <t>JURISDICAO</t>
  </si>
  <si>
    <t>JURISD</t>
  </si>
  <si>
    <t>JURISPRUDENCIA</t>
  </si>
  <si>
    <t>JURISPR</t>
  </si>
  <si>
    <t>JUSTICA</t>
  </si>
  <si>
    <t>JUST</t>
  </si>
  <si>
    <t>JUSTIFICATIVA</t>
  </si>
  <si>
    <t>LABORATORIO</t>
  </si>
  <si>
    <t>LABORAT</t>
  </si>
  <si>
    <t>LANCAMENTO</t>
  </si>
  <si>
    <t>LANCTO</t>
  </si>
  <si>
    <t>LANCHE</t>
  </si>
  <si>
    <t>LANCH</t>
  </si>
  <si>
    <t>LARGURA</t>
  </si>
  <si>
    <t>LARG</t>
  </si>
  <si>
    <t>LAVANDERIA</t>
  </si>
  <si>
    <t>LAVAND</t>
  </si>
  <si>
    <t>LAVRADA</t>
  </si>
  <si>
    <t>LAVR</t>
  </si>
  <si>
    <t>LAVRADO</t>
  </si>
  <si>
    <t>LAVRATURA</t>
  </si>
  <si>
    <t>LEGALIZACAO</t>
  </si>
  <si>
    <t>LEGAL</t>
  </si>
  <si>
    <t>LEGENDA</t>
  </si>
  <si>
    <t>LEG</t>
  </si>
  <si>
    <t>LEGISLACAO</t>
  </si>
  <si>
    <t>LEGIS</t>
  </si>
  <si>
    <t>LEGITIMACAO</t>
  </si>
  <si>
    <t>LEGIT</t>
  </si>
  <si>
    <t>LEILOEIRO</t>
  </si>
  <si>
    <t>LEILO</t>
  </si>
  <si>
    <t>LEITORA</t>
  </si>
  <si>
    <t>LEIT</t>
  </si>
  <si>
    <t>LEITURA</t>
  </si>
  <si>
    <t>LEVANTAMENTO</t>
  </si>
  <si>
    <t>LEVANT</t>
  </si>
  <si>
    <t>LIBERACAO</t>
  </si>
  <si>
    <t>LIBER</t>
  </si>
  <si>
    <t>LIBERADA</t>
  </si>
  <si>
    <t>LIBERADO</t>
  </si>
  <si>
    <t>LIBERADOR</t>
  </si>
  <si>
    <t>LIBERDADE</t>
  </si>
  <si>
    <t>LICENCA</t>
  </si>
  <si>
    <t>LICEN</t>
  </si>
  <si>
    <t>LICENCIAMENTO</t>
  </si>
  <si>
    <t>LICITACAO</t>
  </si>
  <si>
    <t>LICITA</t>
  </si>
  <si>
    <t>LIDERANCA</t>
  </si>
  <si>
    <t>LIDER</t>
  </si>
  <si>
    <t>LIGACAO</t>
  </si>
  <si>
    <t>LIGAC</t>
  </si>
  <si>
    <t>LIGADA</t>
  </si>
  <si>
    <t>LIGAD</t>
  </si>
  <si>
    <t>LIMITE</t>
  </si>
  <si>
    <t>LIM</t>
  </si>
  <si>
    <t>LIMPEZA</t>
  </si>
  <si>
    <t>LIMP</t>
  </si>
  <si>
    <t>LINGUAGEM</t>
  </si>
  <si>
    <t>LINGUAG</t>
  </si>
  <si>
    <t>LIQUIDA</t>
  </si>
  <si>
    <t>LIQ</t>
  </si>
  <si>
    <t>LIQUIDACAO</t>
  </si>
  <si>
    <t>LIQUID</t>
  </si>
  <si>
    <t>LIQUIDADO</t>
  </si>
  <si>
    <t>LIQUIDADORA</t>
  </si>
  <si>
    <t>LIQUIDANTE</t>
  </si>
  <si>
    <t>LIQUIDEZ</t>
  </si>
  <si>
    <t>LIQUIDO</t>
  </si>
  <si>
    <t>LISTAGEM</t>
  </si>
  <si>
    <t>LISTAG</t>
  </si>
  <si>
    <t>LOCACAO</t>
  </si>
  <si>
    <t>LOCA</t>
  </si>
  <si>
    <t>LOCADOR</t>
  </si>
  <si>
    <t>LOCALIDADE</t>
  </si>
  <si>
    <t>LOC</t>
  </si>
  <si>
    <t>LOCALIZACAO</t>
  </si>
  <si>
    <t>LOCALIZADO</t>
  </si>
  <si>
    <t>LOCATARIO</t>
  </si>
  <si>
    <t>LOCOMOCAO</t>
  </si>
  <si>
    <t>LOCOM</t>
  </si>
  <si>
    <t>LOCUCAO</t>
  </si>
  <si>
    <t>LOCUC</t>
  </si>
  <si>
    <t>LOGISTICA</t>
  </si>
  <si>
    <t>LOGIST</t>
  </si>
  <si>
    <t>LOGOMARCA</t>
  </si>
  <si>
    <t>LOGO</t>
  </si>
  <si>
    <t>LOGOTIPO</t>
  </si>
  <si>
    <t>LOGOT</t>
  </si>
  <si>
    <t>LOGRADOURO</t>
  </si>
  <si>
    <t>LOGRAD</t>
  </si>
  <si>
    <t>LOJISTA</t>
  </si>
  <si>
    <t>LOJIS</t>
  </si>
  <si>
    <t>LOTACAO</t>
  </si>
  <si>
    <t>LOTAC</t>
  </si>
  <si>
    <t>LOTERIA</t>
  </si>
  <si>
    <t>LOTER</t>
  </si>
  <si>
    <t>LUCRATIVO</t>
  </si>
  <si>
    <t>LUCR</t>
  </si>
  <si>
    <t>MAGNETICA</t>
  </si>
  <si>
    <t>MAGNET</t>
  </si>
  <si>
    <t>MAGNETICO</t>
  </si>
  <si>
    <t>MAIUSCULA</t>
  </si>
  <si>
    <t>MAIUSC</t>
  </si>
  <si>
    <t>MAJORACAO</t>
  </si>
  <si>
    <t>MAJOR</t>
  </si>
  <si>
    <t>MANDATARIO</t>
  </si>
  <si>
    <t>MANDAT</t>
  </si>
  <si>
    <t>MANDATO</t>
  </si>
  <si>
    <t>MANDATORIO</t>
  </si>
  <si>
    <t>MANIFESTACAO</t>
  </si>
  <si>
    <t>MANIFEST</t>
  </si>
  <si>
    <t>MANOBRA</t>
  </si>
  <si>
    <t>MANOBR</t>
  </si>
  <si>
    <t>MANOBRISTA</t>
  </si>
  <si>
    <t>MANTENEDOR</t>
  </si>
  <si>
    <t>MANTENE</t>
  </si>
  <si>
    <t>MANUTENCAO</t>
  </si>
  <si>
    <t>MANUT</t>
  </si>
  <si>
    <t>MANUTIBILIDADE</t>
  </si>
  <si>
    <t>MAPEAMENTO</t>
  </si>
  <si>
    <t>MAPEAM</t>
  </si>
  <si>
    <t>MARANHAO</t>
  </si>
  <si>
    <t>MA</t>
  </si>
  <si>
    <t>MARCACAO</t>
  </si>
  <si>
    <t>MARCAC</t>
  </si>
  <si>
    <t>MARÇO</t>
  </si>
  <si>
    <t>MAR</t>
  </si>
  <si>
    <t>MARITIMO</t>
  </si>
  <si>
    <t>MARIT</t>
  </si>
  <si>
    <t>MARKETING</t>
  </si>
  <si>
    <t>MKT</t>
  </si>
  <si>
    <t>MASCULINO</t>
  </si>
  <si>
    <t>MASC</t>
  </si>
  <si>
    <t>MATEMATICO</t>
  </si>
  <si>
    <t>MATEM</t>
  </si>
  <si>
    <t>MATRICULA</t>
  </si>
  <si>
    <t>MATRIC</t>
  </si>
  <si>
    <t>MAXIMA</t>
  </si>
  <si>
    <t>MAX</t>
  </si>
  <si>
    <t>MAXIMO</t>
  </si>
  <si>
    <t>MEDIA</t>
  </si>
  <si>
    <t>MED</t>
  </si>
  <si>
    <t>MEDIATO</t>
  </si>
  <si>
    <t>MEDIAT</t>
  </si>
  <si>
    <t>MEDICAMENTO</t>
  </si>
  <si>
    <t>MEDIC</t>
  </si>
  <si>
    <t>MEDICINAL</t>
  </si>
  <si>
    <t>MEDICIN</t>
  </si>
  <si>
    <t>MEDIDA</t>
  </si>
  <si>
    <t>MEDD</t>
  </si>
  <si>
    <t>MEDIO</t>
  </si>
  <si>
    <t>MEGAPIXEL</t>
  </si>
  <si>
    <t>MEGAP</t>
  </si>
  <si>
    <t>MELHORIA</t>
  </si>
  <si>
    <t>MELHOR</t>
  </si>
  <si>
    <t>MEMORIA</t>
  </si>
  <si>
    <t>MEMO</t>
  </si>
  <si>
    <t>MENSAGEM</t>
  </si>
  <si>
    <t>MSG</t>
  </si>
  <si>
    <t>MENSAGERIA</t>
  </si>
  <si>
    <t>MENSAL</t>
  </si>
  <si>
    <t>MES</t>
  </si>
  <si>
    <t>MENSALIDADE</t>
  </si>
  <si>
    <t>MERCADOLOGICA</t>
  </si>
  <si>
    <t>MERCAD</t>
  </si>
  <si>
    <t>MERCADORIA</t>
  </si>
  <si>
    <t>MERCANTE</t>
  </si>
  <si>
    <t>MERCAN</t>
  </si>
  <si>
    <t>MERCANTIL</t>
  </si>
  <si>
    <t>METODOLOGIA</t>
  </si>
  <si>
    <t>METOD</t>
  </si>
  <si>
    <t>METRAGEM</t>
  </si>
  <si>
    <t>METR</t>
  </si>
  <si>
    <t>METRICA</t>
  </si>
  <si>
    <t>METROPOLITANA</t>
  </si>
  <si>
    <t>METROPOL</t>
  </si>
  <si>
    <t>MICRO</t>
  </si>
  <si>
    <t>MCRO</t>
  </si>
  <si>
    <t>MICROFICHA</t>
  </si>
  <si>
    <t>MICROF</t>
  </si>
  <si>
    <t>MICROFILMAGEM</t>
  </si>
  <si>
    <t>MICROFILME</t>
  </si>
  <si>
    <t>MIGRACAO</t>
  </si>
  <si>
    <t>MIGR</t>
  </si>
  <si>
    <t>MIGRADO</t>
  </si>
  <si>
    <t>MILENIO</t>
  </si>
  <si>
    <t>MILEN</t>
  </si>
  <si>
    <t>MINIMA</t>
  </si>
  <si>
    <t>MIN</t>
  </si>
  <si>
    <t>MINIMIZADO</t>
  </si>
  <si>
    <t>MINIMO</t>
  </si>
  <si>
    <t>MINISTERIO</t>
  </si>
  <si>
    <t>MINIST</t>
  </si>
  <si>
    <t>MINISTRADORA</t>
  </si>
  <si>
    <t>MINORITARIA</t>
  </si>
  <si>
    <t>MINOR</t>
  </si>
  <si>
    <t>MNEMONICO</t>
  </si>
  <si>
    <t>MNEM</t>
  </si>
  <si>
    <t>MOBILIARIO</t>
  </si>
  <si>
    <t>MOBIL</t>
  </si>
  <si>
    <t>MODALIDADE</t>
  </si>
  <si>
    <t>MODAL</t>
  </si>
  <si>
    <t>MODELO</t>
  </si>
  <si>
    <t>MOD</t>
  </si>
  <si>
    <t>MODERADO</t>
  </si>
  <si>
    <t>MODERA</t>
  </si>
  <si>
    <t>MODERADOR</t>
  </si>
  <si>
    <t>MODIFICACAO</t>
  </si>
  <si>
    <t>MODIF</t>
  </si>
  <si>
    <t>MODIFICADA</t>
  </si>
  <si>
    <t>MOMENTO</t>
  </si>
  <si>
    <t>MOMEN</t>
  </si>
  <si>
    <t>MONETARIA</t>
  </si>
  <si>
    <t>MONET</t>
  </si>
  <si>
    <t>MONETARIO</t>
  </si>
  <si>
    <t>MONITORACAO</t>
  </si>
  <si>
    <t>MONITOR</t>
  </si>
  <si>
    <t>MONITORADO</t>
  </si>
  <si>
    <t>MONTAGEM</t>
  </si>
  <si>
    <t>MONTAG</t>
  </si>
  <si>
    <t>MOTIVACAO</t>
  </si>
  <si>
    <t>MOT</t>
  </si>
  <si>
    <t>MOTIVO</t>
  </si>
  <si>
    <t>MOVIMENTACAO</t>
  </si>
  <si>
    <t>MOV</t>
  </si>
  <si>
    <t>MOVIMENTO</t>
  </si>
  <si>
    <t>MP</t>
  </si>
  <si>
    <t>Medida Provisória</t>
  </si>
  <si>
    <t>MULTIBANCO</t>
  </si>
  <si>
    <t>MULTBCO</t>
  </si>
  <si>
    <t>MULTIFUNCAO</t>
  </si>
  <si>
    <t>MULTIFUNC</t>
  </si>
  <si>
    <t>MULTIFUNDO</t>
  </si>
  <si>
    <t>MULTIFUND</t>
  </si>
  <si>
    <t>MULTIMIDIA</t>
  </si>
  <si>
    <t>MMIDIA</t>
  </si>
  <si>
    <t>MULTIPLA</t>
  </si>
  <si>
    <t>MULTIP</t>
  </si>
  <si>
    <t>MULTIPLICACAO</t>
  </si>
  <si>
    <t>MULTIPLICIDADE</t>
  </si>
  <si>
    <t>MULTIPLO</t>
  </si>
  <si>
    <t>MULTIRRISCO</t>
  </si>
  <si>
    <t>MRISC</t>
  </si>
  <si>
    <t>MUNICIPAL</t>
  </si>
  <si>
    <t>MUNIC</t>
  </si>
  <si>
    <t>MUNICIPIO</t>
  </si>
  <si>
    <t>MUTUARIO</t>
  </si>
  <si>
    <t>MUTUA</t>
  </si>
  <si>
    <t>NACIONAL</t>
  </si>
  <si>
    <t>NACION</t>
  </si>
  <si>
    <t>NACIONALIDADE</t>
  </si>
  <si>
    <t>NACIONALIZACAO</t>
  </si>
  <si>
    <t>NASCIDO</t>
  </si>
  <si>
    <t>NASC</t>
  </si>
  <si>
    <t>NASCIMENTO</t>
  </si>
  <si>
    <t>NATIVO</t>
  </si>
  <si>
    <t>NATIV</t>
  </si>
  <si>
    <t>NATURALIDADE</t>
  </si>
  <si>
    <t>NATURAL</t>
  </si>
  <si>
    <t>NATURALIZACAO</t>
  </si>
  <si>
    <t>NATUREZA</t>
  </si>
  <si>
    <t>NAT</t>
  </si>
  <si>
    <t>NAVEGACAO</t>
  </si>
  <si>
    <t>NAVEG</t>
  </si>
  <si>
    <t>NCM</t>
  </si>
  <si>
    <t>Nomenclatura Comum do Mercosul</t>
  </si>
  <si>
    <t>NECESSARIO</t>
  </si>
  <si>
    <t>NEC</t>
  </si>
  <si>
    <t>NECESSIDADE</t>
  </si>
  <si>
    <t>NEGATIVA</t>
  </si>
  <si>
    <t>NEGAT</t>
  </si>
  <si>
    <t>NEGATIVACAO</t>
  </si>
  <si>
    <t>NEGATIVO</t>
  </si>
  <si>
    <t>NEGCB</t>
  </si>
  <si>
    <t>NEGOC</t>
  </si>
  <si>
    <t>NEGCD</t>
  </si>
  <si>
    <t>NEGOCIACAO</t>
  </si>
  <si>
    <t>NEGOCIADA</t>
  </si>
  <si>
    <t>NEGOCIADO</t>
  </si>
  <si>
    <t>NEGOCIADOR</t>
  </si>
  <si>
    <t>NEGOCIADORA</t>
  </si>
  <si>
    <t>NEGOCIAVEL</t>
  </si>
  <si>
    <t>NEGOCIO</t>
  </si>
  <si>
    <t>NEONATAL</t>
  </si>
  <si>
    <t>NEONAT</t>
  </si>
  <si>
    <t>NIF</t>
  </si>
  <si>
    <t>Número de Identificação Fiscal do fornecedor</t>
  </si>
  <si>
    <t>NOMENCLATURA</t>
  </si>
  <si>
    <t>NOMENC</t>
  </si>
  <si>
    <t>NORMATIVA</t>
  </si>
  <si>
    <t>NORMA</t>
  </si>
  <si>
    <t>NORMATIVO</t>
  </si>
  <si>
    <t>NORMATIZACAO</t>
  </si>
  <si>
    <t>NOTA FISCAL</t>
  </si>
  <si>
    <t>NF</t>
  </si>
  <si>
    <t>NOTABILIDADE</t>
  </si>
  <si>
    <t>NOTAB</t>
  </si>
  <si>
    <t>NOTA-FISCAL</t>
  </si>
  <si>
    <t>NOTA-FISCAL-ELETRONICA</t>
  </si>
  <si>
    <t>NFE</t>
  </si>
  <si>
    <t>NOTICIA</t>
  </si>
  <si>
    <t>NOTIC</t>
  </si>
  <si>
    <t>NOTIFICACAO</t>
  </si>
  <si>
    <t>NOTIF</t>
  </si>
  <si>
    <t>NOTURNA</t>
  </si>
  <si>
    <t>NOTUR</t>
  </si>
  <si>
    <t>NOTURNO</t>
  </si>
  <si>
    <t>NOVEMBRO</t>
  </si>
  <si>
    <t>NOV</t>
  </si>
  <si>
    <t>NOVO</t>
  </si>
  <si>
    <t>NULIDADE</t>
  </si>
  <si>
    <t>NULID</t>
  </si>
  <si>
    <t>NUMERACAO</t>
  </si>
  <si>
    <t>NUM</t>
  </si>
  <si>
    <t>NUMERADOR</t>
  </si>
  <si>
    <t>NUMERARIO</t>
  </si>
  <si>
    <t>NUMERICO</t>
  </si>
  <si>
    <t>NUMERO</t>
  </si>
  <si>
    <t>NUTRICAO</t>
  </si>
  <si>
    <t>NUTR</t>
  </si>
  <si>
    <t>NUTRICIONAL</t>
  </si>
  <si>
    <t>OBJETIVA</t>
  </si>
  <si>
    <t>OBJET</t>
  </si>
  <si>
    <t>OBJETIVO</t>
  </si>
  <si>
    <t>OBJETO</t>
  </si>
  <si>
    <t>OBJ</t>
  </si>
  <si>
    <t>OBRIGACAO</t>
  </si>
  <si>
    <t>OBRIG</t>
  </si>
  <si>
    <t>OBRIGATORIA</t>
  </si>
  <si>
    <t>OBRIGATORIEDADE</t>
  </si>
  <si>
    <t>OBRIGATORIO</t>
  </si>
  <si>
    <t>OBSERVACAO</t>
  </si>
  <si>
    <t>OBS</t>
  </si>
  <si>
    <t>OBSERVACAO PRIMEIRA</t>
  </si>
  <si>
    <t>OBS1</t>
  </si>
  <si>
    <t>OBSERVACAO QUARTA</t>
  </si>
  <si>
    <t>OBS4</t>
  </si>
  <si>
    <t>OBSERVACAO SEGUNDA</t>
  </si>
  <si>
    <t>OBS2</t>
  </si>
  <si>
    <t>OBSERVACAO TERCEIRA</t>
  </si>
  <si>
    <t>OBS3</t>
  </si>
  <si>
    <t>OBSOLECENCIA</t>
  </si>
  <si>
    <t>OBSOLEC</t>
  </si>
  <si>
    <t>OBSTETRICA</t>
  </si>
  <si>
    <t>OBST</t>
  </si>
  <si>
    <t>OBSTETRICO</t>
  </si>
  <si>
    <t>OBTENCAO</t>
  </si>
  <si>
    <t>OBTEN</t>
  </si>
  <si>
    <t>OCIOSIDADE</t>
  </si>
  <si>
    <t>OCIOSID</t>
  </si>
  <si>
    <t>OCORRENCIA</t>
  </si>
  <si>
    <t>OCOR</t>
  </si>
  <si>
    <t>OCORRIDO</t>
  </si>
  <si>
    <t>OCT</t>
  </si>
  <si>
    <t>Ordem de Crédito por Teleprocessamento</t>
  </si>
  <si>
    <t>OCUPACAO</t>
  </si>
  <si>
    <t>OCUPA</t>
  </si>
  <si>
    <t>OCUPADO</t>
  </si>
  <si>
    <t>OCUPANTE</t>
  </si>
  <si>
    <t>ODONTOLOGICO</t>
  </si>
  <si>
    <t>ODONTO</t>
  </si>
  <si>
    <t>OFERECIDO</t>
  </si>
  <si>
    <t>OFER</t>
  </si>
  <si>
    <t>OFERTA</t>
  </si>
  <si>
    <t>OFICIAL</t>
  </si>
  <si>
    <t>OFIC</t>
  </si>
  <si>
    <t>OFICIO</t>
  </si>
  <si>
    <t>ONERADO</t>
  </si>
  <si>
    <t>ONUS</t>
  </si>
  <si>
    <t>OPCIONAL</t>
  </si>
  <si>
    <t>OPC</t>
  </si>
  <si>
    <t>OPERACAO</t>
  </si>
  <si>
    <t>OPER</t>
  </si>
  <si>
    <t>OPERACIONAL</t>
  </si>
  <si>
    <t>OPERADOR</t>
  </si>
  <si>
    <t>OPERADORA</t>
  </si>
  <si>
    <t>OPERANDO</t>
  </si>
  <si>
    <t>OPERANTE</t>
  </si>
  <si>
    <t>OPERAR</t>
  </si>
  <si>
    <t>OPINIAO</t>
  </si>
  <si>
    <t>OPIN</t>
  </si>
  <si>
    <t>OPORTUNIDADE</t>
  </si>
  <si>
    <t>OPORTUN</t>
  </si>
  <si>
    <t>ORCADO</t>
  </si>
  <si>
    <t>ORCAM</t>
  </si>
  <si>
    <t>ORCAMENTACAO</t>
  </si>
  <si>
    <t>ORCAMENTARIA</t>
  </si>
  <si>
    <t>ORCAMENTO</t>
  </si>
  <si>
    <t>ORDEM</t>
  </si>
  <si>
    <t>ORD</t>
  </si>
  <si>
    <t>ORDENADO</t>
  </si>
  <si>
    <t>ORDENA</t>
  </si>
  <si>
    <t>ORDENANTE</t>
  </si>
  <si>
    <t>ORDINARIA</t>
  </si>
  <si>
    <t>ORDINAR</t>
  </si>
  <si>
    <t>ORGANICO</t>
  </si>
  <si>
    <t>ORGC</t>
  </si>
  <si>
    <t>ORGANIZACAO</t>
  </si>
  <si>
    <t>ORGANIZ</t>
  </si>
  <si>
    <t>ORGANIZACIONAL</t>
  </si>
  <si>
    <t>ORGANIZADOR</t>
  </si>
  <si>
    <t>ORGANOGRAMA</t>
  </si>
  <si>
    <t>ORGAN</t>
  </si>
  <si>
    <t>ORGAO</t>
  </si>
  <si>
    <t>ORG</t>
  </si>
  <si>
    <t>ORIENTACAO</t>
  </si>
  <si>
    <t>ORIENT</t>
  </si>
  <si>
    <t>ORIGEM</t>
  </si>
  <si>
    <t>ORIG</t>
  </si>
  <si>
    <t>ORIGINADORA</t>
  </si>
  <si>
    <t>ORIGINAL</t>
  </si>
  <si>
    <t>OSCILACAO</t>
  </si>
  <si>
    <t>OSCILA</t>
  </si>
  <si>
    <t>OUTORGADO</t>
  </si>
  <si>
    <t>OUTORG</t>
  </si>
  <si>
    <t>OUTORGANTE</t>
  </si>
  <si>
    <t>OUTRA</t>
  </si>
  <si>
    <t>OUT</t>
  </si>
  <si>
    <t>OUTRAS</t>
  </si>
  <si>
    <t>OUTRO</t>
  </si>
  <si>
    <t>OUTROS</t>
  </si>
  <si>
    <t>OUVIDA</t>
  </si>
  <si>
    <t>OUVID</t>
  </si>
  <si>
    <t>PACIENTE</t>
  </si>
  <si>
    <t>PACIEN</t>
  </si>
  <si>
    <t>PACTUADA</t>
  </si>
  <si>
    <t>PACTUA</t>
  </si>
  <si>
    <t>PADRONIZADO</t>
  </si>
  <si>
    <t>PADRON</t>
  </si>
  <si>
    <t>PAGA</t>
  </si>
  <si>
    <t>PG</t>
  </si>
  <si>
    <t>PAGADOR</t>
  </si>
  <si>
    <t>PAGADORA</t>
  </si>
  <si>
    <t>PAGAMENTO</t>
  </si>
  <si>
    <t>PAGINA</t>
  </si>
  <si>
    <t>PAG</t>
  </si>
  <si>
    <t>PAGINACAO</t>
  </si>
  <si>
    <t>PAGO</t>
  </si>
  <si>
    <t>PAISAGEM</t>
  </si>
  <si>
    <t>PAISAG</t>
  </si>
  <si>
    <t>PALAVRA</t>
  </si>
  <si>
    <t>PALAV</t>
  </si>
  <si>
    <t>PALLETS</t>
  </si>
  <si>
    <t>PALLET</t>
  </si>
  <si>
    <t>PAPELETA</t>
  </si>
  <si>
    <t>PAPEL</t>
  </si>
  <si>
    <t>PARADIGMA</t>
  </si>
  <si>
    <t>PARADIG</t>
  </si>
  <si>
    <t>PARAGRAFO</t>
  </si>
  <si>
    <t>PARAG</t>
  </si>
  <si>
    <t>PARALISACAO</t>
  </si>
  <si>
    <t>PARALIZ</t>
  </si>
  <si>
    <t>PARALIZACAO</t>
  </si>
  <si>
    <t>PARAMETRIZACAO</t>
  </si>
  <si>
    <t>PARAM</t>
  </si>
  <si>
    <t>PARAMETRIZADO</t>
  </si>
  <si>
    <t>PARAMETRO</t>
  </si>
  <si>
    <t>PARCEIRO</t>
  </si>
  <si>
    <t>PARC</t>
  </si>
  <si>
    <t>PARCELADO</t>
  </si>
  <si>
    <t>PARCEL</t>
  </si>
  <si>
    <t>PARCELAMENTO</t>
  </si>
  <si>
    <t>PARCERIA</t>
  </si>
  <si>
    <t>PARCER</t>
  </si>
  <si>
    <t>PARENTESCO</t>
  </si>
  <si>
    <t>PARENT</t>
  </si>
  <si>
    <t>PARIDADE</t>
  </si>
  <si>
    <t>PARID</t>
  </si>
  <si>
    <t>PARTICAO</t>
  </si>
  <si>
    <t>PARTIC</t>
  </si>
  <si>
    <t>PARTICIPACAO</t>
  </si>
  <si>
    <t>PART</t>
  </si>
  <si>
    <t>PARTICIPADA</t>
  </si>
  <si>
    <t>PARTICIPANTE</t>
  </si>
  <si>
    <t>PASSAGEIRO</t>
  </si>
  <si>
    <t>PASSAG</t>
  </si>
  <si>
    <t>PASSAPORTE</t>
  </si>
  <si>
    <t>PASSAP</t>
  </si>
  <si>
    <t>PASSIVA</t>
  </si>
  <si>
    <t>PASSIV</t>
  </si>
  <si>
    <t>PASSIVEL</t>
  </si>
  <si>
    <t>PASSIVO</t>
  </si>
  <si>
    <t>PASTAGEM</t>
  </si>
  <si>
    <t>PASTAG</t>
  </si>
  <si>
    <t>PATRIMONIAL</t>
  </si>
  <si>
    <t>PATRIM</t>
  </si>
  <si>
    <t>PATRIMONIO</t>
  </si>
  <si>
    <t>PATROCINIO</t>
  </si>
  <si>
    <t>PATROC</t>
  </si>
  <si>
    <t>PAVIMENTO</t>
  </si>
  <si>
    <t>PAVIM</t>
  </si>
  <si>
    <t>PECUARIA</t>
  </si>
  <si>
    <t>PECUA</t>
  </si>
  <si>
    <t>PECULIO</t>
  </si>
  <si>
    <t>PECUL</t>
  </si>
  <si>
    <t>PECUNIA</t>
  </si>
  <si>
    <t>PECUN</t>
  </si>
  <si>
    <t>PEDAGIO</t>
  </si>
  <si>
    <t>PEDAG</t>
  </si>
  <si>
    <t>PEDIDO</t>
  </si>
  <si>
    <t>PED</t>
  </si>
  <si>
    <t>PENDENCIA</t>
  </si>
  <si>
    <t>PEND</t>
  </si>
  <si>
    <t>PENDENTE</t>
  </si>
  <si>
    <t>PENETRACAO</t>
  </si>
  <si>
    <t>PENETR</t>
  </si>
  <si>
    <t>PENSIONISTA</t>
  </si>
  <si>
    <t>PENSIO</t>
  </si>
  <si>
    <t>PENULTIMA</t>
  </si>
  <si>
    <t>PENULT</t>
  </si>
  <si>
    <t>PENULTIMO</t>
  </si>
  <si>
    <t>PEQUENO</t>
  </si>
  <si>
    <t>PEQ</t>
  </si>
  <si>
    <t>PERCENTUAL</t>
  </si>
  <si>
    <t>PERC</t>
  </si>
  <si>
    <t>PERCURSO</t>
  </si>
  <si>
    <t>PERCUR</t>
  </si>
  <si>
    <t>PERECIVEL</t>
  </si>
  <si>
    <t>PEREC</t>
  </si>
  <si>
    <t>PERFORMANCE</t>
  </si>
  <si>
    <t>PERFORM</t>
  </si>
  <si>
    <t>PERGUNTA</t>
  </si>
  <si>
    <t>PERG</t>
  </si>
  <si>
    <t>PERICIA</t>
  </si>
  <si>
    <t>PERIC</t>
  </si>
  <si>
    <t>PERICIADO</t>
  </si>
  <si>
    <t>PERICULOSIDADE</t>
  </si>
  <si>
    <t>PERICUL</t>
  </si>
  <si>
    <t>PERIFERIA</t>
  </si>
  <si>
    <t>PERIF</t>
  </si>
  <si>
    <t>PERIFERICO</t>
  </si>
  <si>
    <t>PERIMETRO</t>
  </si>
  <si>
    <t>PERIM</t>
  </si>
  <si>
    <t>PERIODICIDADE</t>
  </si>
  <si>
    <t>PERIOD</t>
  </si>
  <si>
    <t>PERIODO</t>
  </si>
  <si>
    <t>PERMANENCIA</t>
  </si>
  <si>
    <t>PERMAN</t>
  </si>
  <si>
    <t>PERMANENTE</t>
  </si>
  <si>
    <t>PERMISSAO</t>
  </si>
  <si>
    <t>PERMIS</t>
  </si>
  <si>
    <t>PERMITIDA</t>
  </si>
  <si>
    <t>PERMIT</t>
  </si>
  <si>
    <t>PERSECUCAO</t>
  </si>
  <si>
    <t>PERSEC</t>
  </si>
  <si>
    <t>PERSONAGEM</t>
  </si>
  <si>
    <t xml:space="preserve">PERSON </t>
  </si>
  <si>
    <t>PERSONALIZACAO</t>
  </si>
  <si>
    <t>PERSON</t>
  </si>
  <si>
    <t>PERSONALIZADA</t>
  </si>
  <si>
    <t>PERSONALIZADO</t>
  </si>
  <si>
    <t>PERSPECTIVA</t>
  </si>
  <si>
    <t>PERSP</t>
  </si>
  <si>
    <t>PERTENCE</t>
  </si>
  <si>
    <t>PERT</t>
  </si>
  <si>
    <t>PESQUISA</t>
  </si>
  <si>
    <t>PESQ</t>
  </si>
  <si>
    <t>PESQUISADA</t>
  </si>
  <si>
    <t>PESSOA FISICA</t>
  </si>
  <si>
    <t>PF</t>
  </si>
  <si>
    <t>PESSOA JURIDICA</t>
  </si>
  <si>
    <t>PJ</t>
  </si>
  <si>
    <t>PIS</t>
  </si>
  <si>
    <t>Programas de Integração Social</t>
  </si>
  <si>
    <t>PIS PASEP</t>
  </si>
  <si>
    <t>Programas de Integração Social e de Formação do Patrimônio do Servidor Público</t>
  </si>
  <si>
    <t>PLANEJADA</t>
  </si>
  <si>
    <t>PLANEJ</t>
  </si>
  <si>
    <t>PLANEJADO</t>
  </si>
  <si>
    <t>PLANEJAMENTO</t>
  </si>
  <si>
    <t>PLANOGRAMA</t>
  </si>
  <si>
    <t>PLANOG</t>
  </si>
  <si>
    <t>PLANOGRAMAVEL</t>
  </si>
  <si>
    <t>PLANTADA</t>
  </si>
  <si>
    <t>PLANT</t>
  </si>
  <si>
    <t>PLATAFORMA</t>
  </si>
  <si>
    <t>PLATAF</t>
  </si>
  <si>
    <t>PLEITEADO</t>
  </si>
  <si>
    <t>PLEIT</t>
  </si>
  <si>
    <t>POLICIA</t>
  </si>
  <si>
    <t>POLIC</t>
  </si>
  <si>
    <t>POLICIAL</t>
  </si>
  <si>
    <t>POLITICA</t>
  </si>
  <si>
    <t>POLIT</t>
  </si>
  <si>
    <t>PONDERADA</t>
  </si>
  <si>
    <t>POND</t>
  </si>
  <si>
    <t>PONDERADO</t>
  </si>
  <si>
    <t>PONTUACAO</t>
  </si>
  <si>
    <t>PONTUA</t>
  </si>
  <si>
    <t>PONTUAL</t>
  </si>
  <si>
    <t>POPULACAO</t>
  </si>
  <si>
    <t>POP</t>
  </si>
  <si>
    <t>POPULAR</t>
  </si>
  <si>
    <t>PORTADOR</t>
  </si>
  <si>
    <t>PORTAD</t>
  </si>
  <si>
    <t>PORTARIA</t>
  </si>
  <si>
    <t>PORTAR</t>
  </si>
  <si>
    <t>POSICAO</t>
  </si>
  <si>
    <t>POSIC</t>
  </si>
  <si>
    <t>POSICIONAMENTO</t>
  </si>
  <si>
    <t>POSSIBILIDADE</t>
  </si>
  <si>
    <t>POSSIB</t>
  </si>
  <si>
    <t>POSSIVEL</t>
  </si>
  <si>
    <t>POSSIV</t>
  </si>
  <si>
    <t>POSSUIDO</t>
  </si>
  <si>
    <t>POSSUI</t>
  </si>
  <si>
    <t>POSTADO</t>
  </si>
  <si>
    <t>POST</t>
  </si>
  <si>
    <t>POSTAGEM</t>
  </si>
  <si>
    <t>POSTAL</t>
  </si>
  <si>
    <t>POSTERIOR</t>
  </si>
  <si>
    <t>POSTER</t>
  </si>
  <si>
    <t>POTENCIA</t>
  </si>
  <si>
    <t>POTENC</t>
  </si>
  <si>
    <t>POTENCIAL</t>
  </si>
  <si>
    <t>POUPADOR</t>
  </si>
  <si>
    <t>POUPA</t>
  </si>
  <si>
    <t>POUPANCA</t>
  </si>
  <si>
    <t>POVOAMENTO</t>
  </si>
  <si>
    <t>POVOAM</t>
  </si>
  <si>
    <t>PRAZO</t>
  </si>
  <si>
    <t>PRZ</t>
  </si>
  <si>
    <t>PRECAUCAO</t>
  </si>
  <si>
    <t>PRECAUC</t>
  </si>
  <si>
    <t>PREDECESSOR</t>
  </si>
  <si>
    <t>PREDECES</t>
  </si>
  <si>
    <t>PREDECESSORA</t>
  </si>
  <si>
    <t>PREENCHIDA</t>
  </si>
  <si>
    <t>PREENC</t>
  </si>
  <si>
    <t>PREENCHIMENTO</t>
  </si>
  <si>
    <t>PREEXISTENTE</t>
  </si>
  <si>
    <t>PREEXIST</t>
  </si>
  <si>
    <t>PREFEITURA</t>
  </si>
  <si>
    <t>PREFEIT</t>
  </si>
  <si>
    <t>PREFERENCIA</t>
  </si>
  <si>
    <t>PREFER</t>
  </si>
  <si>
    <t>PREFERENCIAL</t>
  </si>
  <si>
    <t>PREGAO</t>
  </si>
  <si>
    <t>PREG</t>
  </si>
  <si>
    <t>PREJUIZO</t>
  </si>
  <si>
    <t>PREJ</t>
  </si>
  <si>
    <t>PRELIMINAR</t>
  </si>
  <si>
    <t>PRELIM</t>
  </si>
  <si>
    <t>PREMIACAO</t>
  </si>
  <si>
    <t>PREMIA</t>
  </si>
  <si>
    <t>PREMIADO</t>
  </si>
  <si>
    <t>PREOCUPACAO</t>
  </si>
  <si>
    <t>PREOC</t>
  </si>
  <si>
    <t>PREPARACAO</t>
  </si>
  <si>
    <t>PREP</t>
  </si>
  <si>
    <t>PREPARADORA</t>
  </si>
  <si>
    <t>PREPARO</t>
  </si>
  <si>
    <t>PREPOSICAO</t>
  </si>
  <si>
    <t>PREPOS</t>
  </si>
  <si>
    <t>PREPOSTO</t>
  </si>
  <si>
    <t>PREPOST</t>
  </si>
  <si>
    <t>PRESCRICAO</t>
  </si>
  <si>
    <t>PRESC</t>
  </si>
  <si>
    <t>PRESIDENCIA</t>
  </si>
  <si>
    <t>PRESID</t>
  </si>
  <si>
    <t>PRESIDENTE</t>
  </si>
  <si>
    <t>PRESTACAO</t>
  </si>
  <si>
    <t>PREST</t>
  </si>
  <si>
    <t>PRESTADO</t>
  </si>
  <si>
    <t>PRESTADOR</t>
  </si>
  <si>
    <t>PRESTADORA</t>
  </si>
  <si>
    <t>PRESUMIDA</t>
  </si>
  <si>
    <t>PRESUM</t>
  </si>
  <si>
    <t>PRETENDIDO</t>
  </si>
  <si>
    <t>PRETEND</t>
  </si>
  <si>
    <t>PRETERIDO</t>
  </si>
  <si>
    <t>PRETER</t>
  </si>
  <si>
    <t>PREVENCAO</t>
  </si>
  <si>
    <t>PREVEN</t>
  </si>
  <si>
    <t>PREVIDENCIA</t>
  </si>
  <si>
    <t>PREVID</t>
  </si>
  <si>
    <t>PREVISAO</t>
  </si>
  <si>
    <t>PREV</t>
  </si>
  <si>
    <t>PREVISTA</t>
  </si>
  <si>
    <t>PREVISTO</t>
  </si>
  <si>
    <t>PRIMARIA</t>
  </si>
  <si>
    <t>PRIM</t>
  </si>
  <si>
    <t>PRIMARIO</t>
  </si>
  <si>
    <t>PRINCIPAL</t>
  </si>
  <si>
    <t>PRINC</t>
  </si>
  <si>
    <t>PRIORIDADE</t>
  </si>
  <si>
    <t>PRIOR</t>
  </si>
  <si>
    <t>PRIORITARIA</t>
  </si>
  <si>
    <t>PRIORITARIO</t>
  </si>
  <si>
    <t>PRIVADA</t>
  </si>
  <si>
    <t>PRIVAD</t>
  </si>
  <si>
    <t>PRIVADO</t>
  </si>
  <si>
    <t>PRIVATIVA</t>
  </si>
  <si>
    <t>PRIVAT</t>
  </si>
  <si>
    <t>PRIVATIZACAO</t>
  </si>
  <si>
    <t>PRIVATIZADA</t>
  </si>
  <si>
    <t>PROBABILIDADE</t>
  </si>
  <si>
    <t>PROBAB</t>
  </si>
  <si>
    <t>PROBLEMA</t>
  </si>
  <si>
    <t>PROB</t>
  </si>
  <si>
    <t>PROCEDENCIA</t>
  </si>
  <si>
    <t>PROCED</t>
  </si>
  <si>
    <t>PROCEDIMENTO</t>
  </si>
  <si>
    <t>PROCEDIM</t>
  </si>
  <si>
    <t>PROCESSADA</t>
  </si>
  <si>
    <t>PROC</t>
  </si>
  <si>
    <t>PROCESSADO</t>
  </si>
  <si>
    <t>PROCESSADOR</t>
  </si>
  <si>
    <t>PROCESSAMENTO</t>
  </si>
  <si>
    <t>PROCESSO</t>
  </si>
  <si>
    <t>PROCESSUAL</t>
  </si>
  <si>
    <t>PROCURACAO</t>
  </si>
  <si>
    <t>PROCUR</t>
  </si>
  <si>
    <t>PROCURADOR</t>
  </si>
  <si>
    <t>PRODUCAO</t>
  </si>
  <si>
    <t>PRD</t>
  </si>
  <si>
    <t>PRODUTIVA</t>
  </si>
  <si>
    <t>PRODUTIVIDADE</t>
  </si>
  <si>
    <t>PRODUTO</t>
  </si>
  <si>
    <t>PROD</t>
  </si>
  <si>
    <t>PRODUTOPLU</t>
  </si>
  <si>
    <t>PLU</t>
  </si>
  <si>
    <t xml:space="preserve">Pricing Look Up </t>
  </si>
  <si>
    <t>PRODUTOR</t>
  </si>
  <si>
    <t>PRODUT</t>
  </si>
  <si>
    <t>PRODUTORA</t>
  </si>
  <si>
    <t>PRODUZIDA</t>
  </si>
  <si>
    <t>PRODUZ</t>
  </si>
  <si>
    <t>PROFERIDA</t>
  </si>
  <si>
    <t>PROFER</t>
  </si>
  <si>
    <t>PROFESSOR</t>
  </si>
  <si>
    <t>PROF</t>
  </si>
  <si>
    <t>PROFISSAO</t>
  </si>
  <si>
    <t>PROFIS</t>
  </si>
  <si>
    <t>PROFISSIONAL</t>
  </si>
  <si>
    <t>PROFUNDIDADE</t>
  </si>
  <si>
    <t>PROFUND</t>
  </si>
  <si>
    <t>PROGRAMA</t>
  </si>
  <si>
    <t>PROG</t>
  </si>
  <si>
    <t>PROGRAMACAO</t>
  </si>
  <si>
    <t>PROGRAMADA</t>
  </si>
  <si>
    <t>PROGRAMADO</t>
  </si>
  <si>
    <t>PROGRAMADOR</t>
  </si>
  <si>
    <t>PROGRESSAO</t>
  </si>
  <si>
    <t>PROGRES</t>
  </si>
  <si>
    <t>PROIBIDA</t>
  </si>
  <si>
    <t>PROIB</t>
  </si>
  <si>
    <t>PROIBIDO</t>
  </si>
  <si>
    <t>PROJECAO</t>
  </si>
  <si>
    <t>PROJEC</t>
  </si>
  <si>
    <t>PROJETADO</t>
  </si>
  <si>
    <t>PROJ</t>
  </si>
  <si>
    <t>PROJETO</t>
  </si>
  <si>
    <t>PROLABORE</t>
  </si>
  <si>
    <t>PROLAB</t>
  </si>
  <si>
    <t>PROMESSA</t>
  </si>
  <si>
    <t>PROMES</t>
  </si>
  <si>
    <t>PROMISSORIA</t>
  </si>
  <si>
    <t>PROMIS</t>
  </si>
  <si>
    <t>PROMOCAO</t>
  </si>
  <si>
    <t>PROMO</t>
  </si>
  <si>
    <t>PROMOCIONAL</t>
  </si>
  <si>
    <t>PROMOTOR</t>
  </si>
  <si>
    <t>PROMOT</t>
  </si>
  <si>
    <t>PRONTUARIO</t>
  </si>
  <si>
    <t>PRONT</t>
  </si>
  <si>
    <t>PROPAGAÇÃO</t>
  </si>
  <si>
    <t>PROP</t>
  </si>
  <si>
    <t>PROPAGANDA</t>
  </si>
  <si>
    <t>PROPAG</t>
  </si>
  <si>
    <t>PROPONENTE</t>
  </si>
  <si>
    <t>PROPON</t>
  </si>
  <si>
    <t>PROPORCIONAL</t>
  </si>
  <si>
    <t>PROPORC</t>
  </si>
  <si>
    <t>PROPOSTA</t>
  </si>
  <si>
    <t>PROPOS</t>
  </si>
  <si>
    <t>PROPOSTO</t>
  </si>
  <si>
    <t>PROPRIA</t>
  </si>
  <si>
    <t>PROPR</t>
  </si>
  <si>
    <t>PROPRIEDADE</t>
  </si>
  <si>
    <t>PROPRIETARIA</t>
  </si>
  <si>
    <t>PROPRIETARIO</t>
  </si>
  <si>
    <t>PROPRIO</t>
  </si>
  <si>
    <t>PROPULSAO</t>
  </si>
  <si>
    <t>PROPUL</t>
  </si>
  <si>
    <t>PRORROGACAO</t>
  </si>
  <si>
    <t>PRORROG</t>
  </si>
  <si>
    <t>PROTECAO</t>
  </si>
  <si>
    <t>PROTEC</t>
  </si>
  <si>
    <t>PROTEGIDO</t>
  </si>
  <si>
    <t>PROTEG</t>
  </si>
  <si>
    <t>PROTESTAR</t>
  </si>
  <si>
    <t>PROT</t>
  </si>
  <si>
    <t>PROTESTO</t>
  </si>
  <si>
    <t>PROTOCOLADA</t>
  </si>
  <si>
    <t>PROTOC</t>
  </si>
  <si>
    <t>PROTOCOLO</t>
  </si>
  <si>
    <t>PROTOTIPO</t>
  </si>
  <si>
    <t>PROTOT</t>
  </si>
  <si>
    <t>PROVAVEL</t>
  </si>
  <si>
    <t>PROVAV</t>
  </si>
  <si>
    <t>PROVEDOR</t>
  </si>
  <si>
    <t>PROVED</t>
  </si>
  <si>
    <t>PROVENTO</t>
  </si>
  <si>
    <t>PROVEN</t>
  </si>
  <si>
    <t>PROVIDENCIA</t>
  </si>
  <si>
    <t>PROVID</t>
  </si>
  <si>
    <t>PROVINCIA</t>
  </si>
  <si>
    <t>PROVINC</t>
  </si>
  <si>
    <t>PROVISAO</t>
  </si>
  <si>
    <t>PROVIS</t>
  </si>
  <si>
    <t>PROVISIONADO</t>
  </si>
  <si>
    <t>PROVISORIA</t>
  </si>
  <si>
    <t>PROVISORIO</t>
  </si>
  <si>
    <t>PROXIMA</t>
  </si>
  <si>
    <t>PROX</t>
  </si>
  <si>
    <t>PROXIMO</t>
  </si>
  <si>
    <t>PSEUDONIMO</t>
  </si>
  <si>
    <t>PSEUD</t>
  </si>
  <si>
    <t>PUBLICA</t>
  </si>
  <si>
    <t>PUBLIC</t>
  </si>
  <si>
    <t>PUBLICACAO</t>
  </si>
  <si>
    <t>PUBLICIDADE</t>
  </si>
  <si>
    <t>PUBLICID</t>
  </si>
  <si>
    <t>PUBLICO</t>
  </si>
  <si>
    <t>QUADRANTE</t>
  </si>
  <si>
    <t>QUADRAN</t>
  </si>
  <si>
    <t>QUADRIMESTRAL</t>
  </si>
  <si>
    <t>QUADRIM</t>
  </si>
  <si>
    <t>QUALIDADE</t>
  </si>
  <si>
    <t>QUALID</t>
  </si>
  <si>
    <t>QUALIFICACAO</t>
  </si>
  <si>
    <t>QUALIF</t>
  </si>
  <si>
    <t>QUALIFICADOR</t>
  </si>
  <si>
    <t>QUALITATIVA</t>
  </si>
  <si>
    <t>QUALIT</t>
  </si>
  <si>
    <t>QUALITATIVO</t>
  </si>
  <si>
    <t>QUANTIDADE</t>
  </si>
  <si>
    <t>QTD</t>
  </si>
  <si>
    <t>QUANTIFICA</t>
  </si>
  <si>
    <t>QUANT</t>
  </si>
  <si>
    <t>QUANTIFICADO</t>
  </si>
  <si>
    <t>QUARTA</t>
  </si>
  <si>
    <t>QUA</t>
  </si>
  <si>
    <t>QUARTIL</t>
  </si>
  <si>
    <t>QUART</t>
  </si>
  <si>
    <t>QUARTO</t>
  </si>
  <si>
    <t>QUEBRA</t>
  </si>
  <si>
    <t>QUEB</t>
  </si>
  <si>
    <t>QUEBRADA</t>
  </si>
  <si>
    <t>QUEBRADO</t>
  </si>
  <si>
    <t>QUESITO</t>
  </si>
  <si>
    <t>QUESI</t>
  </si>
  <si>
    <t>QUESTAO</t>
  </si>
  <si>
    <t>QUEST</t>
  </si>
  <si>
    <t>QUESTIONARIO</t>
  </si>
  <si>
    <t>QUILOMETRAGEM</t>
  </si>
  <si>
    <t>KM</t>
  </si>
  <si>
    <t>QUILOMETRO</t>
  </si>
  <si>
    <t>QUINTA</t>
  </si>
  <si>
    <t>QUI</t>
  </si>
  <si>
    <t>QUINZENA</t>
  </si>
  <si>
    <t>QUINZ</t>
  </si>
  <si>
    <t>QUINZENAL</t>
  </si>
  <si>
    <t>QUITACAO</t>
  </si>
  <si>
    <t>QUIT</t>
  </si>
  <si>
    <t>QUITADA</t>
  </si>
  <si>
    <t>QUITADO</t>
  </si>
  <si>
    <t>QUITAR</t>
  </si>
  <si>
    <t>QUOTISTA</t>
  </si>
  <si>
    <t>QUOT</t>
  </si>
  <si>
    <t>RADIOGRAFIA</t>
  </si>
  <si>
    <t>RADIOG</t>
  </si>
  <si>
    <t>RADIOLOGICO</t>
  </si>
  <si>
    <t>RADIOL</t>
  </si>
  <si>
    <t>RANKING</t>
  </si>
  <si>
    <t>RANK</t>
  </si>
  <si>
    <t>RASTREABILIDADE</t>
  </si>
  <si>
    <t>RASTREAB</t>
  </si>
  <si>
    <t>RAZAO</t>
  </si>
  <si>
    <t>RZ</t>
  </si>
  <si>
    <t>RD</t>
  </si>
  <si>
    <t>Remarcação Demarcação</t>
  </si>
  <si>
    <t>REABAST</t>
  </si>
  <si>
    <t>REABERTURA</t>
  </si>
  <si>
    <t>REABERT</t>
  </si>
  <si>
    <t>REABILITACAO</t>
  </si>
  <si>
    <t>REABILIT</t>
  </si>
  <si>
    <t>READAPTACAO</t>
  </si>
  <si>
    <t>READAPT</t>
  </si>
  <si>
    <t>READMISSAO</t>
  </si>
  <si>
    <t>READMIS</t>
  </si>
  <si>
    <t>REAJUSTE</t>
  </si>
  <si>
    <t>REAJUST</t>
  </si>
  <si>
    <t>REALIMENTACAO</t>
  </si>
  <si>
    <t>REALIM</t>
  </si>
  <si>
    <t>REALIMENTADO</t>
  </si>
  <si>
    <t>REALIZACAO</t>
  </si>
  <si>
    <t>REALIZ</t>
  </si>
  <si>
    <t>REALIZADA</t>
  </si>
  <si>
    <t>REALIZADO</t>
  </si>
  <si>
    <t>REALOCACAO</t>
  </si>
  <si>
    <t>REALOC</t>
  </si>
  <si>
    <t>REAPLICACAO</t>
  </si>
  <si>
    <t>REAPLIC</t>
  </si>
  <si>
    <t>REAPRESENTACAO</t>
  </si>
  <si>
    <t>REAPRES</t>
  </si>
  <si>
    <t>REAPROVEITAMENTO</t>
  </si>
  <si>
    <t>REAPROV</t>
  </si>
  <si>
    <t>REARQUIVAMENTO</t>
  </si>
  <si>
    <t>REARQUIV</t>
  </si>
  <si>
    <t>REATIVACAO</t>
  </si>
  <si>
    <t>REATIV</t>
  </si>
  <si>
    <t>REATIVADA</t>
  </si>
  <si>
    <t>REATIVADO</t>
  </si>
  <si>
    <t>REATIVO</t>
  </si>
  <si>
    <t>REAVALIACAO</t>
  </si>
  <si>
    <t>REAVAL</t>
  </si>
  <si>
    <t>REBAIXAMENTO</t>
  </si>
  <si>
    <t>REBAIX</t>
  </si>
  <si>
    <t>REBANHO</t>
  </si>
  <si>
    <t>REBANH</t>
  </si>
  <si>
    <t>REBOCADOR</t>
  </si>
  <si>
    <t>REBO</t>
  </si>
  <si>
    <t>REBOQUE</t>
  </si>
  <si>
    <t>RECADASTRADA</t>
  </si>
  <si>
    <t>RECAD</t>
  </si>
  <si>
    <t>RECADASTRAMENTO</t>
  </si>
  <si>
    <t>RECALCULO</t>
  </si>
  <si>
    <t>RECALC</t>
  </si>
  <si>
    <t>RECEBE</t>
  </si>
  <si>
    <t>RECEB</t>
  </si>
  <si>
    <t>RECEBEDOR</t>
  </si>
  <si>
    <t>RECEBEDORA</t>
  </si>
  <si>
    <t>RECEBER</t>
  </si>
  <si>
    <t>RECEBIDA</t>
  </si>
  <si>
    <t>RECEBIDO</t>
  </si>
  <si>
    <t>RECEBIMENTO</t>
  </si>
  <si>
    <t>RECEBIVEL</t>
  </si>
  <si>
    <t>RECEPCAO</t>
  </si>
  <si>
    <t>RECEPC</t>
  </si>
  <si>
    <t>RECEPCIONADO</t>
  </si>
  <si>
    <t>RECIBO</t>
  </si>
  <si>
    <t>REC</t>
  </si>
  <si>
    <t>RECICLAVEL</t>
  </si>
  <si>
    <t>RECIC</t>
  </si>
  <si>
    <t>RECIPROCIDADE</t>
  </si>
  <si>
    <t>RECIPR</t>
  </si>
  <si>
    <t>RECISAO</t>
  </si>
  <si>
    <t>RECIS</t>
  </si>
  <si>
    <t>RECLAMACAO</t>
  </si>
  <si>
    <t>RECLAM</t>
  </si>
  <si>
    <t>RECLAMANTE</t>
  </si>
  <si>
    <t>RECLASSIFICACAO</t>
  </si>
  <si>
    <t>RECLAS</t>
  </si>
  <si>
    <t>RECOLHEDORA</t>
  </si>
  <si>
    <t>RECOLH</t>
  </si>
  <si>
    <t>RECOLHER</t>
  </si>
  <si>
    <t>RECOLHIDO</t>
  </si>
  <si>
    <t>RECOLHIMENTO</t>
  </si>
  <si>
    <t>RECOMENDACAO</t>
  </si>
  <si>
    <t>RECOM</t>
  </si>
  <si>
    <t>RECOMENDADO</t>
  </si>
  <si>
    <t>RECOMPOSICAO</t>
  </si>
  <si>
    <t>RECOMPOS</t>
  </si>
  <si>
    <t>RECOMPRA</t>
  </si>
  <si>
    <t>RECOMP</t>
  </si>
  <si>
    <t>RECONHECIMENTO</t>
  </si>
  <si>
    <t>RECONH</t>
  </si>
  <si>
    <t>RECUPERACAO</t>
  </si>
  <si>
    <t>RECUP</t>
  </si>
  <si>
    <t>RECUPERADO</t>
  </si>
  <si>
    <t>RECUPERADOR</t>
  </si>
  <si>
    <t>RECUPERAR</t>
  </si>
  <si>
    <t>RECUSADA</t>
  </si>
  <si>
    <t>RECUSA</t>
  </si>
  <si>
    <t>REDESCONTO</t>
  </si>
  <si>
    <t>REDESC</t>
  </si>
  <si>
    <t>REDIRECIONAMENTO</t>
  </si>
  <si>
    <t>REDIREC</t>
  </si>
  <si>
    <t>REDUCAO</t>
  </si>
  <si>
    <t>REDUC</t>
  </si>
  <si>
    <t>REDUTORA</t>
  </si>
  <si>
    <t>REDUT</t>
  </si>
  <si>
    <t>REDUZIDA</t>
  </si>
  <si>
    <t>REDUZ</t>
  </si>
  <si>
    <t>REDUZIDO</t>
  </si>
  <si>
    <t>REEMBOLSAVEL</t>
  </si>
  <si>
    <t>REEMBOL</t>
  </si>
  <si>
    <t>REEMBOLSO</t>
  </si>
  <si>
    <t>REEMISSAO</t>
  </si>
  <si>
    <t>REEMIS</t>
  </si>
  <si>
    <t>REENQUADRAMENTO</t>
  </si>
  <si>
    <t>REENQUAD</t>
  </si>
  <si>
    <t>REENTRADA</t>
  </si>
  <si>
    <t>REENTR</t>
  </si>
  <si>
    <t>REESTRUTURACAO</t>
  </si>
  <si>
    <t>REESTR</t>
  </si>
  <si>
    <t>REFEICAO</t>
  </si>
  <si>
    <t>REFEIC</t>
  </si>
  <si>
    <t>REFERENCIA</t>
  </si>
  <si>
    <t>REFER</t>
  </si>
  <si>
    <t>REFERENCIADA</t>
  </si>
  <si>
    <t>REFERENCIADO</t>
  </si>
  <si>
    <t>REFERENCIAL</t>
  </si>
  <si>
    <t>REFERENCIAMENTO</t>
  </si>
  <si>
    <t>REFERENTE</t>
  </si>
  <si>
    <t>REFERIDA</t>
  </si>
  <si>
    <t>REFINANCIAMENTO</t>
  </si>
  <si>
    <t>REFINANC</t>
  </si>
  <si>
    <t>REFRIGERADOR</t>
  </si>
  <si>
    <t>REFRIG</t>
  </si>
  <si>
    <t>REGIAO</t>
  </si>
  <si>
    <t>REGIONAL</t>
  </si>
  <si>
    <t>REGION</t>
  </si>
  <si>
    <t>REGISTRA</t>
  </si>
  <si>
    <t>REG</t>
  </si>
  <si>
    <t>REGISTRADA</t>
  </si>
  <si>
    <t>REGISTRADO</t>
  </si>
  <si>
    <t>REGISTRO</t>
  </si>
  <si>
    <t>REGRAVACAO</t>
  </si>
  <si>
    <t>REGRAV</t>
  </si>
  <si>
    <t>REGULACAO</t>
  </si>
  <si>
    <t>REGUL</t>
  </si>
  <si>
    <t>REGULADOR</t>
  </si>
  <si>
    <t>REGULADORA</t>
  </si>
  <si>
    <t>REGULAMENTACAO</t>
  </si>
  <si>
    <t>REGULAMENTO</t>
  </si>
  <si>
    <t>REGULAR</t>
  </si>
  <si>
    <t>REGULARIZACAO</t>
  </si>
  <si>
    <t>REGULARIZAR</t>
  </si>
  <si>
    <t>REINCIDENCIA</t>
  </si>
  <si>
    <t>REINCIDE</t>
  </si>
  <si>
    <t>REINICIADA</t>
  </si>
  <si>
    <t>REINIC</t>
  </si>
  <si>
    <t>REINICIO</t>
  </si>
  <si>
    <t>REINI</t>
  </si>
  <si>
    <t>REINTEGRACAO</t>
  </si>
  <si>
    <t>REINTEGR </t>
  </si>
  <si>
    <t>REITERACAO</t>
  </si>
  <si>
    <t>REITERA</t>
  </si>
  <si>
    <t>REJEICAO</t>
  </si>
  <si>
    <t>REJEI</t>
  </si>
  <si>
    <t>REJEITADO</t>
  </si>
  <si>
    <t>RELACAO</t>
  </si>
  <si>
    <t>RELAC</t>
  </si>
  <si>
    <t>RELACIONADA</t>
  </si>
  <si>
    <t>RELACIONADO</t>
  </si>
  <si>
    <t>RELACIONAMENTO</t>
  </si>
  <si>
    <t>RELAMPAGO</t>
  </si>
  <si>
    <t>RELAMP</t>
  </si>
  <si>
    <t>RELATOR</t>
  </si>
  <si>
    <t>RELAT</t>
  </si>
  <si>
    <t>RELATORIO</t>
  </si>
  <si>
    <t>REL</t>
  </si>
  <si>
    <t>RELEVANCIA</t>
  </si>
  <si>
    <t>RELEV</t>
  </si>
  <si>
    <t>RELEVANTE</t>
  </si>
  <si>
    <t>RELIGIAO</t>
  </si>
  <si>
    <t>RELIG</t>
  </si>
  <si>
    <t>REMANEJAMENTO</t>
  </si>
  <si>
    <t>REMANEJ</t>
  </si>
  <si>
    <t>REMANESCENTE</t>
  </si>
  <si>
    <t>REMANESC</t>
  </si>
  <si>
    <t>REMARCACAO</t>
  </si>
  <si>
    <t>REMARC</t>
  </si>
  <si>
    <t>REMARCADO</t>
  </si>
  <si>
    <t>REMESSA</t>
  </si>
  <si>
    <t>REMES</t>
  </si>
  <si>
    <t>REMETENTE</t>
  </si>
  <si>
    <t>REMET</t>
  </si>
  <si>
    <t>REMISSAO</t>
  </si>
  <si>
    <t>REMIS</t>
  </si>
  <si>
    <t>REMUNERACAO</t>
  </si>
  <si>
    <t>REMUNER</t>
  </si>
  <si>
    <t>REMUNERADO</t>
  </si>
  <si>
    <t>RENDIMENTO</t>
  </si>
  <si>
    <t>RENDIM</t>
  </si>
  <si>
    <t>RENEGOCIACAO</t>
  </si>
  <si>
    <t>RENEGOC</t>
  </si>
  <si>
    <t>RENEGOCIADO</t>
  </si>
  <si>
    <t>RENEGOCIAVEL</t>
  </si>
  <si>
    <t>RENOVACAO</t>
  </si>
  <si>
    <t>RENOV</t>
  </si>
  <si>
    <t>RENOVADO</t>
  </si>
  <si>
    <t>RENOVATORIA</t>
  </si>
  <si>
    <t>RENTABILIDADE</t>
  </si>
  <si>
    <t>RENTAB</t>
  </si>
  <si>
    <t>RENTABILIZADO</t>
  </si>
  <si>
    <t>RENTABILIZAVEL</t>
  </si>
  <si>
    <t>RENUMERACAO</t>
  </si>
  <si>
    <t>REORGANIZACAO</t>
  </si>
  <si>
    <t>REORGANIZ</t>
  </si>
  <si>
    <t>REORIENTACAO</t>
  </si>
  <si>
    <t>REORIENT</t>
  </si>
  <si>
    <t>REPACTUACAO</t>
  </si>
  <si>
    <t>REPACTUA</t>
  </si>
  <si>
    <t>REPASSE</t>
  </si>
  <si>
    <t>REPAS</t>
  </si>
  <si>
    <t>REPETICAO</t>
  </si>
  <si>
    <t>REPETIC</t>
  </si>
  <si>
    <t>REPIQUE</t>
  </si>
  <si>
    <t>REPIQ</t>
  </si>
  <si>
    <t>REPLANEJADA</t>
  </si>
  <si>
    <t>REPLANEJ</t>
  </si>
  <si>
    <t>REPLANEJADO</t>
  </si>
  <si>
    <t>REPLANEJAMENTO</t>
  </si>
  <si>
    <t>REPLIQUE</t>
  </si>
  <si>
    <t>REPLIQ</t>
  </si>
  <si>
    <t>REPOSICAO</t>
  </si>
  <si>
    <t>REPOS</t>
  </si>
  <si>
    <t>REPOSITORIO</t>
  </si>
  <si>
    <t>REPOSIT</t>
  </si>
  <si>
    <t>REPOUSO</t>
  </si>
  <si>
    <t>REPOU</t>
  </si>
  <si>
    <t>REPRESENTACAO</t>
  </si>
  <si>
    <t>REPRES</t>
  </si>
  <si>
    <t>REPRESENTADO</t>
  </si>
  <si>
    <t>REPRESENTANTE</t>
  </si>
  <si>
    <t>REPRESENTATIVIDADE</t>
  </si>
  <si>
    <t>REPROCESSAMENTO</t>
  </si>
  <si>
    <t>REPROC</t>
  </si>
  <si>
    <t>REPRODUÇÃO</t>
  </si>
  <si>
    <t>REPROD</t>
  </si>
  <si>
    <t>REPROVACAO</t>
  </si>
  <si>
    <t>REPROV</t>
  </si>
  <si>
    <t>REPROVADA</t>
  </si>
  <si>
    <t>REPROVADO</t>
  </si>
  <si>
    <t>REQUERENTE</t>
  </si>
  <si>
    <t>REQUER</t>
  </si>
  <si>
    <t>REQUERIMENTO</t>
  </si>
  <si>
    <t>REQUISICAO</t>
  </si>
  <si>
    <t>REQUIS</t>
  </si>
  <si>
    <t>REQUISITANTE</t>
  </si>
  <si>
    <t>REQUISITO</t>
  </si>
  <si>
    <t>RERATIFICACAO</t>
  </si>
  <si>
    <t>RERATIFIC</t>
  </si>
  <si>
    <t>RESCISAO</t>
  </si>
  <si>
    <t>RESCIS</t>
  </si>
  <si>
    <t>RESCISORIA</t>
  </si>
  <si>
    <t>RESCISORIO</t>
  </si>
  <si>
    <t>RESERVADA</t>
  </si>
  <si>
    <t>RESERV</t>
  </si>
  <si>
    <t>RESERVADO</t>
  </si>
  <si>
    <t>RESERVISTA</t>
  </si>
  <si>
    <t>RESGATADO</t>
  </si>
  <si>
    <t>RESGAT</t>
  </si>
  <si>
    <t>RESGATAR</t>
  </si>
  <si>
    <t>RESGATE</t>
  </si>
  <si>
    <t>RESIDENCIA</t>
  </si>
  <si>
    <t>RESIDE</t>
  </si>
  <si>
    <t>RESIDENCIAL</t>
  </si>
  <si>
    <t>RESIDENTE</t>
  </si>
  <si>
    <t>RESIDUAL</t>
  </si>
  <si>
    <t>RESID</t>
  </si>
  <si>
    <t>RESIDUO</t>
  </si>
  <si>
    <t>RESISTENTE</t>
  </si>
  <si>
    <t>RESIST</t>
  </si>
  <si>
    <t>RESOLUCAO</t>
  </si>
  <si>
    <t>RESOL</t>
  </si>
  <si>
    <t>RESPONSABILIDADE</t>
  </si>
  <si>
    <t>RESPON</t>
  </si>
  <si>
    <t>RESPONSAVEL</t>
  </si>
  <si>
    <t>RESPOSTA</t>
  </si>
  <si>
    <t>RESP</t>
  </si>
  <si>
    <t>RESSARCIDO</t>
  </si>
  <si>
    <t>RESSARC</t>
  </si>
  <si>
    <t>RESSARCIMENTO</t>
  </si>
  <si>
    <t>RESSEGURADORA</t>
  </si>
  <si>
    <t>RESSEG</t>
  </si>
  <si>
    <t>RESSEGURO</t>
  </si>
  <si>
    <t>RESTAURANTE</t>
  </si>
  <si>
    <t>RESTAUR</t>
  </si>
  <si>
    <t>RESTITUICAO</t>
  </si>
  <si>
    <t>RESTIT</t>
  </si>
  <si>
    <t>RESTITUIDO</t>
  </si>
  <si>
    <t>RESTITUIR</t>
  </si>
  <si>
    <t>RESTRICAO</t>
  </si>
  <si>
    <t>RESTR</t>
  </si>
  <si>
    <t>RESTRITA</t>
  </si>
  <si>
    <t>RESTRITIVO</t>
  </si>
  <si>
    <t>RESULTADO</t>
  </si>
  <si>
    <t>RESULT</t>
  </si>
  <si>
    <t>RESULTANTE</t>
  </si>
  <si>
    <t>RESUMIDA</t>
  </si>
  <si>
    <t>RESUM</t>
  </si>
  <si>
    <t>RESUMIDO</t>
  </si>
  <si>
    <t>RESUMO</t>
  </si>
  <si>
    <t>RETENCAO</t>
  </si>
  <si>
    <t>RETENC</t>
  </si>
  <si>
    <t>RETIDA</t>
  </si>
  <si>
    <t>RET</t>
  </si>
  <si>
    <t>RETIDO</t>
  </si>
  <si>
    <t>RETIFICACAO</t>
  </si>
  <si>
    <t>RETIF</t>
  </si>
  <si>
    <t>RETIRADA</t>
  </si>
  <si>
    <t>RETIR</t>
  </si>
  <si>
    <t>RETIRADO</t>
  </si>
  <si>
    <t>RETOMADA</t>
  </si>
  <si>
    <t>RETOM</t>
  </si>
  <si>
    <t>RETOMADO</t>
  </si>
  <si>
    <t>RETRANSMISSAO</t>
  </si>
  <si>
    <t>RETRANSMIS</t>
  </si>
  <si>
    <t>RETROACAO</t>
  </si>
  <si>
    <t>RETROAC</t>
  </si>
  <si>
    <t>RETROATIVA</t>
  </si>
  <si>
    <t>RETROAT</t>
  </si>
  <si>
    <t>RETROATIVO</t>
  </si>
  <si>
    <t>RETROCESSAO</t>
  </si>
  <si>
    <t>RETROC</t>
  </si>
  <si>
    <t>REUTILIZACAO</t>
  </si>
  <si>
    <t>REUTILIZ</t>
  </si>
  <si>
    <t>REVALIDACAO</t>
  </si>
  <si>
    <t>REVALID</t>
  </si>
  <si>
    <t>REVENDEDOR</t>
  </si>
  <si>
    <t>REVEND</t>
  </si>
  <si>
    <t>REVERSAO</t>
  </si>
  <si>
    <t>REVERS</t>
  </si>
  <si>
    <t>REVERTIDO</t>
  </si>
  <si>
    <t>REVERT</t>
  </si>
  <si>
    <t>REVISAO</t>
  </si>
  <si>
    <t>REVIS</t>
  </si>
  <si>
    <t>REVISOR</t>
  </si>
  <si>
    <t>RFM</t>
  </si>
  <si>
    <t>Retail Fiscal Manegement</t>
  </si>
  <si>
    <t>RMS</t>
  </si>
  <si>
    <t>Retail Merchandising System</t>
  </si>
  <si>
    <t>RODADO</t>
  </si>
  <si>
    <t>RODA</t>
  </si>
  <si>
    <t>RODAPE</t>
  </si>
  <si>
    <t>RODAP</t>
  </si>
  <si>
    <t>RODOFLUVIAL</t>
  </si>
  <si>
    <t>RODOFL</t>
  </si>
  <si>
    <t>RODOVIA</t>
  </si>
  <si>
    <t>RODOV</t>
  </si>
  <si>
    <t>ROGACAO</t>
  </si>
  <si>
    <t>ROGAC</t>
  </si>
  <si>
    <t>ROMANEIO</t>
  </si>
  <si>
    <t>ROMAN</t>
  </si>
  <si>
    <t>ROTATIVO</t>
  </si>
  <si>
    <t>ROTAT</t>
  </si>
  <si>
    <t>ROTINA</t>
  </si>
  <si>
    <t>ROT</t>
  </si>
  <si>
    <t>RTV</t>
  </si>
  <si>
    <t>Return to Vendor - devolução da mercadoria para o Fornecedor</t>
  </si>
  <si>
    <t>RUPTURA</t>
  </si>
  <si>
    <t>RUPT</t>
  </si>
  <si>
    <t>SABADO</t>
  </si>
  <si>
    <t>SAB</t>
  </si>
  <si>
    <t>SALARIAL</t>
  </si>
  <si>
    <t>SAL</t>
  </si>
  <si>
    <t>SALARIO</t>
  </si>
  <si>
    <t>SALDO</t>
  </si>
  <si>
    <t>SLD</t>
  </si>
  <si>
    <t>SALVADO</t>
  </si>
  <si>
    <t>SALV</t>
  </si>
  <si>
    <t>SALVO</t>
  </si>
  <si>
    <t>SANEAMENTO</t>
  </si>
  <si>
    <t>SANEAM</t>
  </si>
  <si>
    <t>SANGUINEO</t>
  </si>
  <si>
    <t>SANG</t>
  </si>
  <si>
    <t>SATISFACAO</t>
  </si>
  <si>
    <t>SATISF</t>
  </si>
  <si>
    <t>SATISFATORIO</t>
  </si>
  <si>
    <t>SATISFEITO</t>
  </si>
  <si>
    <t>SAUDACAO</t>
  </si>
  <si>
    <t>SAUDA</t>
  </si>
  <si>
    <t>SAZONALIDADE</t>
  </si>
  <si>
    <t>SAZONAL</t>
  </si>
  <si>
    <t>SECRETARIA</t>
  </si>
  <si>
    <t>SECRET</t>
  </si>
  <si>
    <t>SECUNDARIO</t>
  </si>
  <si>
    <t>SECUND</t>
  </si>
  <si>
    <t>SEGMENTACAO</t>
  </si>
  <si>
    <t>SEGM</t>
  </si>
  <si>
    <t>SEGMENTO</t>
  </si>
  <si>
    <t>SEGUNDA</t>
  </si>
  <si>
    <t>SEG</t>
  </si>
  <si>
    <t>SEGURADA</t>
  </si>
  <si>
    <t>SEGUR</t>
  </si>
  <si>
    <t>SEGURADO</t>
  </si>
  <si>
    <t>SEGURADOR</t>
  </si>
  <si>
    <t>SEGURADORA</t>
  </si>
  <si>
    <t>SEGURANCA</t>
  </si>
  <si>
    <t>SELECAO</t>
  </si>
  <si>
    <t>SELEC</t>
  </si>
  <si>
    <t>SELECIONADA</t>
  </si>
  <si>
    <t>SELECIONADO</t>
  </si>
  <si>
    <t>SEMANA</t>
  </si>
  <si>
    <t>SEM</t>
  </si>
  <si>
    <t>SEMANAL</t>
  </si>
  <si>
    <t>SEMELHANCA</t>
  </si>
  <si>
    <t>SEMELH</t>
  </si>
  <si>
    <t>SEMESTRAL</t>
  </si>
  <si>
    <t>SEMEST</t>
  </si>
  <si>
    <t>SEMESTRE</t>
  </si>
  <si>
    <t>SEMINARIO</t>
  </si>
  <si>
    <t>SEMINAR</t>
  </si>
  <si>
    <t>SENSIBILIZACAO</t>
  </si>
  <si>
    <t>SENSIB</t>
  </si>
  <si>
    <t>SENTENCA</t>
  </si>
  <si>
    <t>SENT</t>
  </si>
  <si>
    <t>SEPARACAO</t>
  </si>
  <si>
    <t xml:space="preserve">SEP </t>
  </si>
  <si>
    <t>SEPARADO</t>
  </si>
  <si>
    <t>SEP</t>
  </si>
  <si>
    <t>SEQUENCIA</t>
  </si>
  <si>
    <t>SEQ</t>
  </si>
  <si>
    <t>SEQUENCIAL</t>
  </si>
  <si>
    <t>SEQUENCIALIZADOR</t>
  </si>
  <si>
    <t>SERIAL</t>
  </si>
  <si>
    <t>SERIE</t>
  </si>
  <si>
    <t>SERVICO</t>
  </si>
  <si>
    <t>SERV</t>
  </si>
  <si>
    <t>SERVIDOR</t>
  </si>
  <si>
    <t>SERVID</t>
  </si>
  <si>
    <t>SESSAO</t>
  </si>
  <si>
    <t>SESS</t>
  </si>
  <si>
    <t>SETEMBRO</t>
  </si>
  <si>
    <t>SET</t>
  </si>
  <si>
    <t>SETORIAL</t>
  </si>
  <si>
    <t>SETOR</t>
  </si>
  <si>
    <t>SEVERIDADE</t>
  </si>
  <si>
    <t>SEVER</t>
  </si>
  <si>
    <t>SEXAGENARIO</t>
  </si>
  <si>
    <t>SEXAG</t>
  </si>
  <si>
    <t>SHOPPING</t>
  </si>
  <si>
    <t>SHOPP</t>
  </si>
  <si>
    <t>SIGLA</t>
  </si>
  <si>
    <t>SGL</t>
  </si>
  <si>
    <t>SIGNIFICADO</t>
  </si>
  <si>
    <t>SIGNIF</t>
  </si>
  <si>
    <t>SIMPLES</t>
  </si>
  <si>
    <t>SIMPL</t>
  </si>
  <si>
    <t>SIMPLIFICADA</t>
  </si>
  <si>
    <t>SIMPLIFICADO</t>
  </si>
  <si>
    <t>SIMULACAO</t>
  </si>
  <si>
    <t>SIMULA</t>
  </si>
  <si>
    <t>SIMULADO</t>
  </si>
  <si>
    <t>SIMULTANEA</t>
  </si>
  <si>
    <t>SIMULT</t>
  </si>
  <si>
    <t>SIMULTANEO</t>
  </si>
  <si>
    <t>SINALIZADOR</t>
  </si>
  <si>
    <t>SINALIZ</t>
  </si>
  <si>
    <t>SINCRONISMO</t>
  </si>
  <si>
    <t>SINCRON</t>
  </si>
  <si>
    <t>SINDICAL</t>
  </si>
  <si>
    <t>SIND</t>
  </si>
  <si>
    <t>SINDICALIZADO</t>
  </si>
  <si>
    <t>SINDICATO</t>
  </si>
  <si>
    <t>SINDICO</t>
  </si>
  <si>
    <t>SINGULAR</t>
  </si>
  <si>
    <t>SINGUL</t>
  </si>
  <si>
    <t>SINISTRALIDADE</t>
  </si>
  <si>
    <t>SINIST</t>
  </si>
  <si>
    <t>SINISTRO</t>
  </si>
  <si>
    <t>SINTESE</t>
  </si>
  <si>
    <t>SINTES</t>
  </si>
  <si>
    <t>SINTETICA</t>
  </si>
  <si>
    <t>SINTET</t>
  </si>
  <si>
    <t>SINTETICO</t>
  </si>
  <si>
    <t>SISTEMA</t>
  </si>
  <si>
    <t>SIST</t>
  </si>
  <si>
    <t>SISTEMATICA</t>
  </si>
  <si>
    <t>SITUACAO</t>
  </si>
  <si>
    <t>SIT</t>
  </si>
  <si>
    <t>SOBREMESA</t>
  </si>
  <si>
    <t>SOBREM</t>
  </si>
  <si>
    <t>SOBRENOME</t>
  </si>
  <si>
    <t>SNOME</t>
  </si>
  <si>
    <t>SOBREPOSICAO</t>
  </si>
  <si>
    <t>SPOSIC</t>
  </si>
  <si>
    <t>SOBREVIVENCIA</t>
  </si>
  <si>
    <t>SOBREVIV</t>
  </si>
  <si>
    <t>SOCIEDADE</t>
  </si>
  <si>
    <t>SOCIED</t>
  </si>
  <si>
    <t>SOCIETARIA</t>
  </si>
  <si>
    <t>SOCIET</t>
  </si>
  <si>
    <t>SOCIETARIO</t>
  </si>
  <si>
    <t>SOFTWARE</t>
  </si>
  <si>
    <t>SOFTW</t>
  </si>
  <si>
    <t>SOLICITACAO</t>
  </si>
  <si>
    <t>SOLIC</t>
  </si>
  <si>
    <t>SOLICITADA</t>
  </si>
  <si>
    <t>SOLICITADO</t>
  </si>
  <si>
    <t>SOLICITANTE</t>
  </si>
  <si>
    <t>SOLIDARIA</t>
  </si>
  <si>
    <t>SOLID</t>
  </si>
  <si>
    <t>SOLUCAO</t>
  </si>
  <si>
    <t>SOLUC</t>
  </si>
  <si>
    <t>SOLUCIONADA</t>
  </si>
  <si>
    <t>SOLUCIONADO</t>
  </si>
  <si>
    <t>SOLUCIONADOR</t>
  </si>
  <si>
    <t>SOMATORIA</t>
  </si>
  <si>
    <t>SOMA</t>
  </si>
  <si>
    <t>SONORIZAÇÃO</t>
  </si>
  <si>
    <t>SONORIZ</t>
  </si>
  <si>
    <t>SORTEADA</t>
  </si>
  <si>
    <t>SORT</t>
  </si>
  <si>
    <t>SORTEIO</t>
  </si>
  <si>
    <t>SUBCATEGORIA</t>
  </si>
  <si>
    <t>SCAT</t>
  </si>
  <si>
    <t>SUBCENTRO</t>
  </si>
  <si>
    <t>SCENT</t>
  </si>
  <si>
    <t>SUBCLASSE</t>
  </si>
  <si>
    <t>SCLASS</t>
  </si>
  <si>
    <t>SUBCONJUNTO</t>
  </si>
  <si>
    <t>SCONJ</t>
  </si>
  <si>
    <t>SUBCONTA</t>
  </si>
  <si>
    <t>SCONTA</t>
  </si>
  <si>
    <t>SUBDIVISAO</t>
  </si>
  <si>
    <t>SDIVIS</t>
  </si>
  <si>
    <t>SUBFAMILIA</t>
  </si>
  <si>
    <t>SFAMI</t>
  </si>
  <si>
    <t>SUBFASE</t>
  </si>
  <si>
    <t>SFASE</t>
  </si>
  <si>
    <t>SUBFATURA</t>
  </si>
  <si>
    <t>SFAT</t>
  </si>
  <si>
    <t>SUBGRUPO</t>
  </si>
  <si>
    <t>SGRUP</t>
  </si>
  <si>
    <t>SUBINDICADOR</t>
  </si>
  <si>
    <t>SINDICAD</t>
  </si>
  <si>
    <t>SUBITEM</t>
  </si>
  <si>
    <t>SITEM</t>
  </si>
  <si>
    <t>SUBLINHADO</t>
  </si>
  <si>
    <t>SUBLIN</t>
  </si>
  <si>
    <t>SUBMISSAO</t>
  </si>
  <si>
    <t>SUBMIS</t>
  </si>
  <si>
    <t>SUBMODALIDADE</t>
  </si>
  <si>
    <t>SMODAL</t>
  </si>
  <si>
    <t>SUBMODULO</t>
  </si>
  <si>
    <t>SMODUL</t>
  </si>
  <si>
    <t>SUBOPCAO</t>
  </si>
  <si>
    <t>SOPCAO</t>
  </si>
  <si>
    <t>SUBORDINACAO</t>
  </si>
  <si>
    <t>SUBORD</t>
  </si>
  <si>
    <t>SUBORDINADO</t>
  </si>
  <si>
    <t>SUBPRODUTO</t>
  </si>
  <si>
    <t>SPROD</t>
  </si>
  <si>
    <t>SUBRAMO</t>
  </si>
  <si>
    <t>SRAMO</t>
  </si>
  <si>
    <t>SUBSCREVER</t>
  </si>
  <si>
    <t>SUBSCREV</t>
  </si>
  <si>
    <t>SUBSCRICAO</t>
  </si>
  <si>
    <t>SUBSCRIC</t>
  </si>
  <si>
    <t>SUBSCRITA</t>
  </si>
  <si>
    <t>SUBSCRIT</t>
  </si>
  <si>
    <t>SUBSCRITOR</t>
  </si>
  <si>
    <t>SUBSEGMENTO</t>
  </si>
  <si>
    <t>SSEGM</t>
  </si>
  <si>
    <t>SUBSIDIARIA</t>
  </si>
  <si>
    <t>SUBSID</t>
  </si>
  <si>
    <t>SUBSIDIO</t>
  </si>
  <si>
    <t>SUBSISTEMA</t>
  </si>
  <si>
    <t>SSIST</t>
  </si>
  <si>
    <t>SUBSOLO</t>
  </si>
  <si>
    <t>SUBSOL</t>
  </si>
  <si>
    <t>SUBSTANCIA</t>
  </si>
  <si>
    <t>SUBSTA</t>
  </si>
  <si>
    <t>SUBSTITUICAO</t>
  </si>
  <si>
    <t>SUBST</t>
  </si>
  <si>
    <t>SUBSTITUICAO TRIBUTARIA</t>
  </si>
  <si>
    <t>ST</t>
  </si>
  <si>
    <t>SUBSTITUIDA</t>
  </si>
  <si>
    <t>SUBSTITUIDO</t>
  </si>
  <si>
    <t>SUBSTITUTA</t>
  </si>
  <si>
    <t>SUBSTITUTO</t>
  </si>
  <si>
    <t>SUBTIPO</t>
  </si>
  <si>
    <t>STIPO</t>
  </si>
  <si>
    <t>SUBTITULO</t>
  </si>
  <si>
    <t>STITUL</t>
  </si>
  <si>
    <t>SUBTRACAO</t>
  </si>
  <si>
    <t>SUBTR</t>
  </si>
  <si>
    <t>SUBTRAENDO</t>
  </si>
  <si>
    <t>SUBVERBA</t>
  </si>
  <si>
    <t>SVERBA</t>
  </si>
  <si>
    <t>SUCEDIDA</t>
  </si>
  <si>
    <t>SUCED</t>
  </si>
  <si>
    <t>SUCESSAO</t>
  </si>
  <si>
    <t>SUCES</t>
  </si>
  <si>
    <t>SUCESSO</t>
  </si>
  <si>
    <t>SUCESSOR</t>
  </si>
  <si>
    <t>SUCESSORA</t>
  </si>
  <si>
    <t>SUCUMBENCIA</t>
  </si>
  <si>
    <t>SUCUMB</t>
  </si>
  <si>
    <t>SUCURSAL</t>
  </si>
  <si>
    <t>SUCUR</t>
  </si>
  <si>
    <t>SUFICIENCIA</t>
  </si>
  <si>
    <t>SUFIC</t>
  </si>
  <si>
    <t>SUFICIENTE</t>
  </si>
  <si>
    <t>SUFRAMA</t>
  </si>
  <si>
    <t>Superintendência da Zona Franca de Manaus</t>
  </si>
  <si>
    <t>SUGERIDO</t>
  </si>
  <si>
    <t>SUGER</t>
  </si>
  <si>
    <t>SUGESTAO</t>
  </si>
  <si>
    <t>SUG</t>
  </si>
  <si>
    <t>SUMARIZACAO</t>
  </si>
  <si>
    <t>SUMAR</t>
  </si>
  <si>
    <t>SUMARIZADO</t>
  </si>
  <si>
    <t>SUPERINTENDENCIA</t>
  </si>
  <si>
    <t>SUPERINT</t>
  </si>
  <si>
    <t>SUPERINTENDENTE</t>
  </si>
  <si>
    <t>SUPERMERCADO</t>
  </si>
  <si>
    <t>SUPERM</t>
  </si>
  <si>
    <t>SUPERVISOR</t>
  </si>
  <si>
    <t>SUPERV</t>
  </si>
  <si>
    <t>SUPERVISORA</t>
  </si>
  <si>
    <t>SUPLEMENTACAO</t>
  </si>
  <si>
    <t>SUPL</t>
  </si>
  <si>
    <t>SUPLEMENTAR</t>
  </si>
  <si>
    <t>SUPRIMENTO</t>
  </si>
  <si>
    <t>SUPRIM</t>
  </si>
  <si>
    <t>SUSPENSAO</t>
  </si>
  <si>
    <t>SUSP</t>
  </si>
  <si>
    <t>SUSPENSO</t>
  </si>
  <si>
    <t>SUSTACAO</t>
  </si>
  <si>
    <t>SUSTA</t>
  </si>
  <si>
    <t>SUSTADO</t>
  </si>
  <si>
    <t>SUSTENTABILIDADE</t>
  </si>
  <si>
    <t>SUSTENT</t>
  </si>
  <si>
    <t>TABELA</t>
  </si>
  <si>
    <t>TAB</t>
  </si>
  <si>
    <t>TABULACAO</t>
  </si>
  <si>
    <t>TABULA</t>
  </si>
  <si>
    <t>TAMANHO</t>
  </si>
  <si>
    <t>TAM</t>
  </si>
  <si>
    <t>TARIFADO</t>
  </si>
  <si>
    <t>TARIF</t>
  </si>
  <si>
    <t>TARIFARIA</t>
  </si>
  <si>
    <t>TARIFARIO</t>
  </si>
  <si>
    <t>TECLADO</t>
  </si>
  <si>
    <t>TECLA</t>
  </si>
  <si>
    <t>TECNICA</t>
  </si>
  <si>
    <t>TECN</t>
  </si>
  <si>
    <t>TECNICO</t>
  </si>
  <si>
    <t>TECNOLOGIA</t>
  </si>
  <si>
    <t>TECNO</t>
  </si>
  <si>
    <t>TECNOLOGICA</t>
  </si>
  <si>
    <t>TELEFONE</t>
  </si>
  <si>
    <t>FONE</t>
  </si>
  <si>
    <t>TELEGRAFICO</t>
  </si>
  <si>
    <t>TELEG</t>
  </si>
  <si>
    <t>TELEMATICA</t>
  </si>
  <si>
    <t>TELEM</t>
  </si>
  <si>
    <t>TELEPAGAMENTO</t>
  </si>
  <si>
    <t>TPGTO</t>
  </si>
  <si>
    <t>TELEPROCESSAMENTO</t>
  </si>
  <si>
    <t>TPROC</t>
  </si>
  <si>
    <t>TELEPROMPTER</t>
  </si>
  <si>
    <t>TPROM</t>
  </si>
  <si>
    <t>TELEQUALIFICACAO</t>
  </si>
  <si>
    <t>TQUAL</t>
  </si>
  <si>
    <t>TELESALDO</t>
  </si>
  <si>
    <t>TSALDO</t>
  </si>
  <si>
    <t>TELESAQUE</t>
  </si>
  <si>
    <t>TSAQ</t>
  </si>
  <si>
    <t>TELESENHA</t>
  </si>
  <si>
    <t>TSENH</t>
  </si>
  <si>
    <t>TELESERVICO</t>
  </si>
  <si>
    <t>TSERV</t>
  </si>
  <si>
    <t>TEMPERATURA</t>
  </si>
  <si>
    <t xml:space="preserve">TEMP </t>
  </si>
  <si>
    <t>TEMPORARIA</t>
  </si>
  <si>
    <t>TMP</t>
  </si>
  <si>
    <t>TEMPORARIO</t>
  </si>
  <si>
    <t>TENDENCIA</t>
  </si>
  <si>
    <t>TEND</t>
  </si>
  <si>
    <t>TENTATIVA</t>
  </si>
  <si>
    <t>TENTAT</t>
  </si>
  <si>
    <t>TEORICO</t>
  </si>
  <si>
    <t>TEOR</t>
  </si>
  <si>
    <t>TERAPEUTICA</t>
  </si>
  <si>
    <t>TERAP</t>
  </si>
  <si>
    <t>TERAPEUTICO</t>
  </si>
  <si>
    <t>TERAPIA</t>
  </si>
  <si>
    <t>TERCEIRA</t>
  </si>
  <si>
    <t>TERC</t>
  </si>
  <si>
    <t>TERCEIRIZACAO</t>
  </si>
  <si>
    <t>TERMINAL</t>
  </si>
  <si>
    <t>TERM</t>
  </si>
  <si>
    <t>TERMINO</t>
  </si>
  <si>
    <t>TERRENO</t>
  </si>
  <si>
    <t>TERR</t>
  </si>
  <si>
    <t>TERRESTRE</t>
  </si>
  <si>
    <t>TESOURARIA</t>
  </si>
  <si>
    <t>TESOU</t>
  </si>
  <si>
    <t>TESOURO</t>
  </si>
  <si>
    <t>TESTEMUNHA</t>
  </si>
  <si>
    <t>TESTEM</t>
  </si>
  <si>
    <t>TEXTO</t>
  </si>
  <si>
    <t>TXT</t>
  </si>
  <si>
    <t>TIPIFICACAO</t>
  </si>
  <si>
    <t>TIPIF</t>
  </si>
  <si>
    <t>TIPO</t>
  </si>
  <si>
    <t>TITULAR</t>
  </si>
  <si>
    <t>TIT</t>
  </si>
  <si>
    <t>TITULARIDADE</t>
  </si>
  <si>
    <t>TITULO</t>
  </si>
  <si>
    <t>TOLERANCIA</t>
  </si>
  <si>
    <t>TOLERA</t>
  </si>
  <si>
    <t>TOMADOR</t>
  </si>
  <si>
    <t>TOMAD</t>
  </si>
  <si>
    <t>TOPOGRAFIA</t>
  </si>
  <si>
    <t>TOPOGR</t>
  </si>
  <si>
    <t>TOTAL</t>
  </si>
  <si>
    <t>TOT</t>
  </si>
  <si>
    <t>TOTALIZACAO</t>
  </si>
  <si>
    <t>TOTALIZADO</t>
  </si>
  <si>
    <t>TRABALHA</t>
  </si>
  <si>
    <t>TRAB</t>
  </si>
  <si>
    <t>TRABALHADA</t>
  </si>
  <si>
    <t>TRABALHADO</t>
  </si>
  <si>
    <t>TRABALHISTA</t>
  </si>
  <si>
    <t>TRABALHO</t>
  </si>
  <si>
    <t>TRADICIONAL</t>
  </si>
  <si>
    <t>TRADIC</t>
  </si>
  <si>
    <t>TRADUCAO</t>
  </si>
  <si>
    <t>TRAD</t>
  </si>
  <si>
    <t>TRADUZIDA</t>
  </si>
  <si>
    <t>TRAFEGADO</t>
  </si>
  <si>
    <t>TRAFEG</t>
  </si>
  <si>
    <t>TRAFEGO</t>
  </si>
  <si>
    <t>TRANSACAO</t>
  </si>
  <si>
    <t>TRANS</t>
  </si>
  <si>
    <t>TRANSBORDO</t>
  </si>
  <si>
    <t>TRANSB</t>
  </si>
  <si>
    <t>TRANSFERENCIA</t>
  </si>
  <si>
    <t>TRANSF</t>
  </si>
  <si>
    <t>TRANSFERIDA</t>
  </si>
  <si>
    <t>TRANSFERIDO</t>
  </si>
  <si>
    <t>TRANSFORMACAO</t>
  </si>
  <si>
    <t>TRANSFORM</t>
  </si>
  <si>
    <t>TRANSFORMADO</t>
  </si>
  <si>
    <t>TRANSITORIA</t>
  </si>
  <si>
    <t>TRANSIT</t>
  </si>
  <si>
    <t>TRANSITORIO</t>
  </si>
  <si>
    <t>TRANSLADO</t>
  </si>
  <si>
    <t>TRANSL</t>
  </si>
  <si>
    <t>TRANSMISSAO</t>
  </si>
  <si>
    <t>TRANSM</t>
  </si>
  <si>
    <t>TRANSMITIDO</t>
  </si>
  <si>
    <t>TRANSPLANTE</t>
  </si>
  <si>
    <t>TRANSPL</t>
  </si>
  <si>
    <t>TRANSPORTADA</t>
  </si>
  <si>
    <t>TRANSP</t>
  </si>
  <si>
    <t>TRANSPORTADO</t>
  </si>
  <si>
    <t>TRANSPORTADOR</t>
  </si>
  <si>
    <t>TRANSPORTADORA</t>
  </si>
  <si>
    <t>TRANSPORTE</t>
  </si>
  <si>
    <t>TRATAMENTO</t>
  </si>
  <si>
    <t>TRATAM</t>
  </si>
  <si>
    <t>TRAVESSA</t>
  </si>
  <si>
    <t>TRAVE</t>
  </si>
  <si>
    <t>TREINAMENTO</t>
  </si>
  <si>
    <t>TREINAM</t>
  </si>
  <si>
    <t>TRIAGEM</t>
  </si>
  <si>
    <t>TRIAG</t>
  </si>
  <si>
    <t>TRIANGULACAO</t>
  </si>
  <si>
    <t>TRIANG</t>
  </si>
  <si>
    <t>TRIANGULO</t>
  </si>
  <si>
    <t>TRIBUNAL</t>
  </si>
  <si>
    <t>TRIB</t>
  </si>
  <si>
    <t>TRIBUTACAO</t>
  </si>
  <si>
    <t>TRIBUT</t>
  </si>
  <si>
    <t>TRIBUTARIA</t>
  </si>
  <si>
    <t>TRIBUTARIO</t>
  </si>
  <si>
    <t>TRIBUTAVEL</t>
  </si>
  <si>
    <t>TRIBUTO</t>
  </si>
  <si>
    <t>TRIMESTRAL</t>
  </si>
  <si>
    <t>TRIM</t>
  </si>
  <si>
    <t>TRIMESTRE</t>
  </si>
  <si>
    <t>TRIPULACAO</t>
  </si>
  <si>
    <t>TRIPUL</t>
  </si>
  <si>
    <t>TRIPULANTE</t>
  </si>
  <si>
    <t>TURBINADO</t>
  </si>
  <si>
    <t>TURBIN</t>
  </si>
  <si>
    <t>TURISTICO</t>
  </si>
  <si>
    <t>TURIST</t>
  </si>
  <si>
    <t>TUTORIAL</t>
  </si>
  <si>
    <t>TUTOR</t>
  </si>
  <si>
    <t>UCBD</t>
  </si>
  <si>
    <t>Unidade Companhia Brasileira de Distribuição</t>
  </si>
  <si>
    <t>ULTIMA</t>
  </si>
  <si>
    <t>ULT</t>
  </si>
  <si>
    <t>ULTIMO</t>
  </si>
  <si>
    <t>ULTRAPASSAGEM</t>
  </si>
  <si>
    <t>ULTRAPAS</t>
  </si>
  <si>
    <t>UNICIDADE</t>
  </si>
  <si>
    <t>UNIC</t>
  </si>
  <si>
    <t>UNIDADE</t>
  </si>
  <si>
    <t>UNID</t>
  </si>
  <si>
    <t>UNIFICADA</t>
  </si>
  <si>
    <t>UNIF</t>
  </si>
  <si>
    <t>UNIFICADO</t>
  </si>
  <si>
    <t>UNIFORME</t>
  </si>
  <si>
    <t>UNIFOR</t>
  </si>
  <si>
    <t>UNITARIO</t>
  </si>
  <si>
    <t>UNIT</t>
  </si>
  <si>
    <t>UNIVERSITARIA</t>
  </si>
  <si>
    <t>UNIVERS</t>
  </si>
  <si>
    <t>UNIVERSO</t>
  </si>
  <si>
    <t>UNIVER</t>
  </si>
  <si>
    <t>URGENTE</t>
  </si>
  <si>
    <t>URG</t>
  </si>
  <si>
    <t>USUARIO</t>
  </si>
  <si>
    <t>USU</t>
  </si>
  <si>
    <t>UTILITARIO</t>
  </si>
  <si>
    <t>UTIL</t>
  </si>
  <si>
    <t>UTILIZACAO</t>
  </si>
  <si>
    <t>UTILIZADA</t>
  </si>
  <si>
    <t>UTILIZADO</t>
  </si>
  <si>
    <t>UTILIZAR</t>
  </si>
  <si>
    <t>VALE TRANSPORTE</t>
  </si>
  <si>
    <t>VT</t>
  </si>
  <si>
    <t>VALIDACAO</t>
  </si>
  <si>
    <t>VALID</t>
  </si>
  <si>
    <t>VALIDADA</t>
  </si>
  <si>
    <t>VALIDADE</t>
  </si>
  <si>
    <t>VALIDADO</t>
  </si>
  <si>
    <t>VALIDADOR</t>
  </si>
  <si>
    <t>VALIDO</t>
  </si>
  <si>
    <t>VALOR</t>
  </si>
  <si>
    <t>VAL</t>
  </si>
  <si>
    <t>VALORIZACAO</t>
  </si>
  <si>
    <t>VANDALISMO</t>
  </si>
  <si>
    <t>VANDAL</t>
  </si>
  <si>
    <t>VANTAGEM</t>
  </si>
  <si>
    <t>VANTAG</t>
  </si>
  <si>
    <t>VARIACAO</t>
  </si>
  <si>
    <t>VAR</t>
  </si>
  <si>
    <t>VARIAVEL</t>
  </si>
  <si>
    <t>VEICULO</t>
  </si>
  <si>
    <t>VEIC</t>
  </si>
  <si>
    <t>VELOCIDADE</t>
  </si>
  <si>
    <t>VELOC</t>
  </si>
  <si>
    <t>VENCEDOR</t>
  </si>
  <si>
    <t>VENCED</t>
  </si>
  <si>
    <t>VENCIDA</t>
  </si>
  <si>
    <t>VENC</t>
  </si>
  <si>
    <t>VENCIDO</t>
  </si>
  <si>
    <t>VENCIMENTO</t>
  </si>
  <si>
    <t>VENCTO</t>
  </si>
  <si>
    <t>VENDA</t>
  </si>
  <si>
    <t>VENDEDOR</t>
  </si>
  <si>
    <t>VEND</t>
  </si>
  <si>
    <t>VENDIDO</t>
  </si>
  <si>
    <t>VERACIDADE</t>
  </si>
  <si>
    <t>VERACID</t>
  </si>
  <si>
    <t>VERIFICACAO</t>
  </si>
  <si>
    <t>VERIFIC</t>
  </si>
  <si>
    <t>VERTICAL</t>
  </si>
  <si>
    <t>VERTIC</t>
  </si>
  <si>
    <t>VERTICE</t>
  </si>
  <si>
    <t>VIABILIDADE</t>
  </si>
  <si>
    <t>VIABIL</t>
  </si>
  <si>
    <t>VIABILIZADO</t>
  </si>
  <si>
    <t>VIAGEM</t>
  </si>
  <si>
    <t>VIAG</t>
  </si>
  <si>
    <t>VIAJANTE</t>
  </si>
  <si>
    <t>VIAJ</t>
  </si>
  <si>
    <t>VIGENCIA</t>
  </si>
  <si>
    <t>VIG</t>
  </si>
  <si>
    <t>VIGENTE</t>
  </si>
  <si>
    <t>VIGILANTE</t>
  </si>
  <si>
    <t>VIGIL</t>
  </si>
  <si>
    <t>VINCENDA</t>
  </si>
  <si>
    <t>VINCE</t>
  </si>
  <si>
    <t>VINCENDO</t>
  </si>
  <si>
    <t>VINCULACAO</t>
  </si>
  <si>
    <t>VINC</t>
  </si>
  <si>
    <t>VINCULADA</t>
  </si>
  <si>
    <t>VINCULADO</t>
  </si>
  <si>
    <t>VINCULO</t>
  </si>
  <si>
    <t>VIOLACAO</t>
  </si>
  <si>
    <t>VIOLA</t>
  </si>
  <si>
    <t>VISITADO</t>
  </si>
  <si>
    <t>VISIT</t>
  </si>
  <si>
    <t>VISITANTE</t>
  </si>
  <si>
    <t>VISTORIA</t>
  </si>
  <si>
    <t>VISTOR</t>
  </si>
  <si>
    <t>VISTORIADOR</t>
  </si>
  <si>
    <t>VISTORIADORA</t>
  </si>
  <si>
    <t>VISUALIZACAO</t>
  </si>
  <si>
    <t>VISUAL</t>
  </si>
  <si>
    <t>VOLATILIDADE</t>
  </si>
  <si>
    <t>VOLATIL</t>
  </si>
  <si>
    <t>VOLTAGEM</t>
  </si>
  <si>
    <t>VOLT</t>
  </si>
  <si>
    <t>VOLUME</t>
  </si>
  <si>
    <t>VOL</t>
  </si>
  <si>
    <t>VOLUNTARIO</t>
  </si>
  <si>
    <t>VOLUN</t>
  </si>
  <si>
    <t>VOTACAO</t>
  </si>
  <si>
    <t>VOTAC</t>
  </si>
  <si>
    <t>VOTANTE</t>
  </si>
  <si>
    <t>VOTAN</t>
  </si>
  <si>
    <t>VPN</t>
  </si>
  <si>
    <t>VENDOR PRODUCT NUMBER</t>
  </si>
  <si>
    <t>ZERADO</t>
  </si>
  <si>
    <t>ZERO</t>
  </si>
  <si>
    <t>ZERAGEM</t>
  </si>
  <si>
    <t>Nome</t>
  </si>
  <si>
    <t>Hab.</t>
  </si>
  <si>
    <t>ANO</t>
  </si>
  <si>
    <t>Ano</t>
  </si>
  <si>
    <t>ANO_</t>
  </si>
  <si>
    <t>Série de caracteres numéricos , armazena Ano ou Ano/Mês.</t>
  </si>
  <si>
    <t>Cod</t>
  </si>
  <si>
    <t>COD_</t>
  </si>
  <si>
    <t>Série de caracteres numéricos que armazenam algum código ou identificador de uma coluna.</t>
  </si>
  <si>
    <t>Dat</t>
  </si>
  <si>
    <t>DAT_</t>
  </si>
  <si>
    <t>Medida estabelecida para calcular, descrever e especificar a passagem do tempo, tanto em dia, mês e ano, individualmente, como em combinações destes itens.</t>
  </si>
  <si>
    <t>Desc</t>
  </si>
  <si>
    <t>DESC_</t>
  </si>
  <si>
    <t>Série de caracteres Alfabéticos, é a identificação detalhada de algo ou alguém.</t>
  </si>
  <si>
    <t>Dia</t>
  </si>
  <si>
    <t>DIA_</t>
  </si>
  <si>
    <t>Série de caracteres numéricos , armazena o dia.</t>
  </si>
  <si>
    <t>Dig</t>
  </si>
  <si>
    <t>DIG_</t>
  </si>
  <si>
    <t>Coluna do tipo numérico que armazena algum numero que seja de 1 ou 2 posições.</t>
  </si>
  <si>
    <t>End</t>
  </si>
  <si>
    <t>END_</t>
  </si>
  <si>
    <t>Dados utilizados para identificar uma determinada localização.</t>
  </si>
  <si>
    <t>Hor</t>
  </si>
  <si>
    <t>HOR_</t>
  </si>
  <si>
    <t>Registro que caracteriza o instante exato de uma ocorrência.</t>
  </si>
  <si>
    <t>Ind</t>
  </si>
  <si>
    <t>IND_</t>
  </si>
  <si>
    <t>Conteúdo binário ou Booleano, posui como domínio possível somente e empre 2 valores.</t>
  </si>
  <si>
    <t>Img</t>
  </si>
  <si>
    <t>IMG_</t>
  </si>
  <si>
    <t>Representa objetos complexos (BLOB, CLOB, entre outros) que podem assumir a formas de apresentação por imagem.</t>
  </si>
  <si>
    <t>Mes</t>
  </si>
  <si>
    <t>MES_</t>
  </si>
  <si>
    <t>Designação alfanumérica que expressa a maneira de se identificar algo ou alguém.</t>
  </si>
  <si>
    <t>NOME</t>
  </si>
  <si>
    <t>Nom</t>
  </si>
  <si>
    <t>NOM_</t>
  </si>
  <si>
    <t>Num</t>
  </si>
  <si>
    <t>NUM_</t>
  </si>
  <si>
    <t>Série de caracteres numéricos. Utilizado para identificar algum número além do identificador da tabela.</t>
  </si>
  <si>
    <t>Perc</t>
  </si>
  <si>
    <t>PERC_</t>
  </si>
  <si>
    <t>Indicador numérico usado para determinar partes centesimais de um todo.</t>
  </si>
  <si>
    <t>Qtd</t>
  </si>
  <si>
    <t>QTD_</t>
  </si>
  <si>
    <t>Série de caracteres numéricos com característica de tudo que possa ser contado ou quantificado, exceto acúmulo monetário e peso.</t>
  </si>
  <si>
    <t>Sgl</t>
  </si>
  <si>
    <t>SGL_</t>
  </si>
  <si>
    <t>Colunas do tipo caractere reduzido que armazenam dados como sigla, abreviações entre outros.</t>
  </si>
  <si>
    <t>Txt</t>
  </si>
  <si>
    <t>TXT_</t>
  </si>
  <si>
    <t>Série de caracteres que armazenam textos livres e sem formatação.</t>
  </si>
  <si>
    <t>Val</t>
  </si>
  <si>
    <t>VAL_</t>
  </si>
  <si>
    <t>Dados numéricos que representam qualquer soma em valor monetário (dinheiro).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</si>
</sst>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0"/>
      <name val="Arial"/>
    </font>
    <font>
      <sz val="8"/>
      <name val="Tahoma"/>
      <family val="2"/>
    </font>
    <font>
      <b/>
      <sz val="8"/>
      <color indexed="9"/>
      <name val="Tahoma"/>
      <family val="2"/>
    </font>
    <font>
      <b/>
      <sz val="8"/>
      <color indexed="9"/>
      <name val="Arial"/>
      <family val="2"/>
    </font>
    <font>
      <sz val="8"/>
      <name val="Arial"/>
      <family val="2"/>
    </font>
    <font>
      <sz val="8"/>
      <name val="Wingdings"/>
      <charset val="2"/>
    </font>
    <font>
      <sz val="8"/>
      <color rgb="FFFF0000"/>
      <name val="Tahoma"/>
      <family val="2"/>
    </font>
    <font>
      <sz val="8"/>
      <color theme="1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0"/>
      <color theme="9" tint="-0.249977111117893"/>
      <name val="Arial"/>
      <family val="2"/>
    </font>
    <font>
      <b/>
      <sz val="10"/>
      <color theme="9" tint="-0.249977111117893"/>
      <name val="Arial"/>
      <family val="2"/>
    </font>
    <font>
      <sz val="8"/>
      <color theme="9" tint="-0.249977111117893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sz val="10"/>
      <color theme="0" tint="-0.34998626667073579"/>
      <name val="Arial"/>
      <family val="2"/>
    </font>
    <font>
      <b/>
      <sz val="10"/>
      <name val="Arial"/>
      <family val="2"/>
    </font>
    <font>
      <sz val="11"/>
      <color theme="1"/>
      <name val="Arial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8"/>
      <color theme="0"/>
      <name val="Arial"/>
      <family val="2"/>
    </font>
    <font>
      <sz val="8"/>
      <color indexed="8"/>
      <name val="Tahoma"/>
      <family val="2"/>
    </font>
    <font>
      <sz val="10"/>
      <color theme="1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24"/>
      <color theme="1"/>
      <name val="Bodoni MT"/>
      <family val="1"/>
    </font>
    <font>
      <sz val="14"/>
      <color theme="1"/>
      <name val="Times"/>
      <family val="1"/>
    </font>
    <font>
      <b/>
      <i/>
      <sz val="14"/>
      <color theme="1"/>
      <name val="Times"/>
      <family val="1"/>
    </font>
  </fonts>
  <fills count="11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</fills>
  <borders count="35">
    <border>
      <left/>
      <right/>
      <top/>
      <bottom/>
      <diagonal/>
    </border>
    <border>
      <left style="thin">
        <color indexed="54"/>
      </left>
      <right style="thin">
        <color indexed="54"/>
      </right>
      <top style="thin">
        <color indexed="54"/>
      </top>
      <bottom style="thin">
        <color indexed="5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9">
    <xf numFmtId="0" fontId="0" fillId="0" borderId="0" xfId="0"/>
    <xf numFmtId="0" fontId="1" fillId="2" borderId="1" xfId="0" applyFont="1" applyFill="1" applyBorder="1" applyAlignment="1">
      <alignment vertical="top" wrapText="1"/>
    </xf>
    <xf numFmtId="0" fontId="1" fillId="0" borderId="0" xfId="0" applyFont="1" applyAlignment="1">
      <alignment vertical="top"/>
    </xf>
    <xf numFmtId="0" fontId="1" fillId="2" borderId="1" xfId="0" applyFont="1" applyFill="1" applyBorder="1" applyAlignment="1">
      <alignment vertical="top"/>
    </xf>
    <xf numFmtId="0" fontId="2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2" fillId="3" borderId="0" xfId="0" applyFont="1" applyFill="1" applyAlignment="1">
      <alignment horizontal="center" vertical="top" wrapText="1"/>
    </xf>
    <xf numFmtId="0" fontId="1" fillId="0" borderId="0" xfId="0" applyFont="1" applyAlignment="1">
      <alignment vertical="top" wrapText="1"/>
    </xf>
    <xf numFmtId="0" fontId="1" fillId="2" borderId="1" xfId="0" applyFont="1" applyFill="1" applyBorder="1" applyAlignment="1">
      <alignment horizontal="center" vertical="top"/>
    </xf>
    <xf numFmtId="0" fontId="1" fillId="0" borderId="0" xfId="0" applyFont="1" applyAlignment="1">
      <alignment horizontal="center" vertical="top" wrapText="1"/>
    </xf>
    <xf numFmtId="0" fontId="4" fillId="0" borderId="0" xfId="0" applyFont="1" applyAlignment="1">
      <alignment horizontal="center" vertical="top" wrapText="1"/>
    </xf>
    <xf numFmtId="0" fontId="4" fillId="0" borderId="0" xfId="0" applyFont="1"/>
    <xf numFmtId="0" fontId="4" fillId="0" borderId="0" xfId="0" applyFont="1" applyAlignment="1">
      <alignment horizontal="center"/>
    </xf>
    <xf numFmtId="0" fontId="5" fillId="2" borderId="1" xfId="0" applyFont="1" applyFill="1" applyBorder="1" applyAlignment="1">
      <alignment horizontal="center" vertical="top"/>
    </xf>
    <xf numFmtId="0" fontId="4" fillId="0" borderId="2" xfId="0" applyFont="1" applyBorder="1"/>
    <xf numFmtId="0" fontId="4" fillId="0" borderId="2" xfId="0" applyFont="1" applyBorder="1" applyAlignment="1">
      <alignment horizontal="center"/>
    </xf>
    <xf numFmtId="0" fontId="4" fillId="0" borderId="2" xfId="0" applyFont="1" applyFill="1" applyBorder="1"/>
    <xf numFmtId="0" fontId="4" fillId="0" borderId="0" xfId="0" applyFont="1" applyAlignment="1"/>
    <xf numFmtId="0" fontId="4" fillId="0" borderId="5" xfId="0" applyFont="1" applyBorder="1"/>
    <xf numFmtId="0" fontId="4" fillId="4" borderId="5" xfId="0" applyFont="1" applyFill="1" applyBorder="1" applyAlignment="1">
      <alignment horizontal="center"/>
    </xf>
    <xf numFmtId="0" fontId="4" fillId="5" borderId="2" xfId="0" applyFont="1" applyFill="1" applyBorder="1" applyAlignment="1">
      <alignment horizontal="center"/>
    </xf>
    <xf numFmtId="0" fontId="4" fillId="5" borderId="2" xfId="0" applyFont="1" applyFill="1" applyBorder="1"/>
    <xf numFmtId="0" fontId="4" fillId="5" borderId="7" xfId="0" applyFont="1" applyFill="1" applyBorder="1" applyAlignment="1">
      <alignment horizontal="center"/>
    </xf>
    <xf numFmtId="0" fontId="4" fillId="5" borderId="7" xfId="0" applyFont="1" applyFill="1" applyBorder="1"/>
    <xf numFmtId="0" fontId="4" fillId="5" borderId="8" xfId="0" applyFont="1" applyFill="1" applyBorder="1" applyAlignment="1">
      <alignment horizontal="center"/>
    </xf>
    <xf numFmtId="0" fontId="6" fillId="2" borderId="1" xfId="0" applyFont="1" applyFill="1" applyBorder="1" applyAlignment="1">
      <alignment vertical="top"/>
    </xf>
    <xf numFmtId="0" fontId="3" fillId="3" borderId="9" xfId="0" applyFont="1" applyFill="1" applyBorder="1" applyAlignment="1">
      <alignment horizontal="center" vertical="top" wrapText="1"/>
    </xf>
    <xf numFmtId="0" fontId="4" fillId="0" borderId="0" xfId="0" applyFont="1" applyBorder="1"/>
    <xf numFmtId="0" fontId="4" fillId="0" borderId="10" xfId="0" applyFont="1" applyBorder="1"/>
    <xf numFmtId="0" fontId="4" fillId="5" borderId="11" xfId="0" applyFont="1" applyFill="1" applyBorder="1"/>
    <xf numFmtId="0" fontId="4" fillId="0" borderId="9" xfId="0" applyFont="1" applyBorder="1"/>
    <xf numFmtId="0" fontId="4" fillId="0" borderId="0" xfId="0" applyFont="1" applyBorder="1" applyAlignment="1">
      <alignment horizontal="center"/>
    </xf>
    <xf numFmtId="0" fontId="7" fillId="6" borderId="12" xfId="0" applyFont="1" applyFill="1" applyBorder="1" applyAlignment="1">
      <alignment vertical="center"/>
    </xf>
    <xf numFmtId="0" fontId="1" fillId="2" borderId="3" xfId="0" applyFont="1" applyFill="1" applyBorder="1" applyAlignment="1">
      <alignment vertical="top"/>
    </xf>
    <xf numFmtId="0" fontId="1" fillId="0" borderId="3" xfId="0" applyFont="1" applyBorder="1" applyAlignment="1">
      <alignment vertical="top"/>
    </xf>
    <xf numFmtId="0" fontId="1" fillId="0" borderId="0" xfId="0" applyFont="1" applyBorder="1" applyAlignment="1">
      <alignment vertical="top"/>
    </xf>
    <xf numFmtId="0" fontId="4" fillId="0" borderId="2" xfId="0" quotePrefix="1" applyFont="1" applyFill="1" applyBorder="1"/>
    <xf numFmtId="0" fontId="0" fillId="0" borderId="2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0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8" fillId="0" borderId="0" xfId="0" applyFont="1"/>
    <xf numFmtId="0" fontId="8" fillId="0" borderId="2" xfId="0" applyFont="1" applyBorder="1"/>
    <xf numFmtId="0" fontId="4" fillId="0" borderId="16" xfId="0" applyFont="1" applyBorder="1" applyAlignment="1">
      <alignment vertical="top" wrapText="1"/>
    </xf>
    <xf numFmtId="0" fontId="4" fillId="0" borderId="0" xfId="0" applyFont="1" applyBorder="1" applyAlignment="1">
      <alignment vertical="top" wrapText="1"/>
    </xf>
    <xf numFmtId="0" fontId="0" fillId="0" borderId="22" xfId="0" applyBorder="1" applyAlignment="1"/>
    <xf numFmtId="0" fontId="0" fillId="0" borderId="23" xfId="0" applyBorder="1" applyAlignment="1"/>
    <xf numFmtId="0" fontId="8" fillId="0" borderId="18" xfId="0" applyFont="1" applyBorder="1"/>
    <xf numFmtId="0" fontId="0" fillId="0" borderId="6" xfId="0" applyBorder="1"/>
    <xf numFmtId="0" fontId="3" fillId="3" borderId="17" xfId="0" applyFont="1" applyFill="1" applyBorder="1" applyAlignment="1">
      <alignment horizontal="center" vertical="top" wrapText="1"/>
    </xf>
    <xf numFmtId="0" fontId="8" fillId="0" borderId="6" xfId="0" applyFont="1" applyBorder="1"/>
    <xf numFmtId="0" fontId="0" fillId="0" borderId="25" xfId="0" applyBorder="1" applyAlignment="1"/>
    <xf numFmtId="0" fontId="15" fillId="0" borderId="2" xfId="0" applyFont="1" applyBorder="1"/>
    <xf numFmtId="0" fontId="8" fillId="7" borderId="6" xfId="0" applyFont="1" applyFill="1" applyBorder="1"/>
    <xf numFmtId="0" fontId="8" fillId="8" borderId="18" xfId="0" applyFont="1" applyFill="1" applyBorder="1"/>
    <xf numFmtId="0" fontId="8" fillId="8" borderId="2" xfId="0" applyFont="1" applyFill="1" applyBorder="1"/>
    <xf numFmtId="0" fontId="17" fillId="6" borderId="12" xfId="0" applyFont="1" applyFill="1" applyBorder="1" applyAlignment="1">
      <alignment vertical="center"/>
    </xf>
    <xf numFmtId="0" fontId="17" fillId="6" borderId="26" xfId="0" applyFont="1" applyFill="1" applyBorder="1" applyAlignment="1">
      <alignment vertical="center"/>
    </xf>
    <xf numFmtId="0" fontId="18" fillId="6" borderId="22" xfId="0" applyFont="1" applyFill="1" applyBorder="1" applyAlignment="1">
      <alignment vertical="center"/>
    </xf>
    <xf numFmtId="0" fontId="0" fillId="6" borderId="22" xfId="0" applyFill="1" applyBorder="1" applyAlignment="1">
      <alignment vertical="center"/>
    </xf>
    <xf numFmtId="0" fontId="18" fillId="0" borderId="22" xfId="0" applyFont="1" applyFill="1" applyBorder="1" applyAlignment="1">
      <alignment vertical="center"/>
    </xf>
    <xf numFmtId="0" fontId="4" fillId="0" borderId="5" xfId="0" applyFont="1" applyFill="1" applyBorder="1"/>
    <xf numFmtId="0" fontId="4" fillId="0" borderId="5" xfId="0" applyFont="1" applyBorder="1" applyAlignment="1">
      <alignment horizontal="center"/>
    </xf>
    <xf numFmtId="0" fontId="4" fillId="0" borderId="27" xfId="0" applyFont="1" applyFill="1" applyBorder="1"/>
    <xf numFmtId="0" fontId="4" fillId="0" borderId="27" xfId="0" applyFont="1" applyBorder="1" applyAlignment="1">
      <alignment horizontal="center"/>
    </xf>
    <xf numFmtId="0" fontId="4" fillId="0" borderId="28" xfId="0" applyFont="1" applyBorder="1"/>
    <xf numFmtId="0" fontId="4" fillId="0" borderId="27" xfId="0" applyFont="1" applyBorder="1"/>
    <xf numFmtId="0" fontId="4" fillId="0" borderId="29" xfId="0" applyFont="1" applyFill="1" applyBorder="1"/>
    <xf numFmtId="0" fontId="4" fillId="0" borderId="7" xfId="0" applyFont="1" applyBorder="1" applyAlignment="1">
      <alignment horizontal="center"/>
    </xf>
    <xf numFmtId="0" fontId="4" fillId="0" borderId="11" xfId="0" applyFont="1" applyBorder="1"/>
    <xf numFmtId="0" fontId="4" fillId="0" borderId="7" xfId="0" applyFont="1" applyBorder="1"/>
    <xf numFmtId="0" fontId="4" fillId="0" borderId="8" xfId="0" applyFont="1" applyBorder="1" applyAlignment="1">
      <alignment horizontal="center"/>
    </xf>
    <xf numFmtId="0" fontId="4" fillId="0" borderId="18" xfId="0" applyFont="1" applyFill="1" applyBorder="1"/>
    <xf numFmtId="0" fontId="4" fillId="0" borderId="6" xfId="0" applyFont="1" applyBorder="1" applyAlignment="1">
      <alignment horizontal="center"/>
    </xf>
    <xf numFmtId="0" fontId="4" fillId="0" borderId="30" xfId="0" applyFont="1" applyFill="1" applyBorder="1"/>
    <xf numFmtId="0" fontId="4" fillId="0" borderId="31" xfId="0" applyFont="1" applyBorder="1" applyAlignment="1">
      <alignment horizontal="center"/>
    </xf>
    <xf numFmtId="0" fontId="4" fillId="0" borderId="32" xfId="0" applyFont="1" applyBorder="1"/>
    <xf numFmtId="0" fontId="4" fillId="0" borderId="31" xfId="0" applyFont="1" applyBorder="1"/>
    <xf numFmtId="0" fontId="4" fillId="0" borderId="33" xfId="0" applyFont="1" applyBorder="1" applyAlignment="1">
      <alignment horizontal="center"/>
    </xf>
    <xf numFmtId="0" fontId="19" fillId="6" borderId="22" xfId="0" applyFont="1" applyFill="1" applyBorder="1" applyAlignment="1">
      <alignment vertical="center"/>
    </xf>
    <xf numFmtId="0" fontId="4" fillId="5" borderId="34" xfId="0" applyFont="1" applyFill="1" applyBorder="1"/>
    <xf numFmtId="0" fontId="20" fillId="9" borderId="2" xfId="0" applyFont="1" applyFill="1" applyBorder="1"/>
    <xf numFmtId="0" fontId="21" fillId="2" borderId="1" xfId="0" applyFont="1" applyFill="1" applyBorder="1" applyAlignment="1">
      <alignment horizontal="left" wrapText="1"/>
    </xf>
    <xf numFmtId="0" fontId="21" fillId="2" borderId="0" xfId="0" applyFont="1" applyFill="1" applyBorder="1" applyAlignment="1">
      <alignment horizontal="left" wrapText="1"/>
    </xf>
    <xf numFmtId="0" fontId="0" fillId="10" borderId="0" xfId="0" applyFill="1"/>
    <xf numFmtId="0" fontId="8" fillId="10" borderId="0" xfId="0" applyFont="1" applyFill="1"/>
    <xf numFmtId="0" fontId="25" fillId="10" borderId="0" xfId="0" applyFont="1" applyFill="1" applyBorder="1" applyAlignment="1">
      <alignment horizontal="center"/>
    </xf>
    <xf numFmtId="0" fontId="22" fillId="10" borderId="0" xfId="0" applyFont="1" applyFill="1"/>
    <xf numFmtId="0" fontId="26" fillId="10" borderId="0" xfId="0" applyFont="1" applyFill="1" applyBorder="1" applyAlignment="1">
      <alignment horizontal="left"/>
    </xf>
    <xf numFmtId="0" fontId="26" fillId="10" borderId="0" xfId="0" applyFont="1" applyFill="1" applyBorder="1" applyAlignment="1">
      <alignment horizontal="left" wrapText="1"/>
    </xf>
    <xf numFmtId="0" fontId="3" fillId="3" borderId="2" xfId="0" applyFont="1" applyFill="1" applyBorder="1" applyAlignment="1">
      <alignment horizontal="center" vertical="top" wrapText="1"/>
    </xf>
    <xf numFmtId="0" fontId="4" fillId="0" borderId="16" xfId="0" applyFont="1" applyBorder="1" applyAlignment="1">
      <alignment horizontal="left" vertical="top" wrapText="1" indent="1"/>
    </xf>
    <xf numFmtId="0" fontId="1" fillId="2" borderId="4" xfId="0" applyFont="1" applyFill="1" applyBorder="1" applyAlignment="1">
      <alignment vertical="top"/>
    </xf>
    <xf numFmtId="0" fontId="8" fillId="0" borderId="18" xfId="0" applyFont="1" applyBorder="1" applyAlignment="1">
      <alignment horizontal="left"/>
    </xf>
    <xf numFmtId="0" fontId="8" fillId="0" borderId="2" xfId="0" applyFont="1" applyBorder="1" applyAlignment="1">
      <alignment horizontal="left"/>
    </xf>
    <xf numFmtId="0" fontId="0" fillId="0" borderId="16" xfId="0" applyBorder="1" applyAlignment="1">
      <alignment horizontal="left" indent="4"/>
    </xf>
    <xf numFmtId="0" fontId="0" fillId="0" borderId="0" xfId="0" applyBorder="1" applyAlignment="1">
      <alignment horizontal="left" indent="4"/>
    </xf>
    <xf numFmtId="0" fontId="0" fillId="0" borderId="17" xfId="0" applyBorder="1" applyAlignment="1">
      <alignment horizontal="left" indent="4"/>
    </xf>
    <xf numFmtId="0" fontId="4" fillId="0" borderId="16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 wrapText="1"/>
    </xf>
    <xf numFmtId="0" fontId="4" fillId="0" borderId="17" xfId="0" applyFont="1" applyBorder="1" applyAlignment="1">
      <alignment horizontal="left" vertical="top" wrapText="1"/>
    </xf>
    <xf numFmtId="0" fontId="0" fillId="0" borderId="18" xfId="0" applyBorder="1" applyAlignment="1">
      <alignment horizontal="left"/>
    </xf>
    <xf numFmtId="0" fontId="0" fillId="0" borderId="2" xfId="0" applyBorder="1" applyAlignment="1">
      <alignment horizontal="left"/>
    </xf>
    <xf numFmtId="0" fontId="10" fillId="0" borderId="18" xfId="0" applyFont="1" applyBorder="1" applyAlignment="1">
      <alignment horizontal="left"/>
    </xf>
    <xf numFmtId="0" fontId="10" fillId="0" borderId="2" xfId="0" applyFont="1" applyBorder="1" applyAlignment="1">
      <alignment horizontal="left"/>
    </xf>
    <xf numFmtId="0" fontId="14" fillId="0" borderId="0" xfId="0" applyFont="1" applyBorder="1" applyAlignment="1">
      <alignment horizontal="left"/>
    </xf>
    <xf numFmtId="0" fontId="9" fillId="8" borderId="18" xfId="0" applyFont="1" applyFill="1" applyBorder="1" applyAlignment="1">
      <alignment horizontal="left"/>
    </xf>
    <xf numFmtId="0" fontId="9" fillId="8" borderId="2" xfId="0" applyFont="1" applyFill="1" applyBorder="1" applyAlignment="1">
      <alignment horizontal="left"/>
    </xf>
    <xf numFmtId="0" fontId="8" fillId="8" borderId="18" xfId="0" applyFont="1" applyFill="1" applyBorder="1" applyAlignment="1">
      <alignment horizontal="left"/>
    </xf>
    <xf numFmtId="0" fontId="8" fillId="8" borderId="2" xfId="0" applyFont="1" applyFill="1" applyBorder="1" applyAlignment="1">
      <alignment horizontal="left"/>
    </xf>
    <xf numFmtId="0" fontId="3" fillId="3" borderId="16" xfId="0" applyFont="1" applyFill="1" applyBorder="1" applyAlignment="1">
      <alignment horizontal="center" vertical="top" wrapText="1"/>
    </xf>
    <xf numFmtId="0" fontId="3" fillId="3" borderId="0" xfId="0" applyFont="1" applyFill="1" applyBorder="1" applyAlignment="1">
      <alignment horizontal="center" vertical="top" wrapText="1"/>
    </xf>
    <xf numFmtId="0" fontId="8" fillId="0" borderId="24" xfId="0" applyFont="1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25" xfId="0" applyBorder="1" applyAlignment="1">
      <alignment horizontal="left"/>
    </xf>
    <xf numFmtId="0" fontId="8" fillId="0" borderId="13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3" fillId="3" borderId="18" xfId="0" applyFont="1" applyFill="1" applyBorder="1" applyAlignment="1">
      <alignment horizontal="center" vertical="top" wrapText="1"/>
    </xf>
    <xf numFmtId="0" fontId="3" fillId="3" borderId="2" xfId="0" applyFont="1" applyFill="1" applyBorder="1" applyAlignment="1">
      <alignment horizontal="center" vertical="top" wrapText="1"/>
    </xf>
    <xf numFmtId="0" fontId="3" fillId="3" borderId="6" xfId="0" applyFont="1" applyFill="1" applyBorder="1" applyAlignment="1">
      <alignment horizontal="center" vertical="top" wrapText="1"/>
    </xf>
    <xf numFmtId="0" fontId="0" fillId="0" borderId="24" xfId="0" applyBorder="1" applyAlignment="1">
      <alignment horizontal="left"/>
    </xf>
    <xf numFmtId="0" fontId="16" fillId="8" borderId="24" xfId="0" applyFont="1" applyFill="1" applyBorder="1" applyAlignment="1">
      <alignment horizontal="left"/>
    </xf>
    <xf numFmtId="0" fontId="16" fillId="8" borderId="23" xfId="0" applyFont="1" applyFill="1" applyBorder="1" applyAlignment="1">
      <alignment horizontal="left"/>
    </xf>
    <xf numFmtId="0" fontId="16" fillId="8" borderId="25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left" vertical="top" wrapText="1"/>
    </xf>
    <xf numFmtId="0" fontId="3" fillId="3" borderId="2" xfId="0" applyFont="1" applyFill="1" applyBorder="1" applyAlignment="1">
      <alignment horizontal="left" vertical="top" wrapText="1"/>
    </xf>
    <xf numFmtId="0" fontId="3" fillId="3" borderId="6" xfId="0" applyFont="1" applyFill="1" applyBorder="1" applyAlignment="1">
      <alignment horizontal="left" vertical="top" wrapText="1"/>
    </xf>
    <xf numFmtId="0" fontId="16" fillId="8" borderId="18" xfId="0" applyFont="1" applyFill="1" applyBorder="1" applyAlignment="1">
      <alignment horizontal="left"/>
    </xf>
    <xf numFmtId="0" fontId="16" fillId="8" borderId="2" xfId="0" applyFont="1" applyFill="1" applyBorder="1" applyAlignment="1">
      <alignment horizontal="left"/>
    </xf>
    <xf numFmtId="0" fontId="16" fillId="8" borderId="6" xfId="0" applyFont="1" applyFill="1" applyBorder="1" applyAlignment="1">
      <alignment horizontal="left"/>
    </xf>
    <xf numFmtId="0" fontId="4" fillId="0" borderId="16" xfId="0" applyFont="1" applyBorder="1" applyAlignment="1">
      <alignment horizontal="left" vertical="top" wrapText="1" indent="1"/>
    </xf>
    <xf numFmtId="0" fontId="4" fillId="0" borderId="0" xfId="0" applyFont="1" applyBorder="1" applyAlignment="1">
      <alignment horizontal="left" vertical="top" wrapText="1" indent="1"/>
    </xf>
    <xf numFmtId="0" fontId="4" fillId="0" borderId="17" xfId="0" applyFont="1" applyBorder="1" applyAlignment="1">
      <alignment horizontal="left" vertical="top" wrapText="1" indent="1"/>
    </xf>
  </cellXfs>
  <cellStyles count="1">
    <cellStyle name="Normal" xfId="0" builtinId="0"/>
  </cellStyles>
  <dxfs count="2953"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ont>
        <condense val="0"/>
        <extend val="0"/>
        <color indexed="9"/>
      </font>
      <fill>
        <patternFill>
          <bgColor indexed="16"/>
        </patternFill>
      </fill>
    </dxf>
    <dxf>
      <fill>
        <patternFill>
          <bgColor indexed="26"/>
        </patternFill>
      </fill>
    </dxf>
    <dxf>
      <font>
        <condense val="0"/>
        <extend val="0"/>
        <color indexed="22"/>
      </font>
    </dxf>
    <dxf>
      <fill>
        <patternFill>
          <bgColor indexed="26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FISSIONAIS%20-%20PROJETOS\BRADESCO\CEAQ\Figa\Conversor%20Thesaurus%20v1.2%20CDPS%20v3%20Entidade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versor"/>
      <sheetName val="Thesaurus"/>
      <sheetName val="Naturezas"/>
    </sheet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G15"/>
  <sheetViews>
    <sheetView topLeftCell="A4" workbookViewId="0">
      <selection activeCell="D8" sqref="D8"/>
    </sheetView>
  </sheetViews>
  <sheetFormatPr defaultColWidth="9.140625" defaultRowHeight="12.75" x14ac:dyDescent="0.2"/>
  <cols>
    <col min="1" max="6" width="9.140625" style="90"/>
    <col min="7" max="7" width="70.28515625" style="90" bestFit="1" customWidth="1"/>
    <col min="8" max="16384" width="9.140625" style="90"/>
  </cols>
  <sheetData>
    <row r="3" spans="6:7" ht="30.75" x14ac:dyDescent="0.45">
      <c r="G3" s="92" t="s">
        <v>36</v>
      </c>
    </row>
    <row r="4" spans="6:7" x14ac:dyDescent="0.2">
      <c r="G4" s="93"/>
    </row>
    <row r="5" spans="6:7" x14ac:dyDescent="0.2">
      <c r="G5" s="93"/>
    </row>
    <row r="6" spans="6:7" ht="19.5" x14ac:dyDescent="0.35">
      <c r="G6" s="94" t="s">
        <v>37</v>
      </c>
    </row>
    <row r="7" spans="6:7" ht="18.75" x14ac:dyDescent="0.3">
      <c r="G7" s="94"/>
    </row>
    <row r="8" spans="6:7" ht="18.75" x14ac:dyDescent="0.3">
      <c r="G8" s="95" t="s">
        <v>38</v>
      </c>
    </row>
    <row r="9" spans="6:7" ht="18.75" x14ac:dyDescent="0.3">
      <c r="G9" s="95"/>
    </row>
    <row r="10" spans="6:7" ht="19.5" x14ac:dyDescent="0.35">
      <c r="G10" s="95" t="s">
        <v>39</v>
      </c>
    </row>
    <row r="11" spans="6:7" ht="18.75" x14ac:dyDescent="0.3">
      <c r="G11" s="95"/>
    </row>
    <row r="12" spans="6:7" ht="37.5" x14ac:dyDescent="0.3">
      <c r="G12" s="95" t="s">
        <v>40</v>
      </c>
    </row>
    <row r="13" spans="6:7" ht="18.75" x14ac:dyDescent="0.3">
      <c r="G13" s="95"/>
    </row>
    <row r="14" spans="6:7" ht="38.25" x14ac:dyDescent="0.3">
      <c r="F14" s="91" t="s">
        <v>41</v>
      </c>
      <c r="G14" s="95" t="s">
        <v>42</v>
      </c>
    </row>
    <row r="15" spans="6:7" ht="19.5" x14ac:dyDescent="0.35">
      <c r="G15" s="94" t="s">
        <v>43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37"/>
  <sheetViews>
    <sheetView showGridLines="0" topLeftCell="A16" workbookViewId="0">
      <selection activeCell="G27" sqref="G27"/>
    </sheetView>
  </sheetViews>
  <sheetFormatPr defaultRowHeight="12.75" x14ac:dyDescent="0.2"/>
  <cols>
    <col min="1" max="1" width="8" customWidth="1"/>
    <col min="5" max="5" width="43.140625" customWidth="1"/>
  </cols>
  <sheetData>
    <row r="1" spans="1:13" ht="23.25" x14ac:dyDescent="0.35">
      <c r="A1" s="111" t="s">
        <v>0</v>
      </c>
      <c r="B1" s="111"/>
      <c r="C1" s="111"/>
      <c r="D1" s="111"/>
      <c r="E1" s="111"/>
      <c r="G1" s="41"/>
      <c r="H1" s="41"/>
      <c r="I1" s="41"/>
      <c r="J1" s="41"/>
      <c r="K1" s="41"/>
      <c r="L1" s="41"/>
      <c r="M1" s="41"/>
    </row>
    <row r="2" spans="1:13" ht="13.5" thickBot="1" x14ac:dyDescent="0.25">
      <c r="A2" s="41"/>
      <c r="B2" s="41"/>
      <c r="C2" s="41"/>
      <c r="D2" s="41"/>
      <c r="E2" s="41"/>
      <c r="G2" s="41"/>
      <c r="H2" s="41"/>
      <c r="I2" s="41"/>
      <c r="J2" s="41"/>
      <c r="K2" s="41"/>
      <c r="L2" s="41"/>
      <c r="M2" s="41"/>
    </row>
    <row r="3" spans="1:13" x14ac:dyDescent="0.2">
      <c r="A3" s="121" t="s">
        <v>1</v>
      </c>
      <c r="B3" s="122"/>
      <c r="C3" s="38"/>
      <c r="D3" s="38"/>
      <c r="E3" s="39"/>
      <c r="G3" s="121" t="s">
        <v>2</v>
      </c>
      <c r="H3" s="122"/>
      <c r="I3" s="38"/>
      <c r="J3" s="38"/>
      <c r="K3" s="38"/>
      <c r="L3" s="38"/>
      <c r="M3" s="39"/>
    </row>
    <row r="4" spans="1:13" s="10" customFormat="1" ht="11.25" customHeight="1" x14ac:dyDescent="0.2">
      <c r="A4" s="104" t="s">
        <v>3</v>
      </c>
      <c r="B4" s="105"/>
      <c r="C4" s="105"/>
      <c r="D4" s="105"/>
      <c r="E4" s="106"/>
      <c r="G4" s="104" t="s">
        <v>4</v>
      </c>
      <c r="H4" s="105"/>
      <c r="I4" s="105"/>
      <c r="J4" s="105"/>
      <c r="K4" s="105"/>
      <c r="L4" s="105"/>
      <c r="M4" s="106"/>
    </row>
    <row r="5" spans="1:13" x14ac:dyDescent="0.2">
      <c r="A5" s="136" t="s">
        <v>5</v>
      </c>
      <c r="B5" s="137"/>
      <c r="C5" s="137"/>
      <c r="D5" s="137"/>
      <c r="E5" s="138"/>
      <c r="G5" s="49"/>
      <c r="H5" s="50"/>
      <c r="I5" s="50"/>
      <c r="J5" s="50"/>
      <c r="K5" s="50"/>
      <c r="L5" s="41"/>
      <c r="M5" s="42"/>
    </row>
    <row r="6" spans="1:13" x14ac:dyDescent="0.2">
      <c r="A6" s="101" t="s">
        <v>6</v>
      </c>
      <c r="B6" s="102"/>
      <c r="C6" s="102"/>
      <c r="D6" s="102"/>
      <c r="E6" s="103"/>
      <c r="G6" s="40"/>
      <c r="H6" s="41"/>
      <c r="I6" s="41"/>
      <c r="J6" s="41"/>
      <c r="K6" s="41"/>
      <c r="L6" s="41"/>
      <c r="M6" s="42"/>
    </row>
    <row r="7" spans="1:13" x14ac:dyDescent="0.2">
      <c r="A7" s="101" t="s">
        <v>7</v>
      </c>
      <c r="B7" s="102"/>
      <c r="C7" s="102"/>
      <c r="D7" s="102"/>
      <c r="E7" s="103"/>
      <c r="G7" s="40"/>
      <c r="H7" s="41"/>
      <c r="I7" s="41"/>
      <c r="J7" s="41"/>
      <c r="K7" s="41"/>
      <c r="L7" s="41"/>
      <c r="M7" s="42"/>
    </row>
    <row r="8" spans="1:13" x14ac:dyDescent="0.2">
      <c r="A8" s="40"/>
      <c r="B8" s="41"/>
      <c r="C8" s="41"/>
      <c r="D8" s="41"/>
      <c r="E8" s="42"/>
      <c r="G8" s="40"/>
      <c r="H8" s="41"/>
      <c r="I8" s="41"/>
      <c r="J8" s="41"/>
      <c r="K8" s="41"/>
      <c r="L8" s="41"/>
      <c r="M8" s="42"/>
    </row>
    <row r="9" spans="1:13" ht="12.75" customHeight="1" x14ac:dyDescent="0.2">
      <c r="A9" s="130" t="s">
        <v>8</v>
      </c>
      <c r="B9" s="131"/>
      <c r="C9" s="131"/>
      <c r="D9" s="131"/>
      <c r="E9" s="132"/>
      <c r="G9" s="123" t="s">
        <v>9</v>
      </c>
      <c r="H9" s="124"/>
      <c r="I9" s="124"/>
      <c r="J9" s="124"/>
      <c r="K9" s="124"/>
      <c r="L9" s="124"/>
      <c r="M9" s="125"/>
    </row>
    <row r="10" spans="1:13" x14ac:dyDescent="0.2">
      <c r="A10" s="133" t="s">
        <v>10</v>
      </c>
      <c r="B10" s="134"/>
      <c r="C10" s="134"/>
      <c r="D10" s="134"/>
      <c r="E10" s="135"/>
      <c r="G10" s="60" t="s">
        <v>11</v>
      </c>
      <c r="H10" s="61" t="s">
        <v>11</v>
      </c>
      <c r="I10" s="61" t="s">
        <v>11</v>
      </c>
      <c r="J10" s="61" t="s">
        <v>11</v>
      </c>
      <c r="K10" s="61" t="s">
        <v>11</v>
      </c>
      <c r="L10" s="61" t="s">
        <v>11</v>
      </c>
      <c r="M10" s="61" t="s">
        <v>11</v>
      </c>
    </row>
    <row r="11" spans="1:13" x14ac:dyDescent="0.2">
      <c r="A11" s="43" t="s">
        <v>12</v>
      </c>
      <c r="B11" s="37"/>
      <c r="C11" s="51"/>
      <c r="D11" s="52"/>
      <c r="E11" s="57"/>
      <c r="G11" s="53" t="s">
        <v>11</v>
      </c>
      <c r="H11" s="48" t="s">
        <v>11</v>
      </c>
      <c r="I11" s="48" t="s">
        <v>11</v>
      </c>
      <c r="J11" s="58" t="s">
        <v>13</v>
      </c>
      <c r="K11" s="58" t="s">
        <v>13</v>
      </c>
      <c r="L11" s="58" t="s">
        <v>13</v>
      </c>
      <c r="M11" s="58" t="s">
        <v>13</v>
      </c>
    </row>
    <row r="12" spans="1:13" x14ac:dyDescent="0.2">
      <c r="A12" s="126" t="s">
        <v>14</v>
      </c>
      <c r="B12" s="119"/>
      <c r="C12" s="119"/>
      <c r="D12" s="119"/>
      <c r="E12" s="120"/>
      <c r="G12" s="53" t="s">
        <v>11</v>
      </c>
      <c r="H12" s="48" t="s">
        <v>11</v>
      </c>
      <c r="I12" s="48" t="s">
        <v>11</v>
      </c>
      <c r="J12" s="58" t="s">
        <v>13</v>
      </c>
      <c r="K12" s="58" t="s">
        <v>13</v>
      </c>
      <c r="L12" s="58" t="s">
        <v>13</v>
      </c>
      <c r="M12" s="58" t="s">
        <v>13</v>
      </c>
    </row>
    <row r="13" spans="1:13" x14ac:dyDescent="0.2">
      <c r="A13" s="126" t="s">
        <v>15</v>
      </c>
      <c r="B13" s="119"/>
      <c r="C13" s="119"/>
      <c r="D13" s="119"/>
      <c r="E13" s="120"/>
      <c r="G13" s="53" t="s">
        <v>11</v>
      </c>
      <c r="H13" s="48" t="s">
        <v>11</v>
      </c>
      <c r="I13" s="48" t="s">
        <v>11</v>
      </c>
      <c r="J13" s="58" t="s">
        <v>13</v>
      </c>
      <c r="K13" s="58" t="s">
        <v>13</v>
      </c>
      <c r="L13" s="58" t="s">
        <v>13</v>
      </c>
      <c r="M13" s="58" t="s">
        <v>13</v>
      </c>
    </row>
    <row r="14" spans="1:13" x14ac:dyDescent="0.2">
      <c r="A14" s="127" t="s">
        <v>16</v>
      </c>
      <c r="B14" s="128"/>
      <c r="C14" s="128"/>
      <c r="D14" s="128"/>
      <c r="E14" s="129"/>
      <c r="G14" s="60" t="s">
        <v>11</v>
      </c>
      <c r="H14" s="61" t="s">
        <v>11</v>
      </c>
      <c r="I14" s="61" t="s">
        <v>11</v>
      </c>
      <c r="J14" s="61" t="s">
        <v>11</v>
      </c>
      <c r="K14" s="61" t="s">
        <v>11</v>
      </c>
      <c r="L14" s="61"/>
      <c r="M14" s="61" t="s">
        <v>11</v>
      </c>
    </row>
    <row r="15" spans="1:13" x14ac:dyDescent="0.2">
      <c r="A15" s="118" t="s">
        <v>17</v>
      </c>
      <c r="B15" s="119"/>
      <c r="C15" s="119"/>
      <c r="D15" s="119"/>
      <c r="E15" s="120"/>
      <c r="G15" s="53" t="s">
        <v>11</v>
      </c>
      <c r="H15" s="48" t="s">
        <v>11</v>
      </c>
      <c r="I15" s="48" t="s">
        <v>11</v>
      </c>
      <c r="J15" s="48" t="s">
        <v>13</v>
      </c>
      <c r="K15" s="58" t="s">
        <v>13</v>
      </c>
      <c r="L15" s="58" t="s">
        <v>13</v>
      </c>
      <c r="M15" s="58" t="s">
        <v>13</v>
      </c>
    </row>
    <row r="16" spans="1:13" ht="13.5" thickBot="1" x14ac:dyDescent="0.25">
      <c r="A16" s="44"/>
      <c r="B16" s="45"/>
      <c r="C16" s="45"/>
      <c r="D16" s="45"/>
      <c r="E16" s="46"/>
      <c r="G16" s="44"/>
      <c r="H16" s="45"/>
      <c r="I16" s="45"/>
      <c r="J16" s="45"/>
      <c r="K16" s="45"/>
      <c r="L16" s="45"/>
      <c r="M16" s="46"/>
    </row>
    <row r="17" spans="1:13" ht="13.5" thickBot="1" x14ac:dyDescent="0.25">
      <c r="G17" s="41"/>
      <c r="H17" s="41"/>
      <c r="I17" s="41"/>
      <c r="J17" s="41"/>
      <c r="K17" s="41"/>
      <c r="L17" s="41"/>
      <c r="M17" s="41"/>
    </row>
    <row r="18" spans="1:13" x14ac:dyDescent="0.2">
      <c r="A18" s="121" t="s">
        <v>18</v>
      </c>
      <c r="B18" s="122"/>
      <c r="C18" s="38"/>
      <c r="D18" s="38"/>
      <c r="E18" s="38"/>
      <c r="F18" s="38"/>
      <c r="G18" s="39"/>
      <c r="H18" s="41"/>
      <c r="I18" s="41"/>
      <c r="J18" s="41"/>
      <c r="K18" s="41"/>
      <c r="L18" s="41"/>
      <c r="M18" s="41"/>
    </row>
    <row r="19" spans="1:13" x14ac:dyDescent="0.2">
      <c r="A19" s="104" t="s">
        <v>19</v>
      </c>
      <c r="B19" s="105"/>
      <c r="C19" s="105"/>
      <c r="D19" s="105"/>
      <c r="E19" s="105"/>
      <c r="F19" s="105"/>
      <c r="G19" s="106"/>
      <c r="H19" s="41"/>
      <c r="I19" s="41"/>
      <c r="J19" s="41"/>
      <c r="K19" s="41"/>
      <c r="L19" s="41"/>
      <c r="M19" s="41"/>
    </row>
    <row r="20" spans="1:13" ht="25.5" customHeight="1" x14ac:dyDescent="0.2">
      <c r="A20" s="97" t="s">
        <v>5</v>
      </c>
      <c r="B20" s="105" t="s">
        <v>20</v>
      </c>
      <c r="C20" s="105"/>
      <c r="D20" s="105"/>
      <c r="E20" s="105"/>
      <c r="F20" s="105"/>
      <c r="G20" s="106"/>
      <c r="H20" s="41"/>
      <c r="I20" s="41"/>
      <c r="J20" s="41"/>
      <c r="K20" s="41"/>
      <c r="L20" s="41"/>
      <c r="M20" s="41"/>
    </row>
    <row r="21" spans="1:13" x14ac:dyDescent="0.2">
      <c r="A21" s="40"/>
      <c r="B21" s="105" t="s">
        <v>21</v>
      </c>
      <c r="C21" s="105"/>
      <c r="D21" s="105"/>
      <c r="E21" s="105"/>
      <c r="F21" s="105"/>
      <c r="G21" s="106"/>
      <c r="H21" s="41"/>
      <c r="I21" s="41"/>
      <c r="J21" s="41"/>
      <c r="K21" s="41"/>
      <c r="L21" s="41"/>
      <c r="M21" s="41"/>
    </row>
    <row r="22" spans="1:13" ht="26.25" customHeight="1" x14ac:dyDescent="0.2">
      <c r="A22" s="40"/>
      <c r="B22" s="105" t="s">
        <v>22</v>
      </c>
      <c r="C22" s="105"/>
      <c r="D22" s="105"/>
      <c r="E22" s="105"/>
      <c r="F22" s="105"/>
      <c r="G22" s="106"/>
      <c r="H22" s="41"/>
      <c r="I22" s="41"/>
      <c r="J22" s="41"/>
      <c r="K22" s="41"/>
      <c r="L22" s="41"/>
      <c r="M22" s="41"/>
    </row>
    <row r="23" spans="1:13" ht="43.5" customHeight="1" x14ac:dyDescent="0.2">
      <c r="A23" s="40"/>
      <c r="B23" s="105" t="s">
        <v>23</v>
      </c>
      <c r="C23" s="105"/>
      <c r="D23" s="105"/>
      <c r="E23" s="105"/>
      <c r="F23" s="105"/>
      <c r="G23" s="106"/>
      <c r="H23" s="41"/>
      <c r="I23" s="41"/>
      <c r="J23" s="41"/>
      <c r="K23" s="41"/>
      <c r="L23" s="41"/>
      <c r="M23" s="41"/>
    </row>
    <row r="24" spans="1:13" x14ac:dyDescent="0.2">
      <c r="A24" s="40"/>
      <c r="B24" s="105"/>
      <c r="C24" s="105"/>
      <c r="D24" s="105"/>
      <c r="E24" s="105"/>
      <c r="F24" s="105"/>
      <c r="G24" s="106"/>
      <c r="H24" s="41"/>
      <c r="I24" s="41"/>
      <c r="J24" s="41"/>
      <c r="K24" s="41"/>
      <c r="L24" s="41"/>
      <c r="M24" s="41"/>
    </row>
    <row r="25" spans="1:13" ht="12.75" customHeight="1" x14ac:dyDescent="0.2">
      <c r="A25" s="116" t="s">
        <v>24</v>
      </c>
      <c r="B25" s="117"/>
      <c r="C25" s="117"/>
      <c r="D25" s="117"/>
      <c r="E25" s="117"/>
      <c r="F25" s="117"/>
      <c r="G25" s="55" t="str">
        <f>"Tam.Máx Físico "&amp;G27&amp;" char"</f>
        <v>Tam.Máx Físico 14 char</v>
      </c>
      <c r="J25" s="41"/>
      <c r="K25" s="41"/>
    </row>
    <row r="26" spans="1:13" ht="12.75" customHeight="1" x14ac:dyDescent="0.2">
      <c r="A26" s="112" t="s">
        <v>25</v>
      </c>
      <c r="B26" s="113"/>
      <c r="C26" s="113"/>
      <c r="D26" s="113"/>
      <c r="E26" s="113"/>
      <c r="F26" s="113"/>
      <c r="G26" s="59">
        <v>39</v>
      </c>
      <c r="J26" s="41"/>
      <c r="K26" s="41"/>
    </row>
    <row r="27" spans="1:13" x14ac:dyDescent="0.2">
      <c r="A27" s="99" t="s">
        <v>26</v>
      </c>
      <c r="B27" s="100"/>
      <c r="C27" s="100"/>
      <c r="D27" s="100"/>
      <c r="E27" s="100"/>
      <c r="F27" s="100"/>
      <c r="G27" s="56">
        <v>14</v>
      </c>
      <c r="I27" s="47"/>
      <c r="J27" s="41"/>
      <c r="K27" s="41"/>
    </row>
    <row r="28" spans="1:13" x14ac:dyDescent="0.2">
      <c r="A28" s="99" t="s">
        <v>27</v>
      </c>
      <c r="B28" s="100"/>
      <c r="C28" s="100"/>
      <c r="D28" s="100"/>
      <c r="E28" s="100"/>
      <c r="F28" s="100"/>
      <c r="G28" s="56">
        <v>20</v>
      </c>
      <c r="J28" s="41"/>
      <c r="K28" s="41"/>
    </row>
    <row r="29" spans="1:13" x14ac:dyDescent="0.2">
      <c r="A29" s="99" t="s">
        <v>28</v>
      </c>
      <c r="B29" s="100"/>
      <c r="C29" s="100"/>
      <c r="D29" s="100"/>
      <c r="E29" s="100"/>
      <c r="F29" s="100"/>
      <c r="G29" s="56">
        <v>20</v>
      </c>
    </row>
    <row r="30" spans="1:13" x14ac:dyDescent="0.2">
      <c r="A30" s="114" t="s">
        <v>29</v>
      </c>
      <c r="B30" s="115"/>
      <c r="C30" s="115"/>
      <c r="D30" s="115"/>
      <c r="E30" s="115"/>
      <c r="F30" s="115"/>
      <c r="G30" s="59">
        <v>31</v>
      </c>
    </row>
    <row r="31" spans="1:13" x14ac:dyDescent="0.2">
      <c r="A31" s="99" t="s">
        <v>30</v>
      </c>
      <c r="B31" s="100"/>
      <c r="C31" s="100"/>
      <c r="D31" s="100"/>
      <c r="E31" s="100"/>
      <c r="F31" s="100"/>
      <c r="G31" s="56">
        <v>15</v>
      </c>
    </row>
    <row r="32" spans="1:13" x14ac:dyDescent="0.2">
      <c r="A32" s="99" t="s">
        <v>31</v>
      </c>
      <c r="B32" s="100"/>
      <c r="C32" s="100"/>
      <c r="D32" s="100"/>
      <c r="E32" s="100"/>
      <c r="F32" s="100"/>
      <c r="G32" s="56">
        <v>12</v>
      </c>
    </row>
    <row r="33" spans="1:7" x14ac:dyDescent="0.2">
      <c r="A33" s="107" t="s">
        <v>32</v>
      </c>
      <c r="B33" s="108"/>
      <c r="C33" s="108"/>
      <c r="D33" s="108"/>
      <c r="E33" s="108"/>
      <c r="F33" s="108"/>
      <c r="G33" s="54">
        <v>15</v>
      </c>
    </row>
    <row r="34" spans="1:7" x14ac:dyDescent="0.2">
      <c r="A34" s="107" t="s">
        <v>33</v>
      </c>
      <c r="B34" s="108"/>
      <c r="C34" s="108"/>
      <c r="D34" s="108"/>
      <c r="E34" s="108"/>
      <c r="F34" s="108"/>
      <c r="G34" s="54">
        <v>8</v>
      </c>
    </row>
    <row r="35" spans="1:7" x14ac:dyDescent="0.2">
      <c r="A35" s="107" t="s">
        <v>34</v>
      </c>
      <c r="B35" s="108"/>
      <c r="C35" s="108"/>
      <c r="D35" s="108"/>
      <c r="E35" s="108"/>
      <c r="F35" s="108"/>
      <c r="G35" s="54">
        <v>10</v>
      </c>
    </row>
    <row r="36" spans="1:7" x14ac:dyDescent="0.2">
      <c r="A36" s="109" t="s">
        <v>35</v>
      </c>
      <c r="B36" s="110"/>
      <c r="C36" s="110"/>
      <c r="D36" s="110"/>
      <c r="E36" s="110"/>
      <c r="F36" s="110"/>
      <c r="G36" s="54">
        <v>15</v>
      </c>
    </row>
    <row r="37" spans="1:7" ht="13.5" thickBot="1" x14ac:dyDescent="0.25">
      <c r="A37" s="44"/>
      <c r="B37" s="45"/>
      <c r="C37" s="45"/>
      <c r="D37" s="45"/>
      <c r="E37" s="45"/>
      <c r="F37" s="45"/>
      <c r="G37" s="46"/>
    </row>
  </sheetData>
  <sheetProtection algorithmName="SHA-512" hashValue="AsGcVpGoDQSHIcOzLr3F45AahcyGacOAsfwYx979dzlSdn9cDAgNje/H6jhDk3d7iHAkPnoEX6IqwFcTyONJDA==" saltValue="E3c4Wl7IS5LLFpXjxBDPUA==" spinCount="100000" sheet="1" objects="1" scenarios="1"/>
  <mergeCells count="34">
    <mergeCell ref="A3:B3"/>
    <mergeCell ref="G3:H3"/>
    <mergeCell ref="A18:B18"/>
    <mergeCell ref="A19:G19"/>
    <mergeCell ref="G9:M9"/>
    <mergeCell ref="A12:E12"/>
    <mergeCell ref="A13:E13"/>
    <mergeCell ref="A14:E14"/>
    <mergeCell ref="A9:E9"/>
    <mergeCell ref="A10:E10"/>
    <mergeCell ref="G4:M4"/>
    <mergeCell ref="A5:E5"/>
    <mergeCell ref="A6:E6"/>
    <mergeCell ref="A36:F36"/>
    <mergeCell ref="A1:E1"/>
    <mergeCell ref="A26:F26"/>
    <mergeCell ref="A29:F29"/>
    <mergeCell ref="A30:F30"/>
    <mergeCell ref="A31:F31"/>
    <mergeCell ref="A32:F32"/>
    <mergeCell ref="A33:F33"/>
    <mergeCell ref="A34:F34"/>
    <mergeCell ref="B20:G20"/>
    <mergeCell ref="B21:G21"/>
    <mergeCell ref="B22:G22"/>
    <mergeCell ref="A25:F25"/>
    <mergeCell ref="B24:G24"/>
    <mergeCell ref="B23:G23"/>
    <mergeCell ref="A15:E15"/>
    <mergeCell ref="A27:F27"/>
    <mergeCell ref="A28:F28"/>
    <mergeCell ref="A7:E7"/>
    <mergeCell ref="A4:E4"/>
    <mergeCell ref="A35:F3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"/>
  <dimension ref="B2:AT416"/>
  <sheetViews>
    <sheetView showGridLines="0" tabSelected="1" zoomScale="115" zoomScaleNormal="115" workbookViewId="0">
      <pane xSplit="2" ySplit="3" topLeftCell="AP4" activePane="bottomRight" state="frozenSplit"/>
      <selection pane="topRight"/>
      <selection pane="bottomLeft" activeCell="A2" sqref="A2"/>
      <selection pane="bottomRight" activeCell="B8" sqref="B8"/>
    </sheetView>
  </sheetViews>
  <sheetFormatPr defaultColWidth="9.140625" defaultRowHeight="11.25" x14ac:dyDescent="0.2"/>
  <cols>
    <col min="1" max="1" width="4.7109375" style="11" customWidth="1"/>
    <col min="2" max="2" width="33.28515625" style="27" customWidth="1"/>
    <col min="3" max="3" width="5.5703125" style="31" hidden="1" customWidth="1"/>
    <col min="4" max="4" width="1" style="11" hidden="1" customWidth="1"/>
    <col min="5" max="6" width="0.42578125" style="11" hidden="1" customWidth="1"/>
    <col min="7" max="7" width="2.28515625" style="11" hidden="1" customWidth="1"/>
    <col min="8" max="8" width="1" style="11" hidden="1" customWidth="1"/>
    <col min="9" max="9" width="0.7109375" style="11" hidden="1" customWidth="1"/>
    <col min="10" max="10" width="0.85546875" style="11" hidden="1" customWidth="1"/>
    <col min="11" max="11" width="2" style="11" hidden="1" customWidth="1"/>
    <col min="12" max="12" width="0.28515625" style="11" hidden="1" customWidth="1"/>
    <col min="13" max="13" width="0.140625" style="11" hidden="1" customWidth="1"/>
    <col min="14" max="15" width="0.28515625" style="11" hidden="1" customWidth="1"/>
    <col min="16" max="17" width="0.5703125" style="11" hidden="1" customWidth="1"/>
    <col min="18" max="18" width="0.42578125" style="11" hidden="1" customWidth="1"/>
    <col min="19" max="19" width="0.28515625" style="11" hidden="1" customWidth="1"/>
    <col min="20" max="20" width="0.140625" style="11" hidden="1" customWidth="1"/>
    <col min="21" max="21" width="0.5703125" style="11" hidden="1" customWidth="1"/>
    <col min="22" max="22" width="0.28515625" style="11" hidden="1" customWidth="1"/>
    <col min="23" max="23" width="0.85546875" style="11" hidden="1" customWidth="1"/>
    <col min="24" max="24" width="0.28515625" style="11" hidden="1" customWidth="1"/>
    <col min="25" max="25" width="39.42578125" style="11" hidden="1" customWidth="1"/>
    <col min="26" max="26" width="0.5703125" style="11" hidden="1" customWidth="1"/>
    <col min="27" max="27" width="2.140625" style="12" hidden="1" customWidth="1"/>
    <col min="28" max="37" width="3.7109375" style="11" hidden="1" customWidth="1"/>
    <col min="38" max="38" width="0.28515625" style="11" hidden="1" customWidth="1"/>
    <col min="39" max="39" width="0.140625" style="11" hidden="1" customWidth="1"/>
    <col min="40" max="40" width="1" style="11" hidden="1" customWidth="1"/>
    <col min="41" max="41" width="0.42578125" style="11" hidden="1" customWidth="1"/>
    <col min="42" max="42" width="18.7109375" style="11" bestFit="1" customWidth="1"/>
    <col min="43" max="43" width="14.140625" style="11" bestFit="1" customWidth="1"/>
    <col min="44" max="44" width="11.5703125" style="12" bestFit="1" customWidth="1"/>
    <col min="45" max="45" width="2.5703125" style="11" customWidth="1"/>
    <col min="46" max="16384" width="9.140625" style="11"/>
  </cols>
  <sheetData>
    <row r="2" spans="2:46" s="10" customFormat="1" ht="33" customHeight="1" x14ac:dyDescent="0.2">
      <c r="B2" s="96" t="s">
        <v>8</v>
      </c>
      <c r="C2" s="96" t="s">
        <v>44</v>
      </c>
      <c r="D2" s="26" t="s">
        <v>45</v>
      </c>
      <c r="E2" s="124" t="s">
        <v>46</v>
      </c>
      <c r="F2" s="124"/>
      <c r="G2" s="124"/>
      <c r="H2" s="124"/>
      <c r="I2" s="124"/>
      <c r="J2" s="124"/>
      <c r="K2" s="124"/>
      <c r="L2" s="124"/>
      <c r="M2" s="96"/>
      <c r="N2" s="96"/>
      <c r="O2" s="124" t="s">
        <v>47</v>
      </c>
      <c r="P2" s="124"/>
      <c r="Q2" s="124"/>
      <c r="R2" s="124"/>
      <c r="S2" s="124"/>
      <c r="T2" s="124"/>
      <c r="U2" s="124"/>
      <c r="V2" s="96"/>
      <c r="W2" s="96"/>
      <c r="X2" s="96"/>
      <c r="Y2" s="96" t="s">
        <v>48</v>
      </c>
      <c r="Z2" s="96" t="s">
        <v>49</v>
      </c>
      <c r="AA2" s="96" t="str">
        <f>"Tam.Máx Lógico "&amp;AA3&amp;" char"</f>
        <v>Tam.Máx Lógico 64 char</v>
      </c>
      <c r="AB2" s="124" t="s">
        <v>9</v>
      </c>
      <c r="AC2" s="124"/>
      <c r="AD2" s="124"/>
      <c r="AE2" s="124"/>
      <c r="AF2" s="124"/>
      <c r="AG2" s="124"/>
      <c r="AH2" s="124"/>
      <c r="AI2" s="96"/>
      <c r="AJ2" s="96"/>
      <c r="AK2" s="96"/>
      <c r="AL2" s="124" t="s">
        <v>50</v>
      </c>
      <c r="AM2" s="124"/>
      <c r="AN2" s="124" t="s">
        <v>51</v>
      </c>
      <c r="AO2" s="124"/>
      <c r="AP2" s="96" t="s">
        <v>24</v>
      </c>
      <c r="AQ2" s="96"/>
      <c r="AR2" s="96" t="str">
        <f>"Tam.Máx Físico "&amp;AR3&amp;" char"</f>
        <v>Tam.Máx Físico 32 char</v>
      </c>
    </row>
    <row r="3" spans="2:46" ht="1.5" customHeight="1" x14ac:dyDescent="0.2">
      <c r="B3" s="14" t="s">
        <v>52</v>
      </c>
      <c r="C3" s="15"/>
      <c r="D3" s="28"/>
      <c r="E3" s="18">
        <v>1</v>
      </c>
      <c r="F3" s="18">
        <v>2</v>
      </c>
      <c r="G3" s="18">
        <v>3</v>
      </c>
      <c r="H3" s="18">
        <v>4</v>
      </c>
      <c r="I3" s="18">
        <v>5</v>
      </c>
      <c r="J3" s="18">
        <v>6</v>
      </c>
      <c r="K3" s="18">
        <v>7</v>
      </c>
      <c r="L3" s="18">
        <v>8</v>
      </c>
      <c r="M3" s="18">
        <v>9</v>
      </c>
      <c r="N3" s="18">
        <v>10</v>
      </c>
      <c r="O3" s="18">
        <v>1</v>
      </c>
      <c r="P3" s="18">
        <v>2</v>
      </c>
      <c r="Q3" s="18">
        <v>3</v>
      </c>
      <c r="R3" s="18">
        <v>4</v>
      </c>
      <c r="S3" s="18">
        <v>5</v>
      </c>
      <c r="T3" s="18">
        <v>6</v>
      </c>
      <c r="U3" s="18">
        <v>7</v>
      </c>
      <c r="V3" s="18">
        <v>8</v>
      </c>
      <c r="W3" s="18">
        <v>9</v>
      </c>
      <c r="X3" s="18">
        <v>10</v>
      </c>
      <c r="Y3" s="18"/>
      <c r="Z3" s="18"/>
      <c r="AA3" s="19">
        <v>64</v>
      </c>
      <c r="AB3" s="18">
        <v>1</v>
      </c>
      <c r="AC3" s="18">
        <v>2</v>
      </c>
      <c r="AD3" s="18">
        <v>3</v>
      </c>
      <c r="AE3" s="18">
        <v>4</v>
      </c>
      <c r="AF3" s="18">
        <v>5</v>
      </c>
      <c r="AG3" s="18">
        <v>6</v>
      </c>
      <c r="AH3" s="18">
        <v>7</v>
      </c>
      <c r="AI3" s="18">
        <v>8</v>
      </c>
      <c r="AJ3" s="18">
        <v>9</v>
      </c>
      <c r="AK3" s="18">
        <v>10</v>
      </c>
      <c r="AL3" s="18"/>
      <c r="AM3" s="18"/>
      <c r="AN3" s="18"/>
      <c r="AO3" s="18"/>
      <c r="AP3" s="18"/>
      <c r="AQ3" s="18"/>
      <c r="AR3" s="19">
        <v>32</v>
      </c>
    </row>
    <row r="4" spans="2:46" hidden="1" x14ac:dyDescent="0.2">
      <c r="B4" s="21" t="s">
        <v>10</v>
      </c>
      <c r="C4" s="20" t="s">
        <v>53</v>
      </c>
      <c r="D4" s="29" t="str">
        <f t="shared" ref="D4:D7" si="0">SuprimePreposições(SubstituirTildes(B4))</f>
        <v>Percentual Taxa Juro Adicional Simulacao Contrato Emprestimo</v>
      </c>
      <c r="E4" s="23" t="str">
        <f t="shared" ref="E4:E6" si="1">MID(D4,E$3,IF(ISERR(SEARCH(" ",D4,E$3)),1000,SEARCH(" ",D4,E$3))-E$3)</f>
        <v>Percentual</v>
      </c>
      <c r="F4" s="23" t="str">
        <f t="shared" ref="F4:F6" si="2">MID(D4,LEN(E4)+F$3,IF(ISERR(SEARCH(" ",D4,LEN(E4)+F$3)),1000,SEARCH(" ",D4,LEN(E4)+F$3)-LEN(E4)-F$3))</f>
        <v>Taxa</v>
      </c>
      <c r="G4" s="23" t="str">
        <f t="shared" ref="G4:G6" si="3">MID(D4,LEN(E4&amp;F4)+G$3,IF(ISERR(SEARCH(" ",D4,LEN(E4&amp;F4)+G$3)),1000,SEARCH(" ",D4,LEN(E4&amp;F4)+G$3)-LEN(E4&amp;F4)-G$3))</f>
        <v>Juro</v>
      </c>
      <c r="H4" s="23" t="str">
        <f t="shared" ref="H4:H6" si="4">MID(D4,LEN(E4&amp;F4&amp;G4)+H$3,IF(ISERR(SEARCH(" ",D4,LEN(E4&amp;F4&amp;G4)+H$3)),1000,SEARCH(" ",D4,LEN(E4&amp;F4&amp;G4)+H$3)-LEN(E4&amp;F4&amp;G4)-H$3))</f>
        <v>Adicional</v>
      </c>
      <c r="I4" s="23" t="str">
        <f t="shared" ref="I4:I6" si="5">MID(D4,LEN(E4&amp;F4&amp;G4&amp;H4)+I$3,IF(ISERR(SEARCH(" ",D4,LEN(E4&amp;F4&amp;G4&amp;H4)+I$3)),1000,SEARCH(" ",D4,LEN(E4&amp;F4&amp;G4&amp;H4)+I$3)-LEN(E4&amp;F4&amp;G4&amp;H4)-I$3))</f>
        <v>Simulacao</v>
      </c>
      <c r="J4" s="23" t="str">
        <f t="shared" ref="J4:J6" si="6">MID(D4,LEN(E4&amp;F4&amp;G4&amp;H4&amp;I4)+J$3,IF(ISERR(SEARCH(" ",D4,LEN(E4&amp;F4&amp;G4&amp;H4&amp;I4)+J$3)),1000,SEARCH(" ",D4,LEN(E4&amp;F4&amp;G4&amp;H4&amp;I4)+J$3)-LEN(E4&amp;F4&amp;G4&amp;H4&amp;I4)-J$3))</f>
        <v>Contrato</v>
      </c>
      <c r="K4" s="23" t="str">
        <f t="shared" ref="K4:K6" si="7">MID(D4,LEN(E4&amp;F4&amp;G4&amp;H4&amp;I4&amp;J4)+K$3,IF(ISERR(SEARCH(" ",D4,LEN(E4&amp;F4&amp;G4&amp;H4&amp;I4&amp;J4)+K$3)),1000,SEARCH(" ",D4,LEN(E4&amp;F4&amp;G4&amp;H4&amp;I4&amp;J4)+K$3)-LEN(E4&amp;F4&amp;G4&amp;H4&amp;I4&amp;J4)-K$3))</f>
        <v>Emprestimo</v>
      </c>
      <c r="L4" s="23" t="str">
        <f t="shared" ref="L4:L6" si="8">MID(D4,LEN(E4&amp;F4&amp;G4&amp;H4&amp;I4&amp;J4&amp;K4)+L$3,IF(ISERR(SEARCH(" ",D4,LEN(E4&amp;F4&amp;G4&amp;H4&amp;I4&amp;J4&amp;K4)+L$3)),1000,SEARCH(" ",D4,LEN(E4&amp;F4&amp;G4&amp;H4&amp;I4&amp;J4&amp;K4)+L$3)-LEN(E4&amp;F4&amp;G4&amp;H4&amp;I4&amp;J4&amp;K4)-L$3))</f>
        <v/>
      </c>
      <c r="M4" s="23" t="str">
        <f t="shared" ref="M4:M6" si="9">MID(D4,LEN(E4&amp;F4&amp;G4&amp;H4&amp;I4&amp;J4&amp;K4&amp;L4)+M$3,IF(ISERR(SEARCH(" ",D4,LEN(E4&amp;F4&amp;G4&amp;H4&amp;I4&amp;J4&amp;K4&amp;L4)+M$3)),1000,SEARCH(" ",D4,LEN(E4&amp;F4&amp;G4&amp;H4&amp;I4&amp;J4&amp;K4&amp;L4)+M$3)-LEN(E4&amp;F4&amp;G4&amp;H4&amp;I4&amp;J4&amp;K4&amp;L4)-M$3))</f>
        <v/>
      </c>
      <c r="N4" s="23" t="str">
        <f t="shared" ref="N4:N6" si="10">MID(D4,LEN(E4&amp;F4&amp;G4&amp;H4&amp;I4&amp;J4&amp;K4&amp;L4&amp;M4)+N$3,IF(ISERR(SEARCH(" ",D4,LEN(E4&amp;F4&amp;G4&amp;H4&amp;I4&amp;J4&amp;K4&amp;L4&amp;M4)+N$3)),1000,SEARCH(" ",D4,LEN(E4&amp;F4&amp;G4&amp;H4&amp;I4&amp;J4&amp;K4&amp;L4&amp;M4)+N$3)-LEN(E4&amp;F4&amp;G4&amp;H4&amp;I4&amp;J4&amp;K4&amp;L4&amp;M4)-N$3))</f>
        <v/>
      </c>
      <c r="O4" s="23" t="s">
        <v>11</v>
      </c>
      <c r="P4" s="23" t="s">
        <v>11</v>
      </c>
      <c r="Q4" s="23" t="s">
        <v>11</v>
      </c>
      <c r="R4" s="23" t="s">
        <v>11</v>
      </c>
      <c r="S4" s="23" t="s">
        <v>11</v>
      </c>
      <c r="T4" s="23" t="s">
        <v>11</v>
      </c>
      <c r="U4" s="23" t="s">
        <v>11</v>
      </c>
      <c r="V4" s="23" t="s">
        <v>11</v>
      </c>
      <c r="W4" s="23" t="s">
        <v>11</v>
      </c>
      <c r="X4" s="23" t="s">
        <v>11</v>
      </c>
      <c r="Y4" s="23" t="str">
        <f t="shared" ref="Y4:Y7" si="11">IF(C4="E",IF(O4="X",IF(E4&lt;&gt;"",IF(ISERROR(VLOOKUP(E4,ListaThesaurus,2,FALSE)),"***",E4),""),""),IF(C4="A",IF(O4="X",IF(E4&lt;&gt;"",IF(ISERROR(VLOOKUP(E4,ListaNaturezas,2,FALSE)),"***",LOWER(VLOOKUP(E4,ListaNaturezas,2,FALSE))),""),""),"***"))&amp;IF(P4="X",IF(F4&lt;&gt;"",IF(ISERROR(VLOOKUP(F4,ListaThesaurus,2,FALSE)),"***",F4),""),"")&amp;IF(Q4="X",IF(G4&lt;&gt;"",IF(ISERROR(VLOOKUP(G4,ListaThesaurus,2,FALSE)),"***",G4),""),"")&amp;IF(R4="X",IF(H4&lt;&gt;"",IF(ISERROR(VLOOKUP(H4,ListaThesaurus,2,FALSE)),"***",H4),""),"")&amp;IF(S4="X",IF(I4&lt;&gt;"",IF(ISERROR(VLOOKUP(I4,ListaThesaurus,2,FALSE)),"***",I4),""),"")</f>
        <v>perc******AdicionalSimulacao</v>
      </c>
      <c r="Z4" s="23" t="str">
        <f t="shared" ref="Z4:Z7" si="12">IF(OR(C4="E",C4="A"),Y4&amp;IF(T4="X",IF(J4&lt;&gt;"",IF(ISERROR(VLOOKUP(J4,ListaThesaurus,2,FALSE)),"***",J4),""),"")&amp;IF(U4="X",IF(K4&lt;&gt;"",IF(ISERROR(VLOOKUP(K4,ListaThesaurus,2,FALSE)),"***",K4),""),"")&amp;IF(V4="X",IF(L4&lt;&gt;"",IF(ISERROR(VLOOKUP(L4,ListaThesaurus,2,FALSE)),"***",L4),""),"")&amp;IF(W4="X",IF(M4&lt;&gt;"",IF(ISERROR(VLOOKUP(M4,ListaThesaurus,2,FALSE)),"***",M4),""),"")&amp;IF(X4="X",IF(N4&lt;&gt;"",IF(ISERROR(VLOOKUP(N4,ListaThesaurus,2,FALSE)),"***",N4),""),""),"")</f>
        <v>perc******AdicionalSimulacaoContratoEmprestimo</v>
      </c>
      <c r="AA4" s="22">
        <f t="shared" ref="AA4:AA271" si="13">LEN(Z4)</f>
        <v>46</v>
      </c>
      <c r="AB4" s="23" t="s">
        <v>11</v>
      </c>
      <c r="AC4" s="23"/>
      <c r="AD4" s="23" t="s">
        <v>41</v>
      </c>
      <c r="AE4" s="23" t="s">
        <v>11</v>
      </c>
      <c r="AF4" s="23"/>
      <c r="AG4" s="23" t="s">
        <v>11</v>
      </c>
      <c r="AH4" s="23"/>
      <c r="AI4" s="23" t="s">
        <v>11</v>
      </c>
      <c r="AJ4" s="23" t="s">
        <v>11</v>
      </c>
      <c r="AK4" s="23" t="s">
        <v>11</v>
      </c>
      <c r="AL4" s="23" t="str">
        <f>"T_"&amp;IF(AB4="X",IF(E4&lt;&gt;"",IF(ISERROR(VLOOKUP(E4,ListaThesaurus,2,FALSE)),"***",VLOOKUP(E4,ListaThesaurus,2,FALSE)),""),"")&amp;IF(AC4="X",IF(F4&lt;&gt;"",IF(AB4="X","_","")&amp;IF(ISERROR(VLOOKUP(F4,ListaThesaurus,2,FALSE)),"***",VLOOKUP(F4,ListaThesaurus,2,FALSE)),""),"")&amp;IF(AD4="X",IF(G4&lt;&gt;"",IF(OR(AB4="X",AC4="X"),"_","")&amp;IF(ISERROR(VLOOKUP(G4,ListaThesaurus,2,FALSE)),"***",VLOOKUP(G4,ListaThesaurus,2,FALSE)),""),"")&amp;IF(AE4="X",IF(H4&lt;&gt;"",IF(OR(AB4="X",AC4="X",AD4="X"),"_","")&amp;IF(ISERROR(VLOOKUP(H4,ListaThesaurus,2,FALSE)),"***",VLOOKUP(H4,ListaThesaurus,2,FALSE)),""),"")&amp;IF(AF4="X",IF(I4&lt;&gt;"",IF(OR(AB4="X",AC4="X",AD4="X",AE4="X"),"_","")&amp;IF(ISERROR(VLOOKUP(I4,ListaThesaurus,2,FALSE)),"***",VLOOKUP(I4,ListaThesaurus,2,FALSE)),""),"")</f>
        <v>T_PERC_ADIC</v>
      </c>
      <c r="AM4" s="23" t="str">
        <f t="shared" ref="AM4:AM7" si="14">AL4&amp;IF(AG4="X",IF(J4&lt;&gt;"",IF(OR(AB4="X",AC4="X",AD4="X",AE4="X",AF4="X"),"_","")&amp;IF(ISERROR(VLOOKUP(J4,ListaThesaurus,2,FALSE)),"***",VLOOKUP(J4,ListaThesaurus,2,FALSE)),""),"")&amp;IF(AH4="X",IF(K4&lt;&gt;"",IF(OR(AB4="X",AC4="X",AD4="X",AE4="X",AF4="X",AG4="X"),"_","")&amp;IF(ISERROR(VLOOKUP(K4,ListaThesaurus,2,FALSE)),"***",VLOOKUP(K4,ListaThesaurus,2,FALSE)),""),"")&amp;IF(AI4="X",IF(L4&lt;&gt;"",IF(OR(AB4="X",AC4="X",AD4="X",AE4="X",AF4="X",AG4="X",AH4="X"),"_","")&amp;IF(ISERROR(VLOOKUP(L4,ListaThesaurus,2,FALSE)),"***",VLOOKUP(L4,ListaThesaurus,2,FALSE)),""),"")&amp;IF(AJ4="X",IF(M4&lt;&gt;"",IF(OR(AB4="X",AC4="X",AD4="X",AE4="X",AF4="X",AG4="X",AH4="X",AI4="X"),"_","")&amp;IF(ISERROR(VLOOKUP(M4,ListaThesaurus,2,FALSE)),"***",VLOOKUP(M4,ListaThesaurus,2,FALSE)),""),"")&amp;IF(AK4="X",IF(N4&lt;&gt;"",IF(OR(AB4="X",AC4="X",AD4="X",AE4="X",AF4="X",AG4="X",AH4="X",AI4="X",AJ4="X"),"_","")&amp;IF(ISERROR(VLOOKUP(N4,ListaThesaurus,2,FALSE)),"***",VLOOKUP(N4,ListaThesaurus,2,FALSE)),""),"")</f>
        <v>T_PERC_ADIC_CONTR</v>
      </c>
      <c r="AN4" s="23" t="str">
        <f t="shared" ref="AN4:AN7" si="15">IF(AB4="X",IF(E4&lt;&gt;"",IF(ISERROR(VLOOKUP(E4,ListaNaturezas,3,FALSE)),"***",VLOOKUP(E4,ListaNaturezas,3,FALSE)),""),"")&amp;IF(AC4="X",IF(F4&lt;&gt;"",IF(ISERROR(VLOOKUP(F4,ListaThesaurus,2,FALSE)),"***",VLOOKUP(F4,ListaThesaurus,2,FALSE)),""),"")&amp;IF(AD4="X",IF(G4&lt;&gt;"",IF(AC4="X","_","")&amp;IF(ISERROR(VLOOKUP(G4,ListaThesaurus,2,FALSE)),"***",VLOOKUP(G4,ListaThesaurus,2,FALSE)),""),"")&amp;IF(AE4="X",IF(H4&lt;&gt;"",IF(OR(AC4="X",AD4="X"),"_","")&amp;IF(ISERROR(VLOOKUP(H4,ListaThesaurus,2,FALSE)),"***",VLOOKUP(H4,ListaThesaurus,2,FALSE)),""),"")&amp;IF(AF4="X",IF(I4&lt;&gt;"",IF(OR(AC4="X",AD4="X",AE4="X"),"_","")&amp;IF(ISERROR(VLOOKUP(I4,ListaThesaurus,2,FALSE)),"***",VLOOKUP(I4,ListaThesaurus,2,FALSE)),""),"")</f>
        <v>PERC_ADIC</v>
      </c>
      <c r="AO4" s="23" t="str">
        <f t="shared" ref="AO4:AO7" si="16">AN4&amp;IF(AG4="X",IF(J4&lt;&gt;"",IF(OR(AC4="X",AD4="X",AE4="X",AF4="X"),"_","")&amp;IF(ISERROR(VLOOKUP(J4,ListaThesaurus,2,FALSE)),"***",VLOOKUP(J4,ListaThesaurus,2,FALSE)),""),"")&amp;IF(AH4="X",IF(K4&lt;&gt;"",IF(OR(AC4="X",AD4="X",AE4="X",AF4="X",AG4="X"),"_","")&amp;IF(ISERROR(VLOOKUP(K4,ListaThesaurus,2,FALSE)),"***",VLOOKUP(K4,ListaThesaurus,2,FALSE)),""),"")&amp;IF(AI4="X",IF(L4&lt;&gt;"",IF(OR(AC4="X",AD4="X",AE4="X",AF4="X",AG4="X",AH4="X"),"_","")&amp;IF(ISERROR(VLOOKUP(L4,ListaThesaurus,2,FALSE)),"***",VLOOKUP(L4,ListaThesaurus,2,FALSE)),""),"")&amp;IF(AJ4="X",IF(M4&lt;&gt;"",IF(OR(AC4="X",AD4="X",AE4="X",AF4="X",AG4="X",AH4="X",AI4="X"),"_","")&amp;IF(ISERROR(VLOOKUP(M4,ListaThesaurus,2,FALSE)),"***",VLOOKUP(M4,ListaThesaurus,2,FALSE)),""),"")&amp;IF(AK4="X",IF(N4&lt;&gt;"",IF(OR(AC4="X",AD4="X",AE4="X",AF4="X",AG4="X",AH4="X",AI4="X",AJ4="X"),"_","")&amp;IF(ISERROR(VLOOKUP(N4,ListaThesaurus,2,FALSE)),"***",VLOOKUP(N4,ListaThesaurus,2,FALSE)),""),"")</f>
        <v>PERC_ADIC_CONTR</v>
      </c>
      <c r="AP4" s="23" t="str">
        <f t="shared" ref="AP4:AP7" si="17">IF(C4="A",AO4,IF(C4="E",AM4,""))</f>
        <v>PERC_ADIC_CONTR</v>
      </c>
      <c r="AQ4" s="86"/>
      <c r="AR4" s="24">
        <f t="shared" ref="AR4:AR271" si="18">LEN(AP4)</f>
        <v>15</v>
      </c>
      <c r="AT4" s="17">
        <f t="shared" ref="AT4:AT67" si="19">COUNTIF($AP$4:$AP$6,AP4)</f>
        <v>1</v>
      </c>
    </row>
    <row r="5" spans="2:46" ht="12" customHeight="1" x14ac:dyDescent="0.2">
      <c r="B5" s="87" t="s">
        <v>54</v>
      </c>
      <c r="C5" s="15" t="s">
        <v>53</v>
      </c>
      <c r="D5" s="30" t="str">
        <f t="shared" si="0"/>
        <v>data venda</v>
      </c>
      <c r="E5" s="14" t="str">
        <f t="shared" si="1"/>
        <v>data</v>
      </c>
      <c r="F5" s="14" t="str">
        <f t="shared" si="2"/>
        <v>venda</v>
      </c>
      <c r="G5" s="14" t="str">
        <f t="shared" si="3"/>
        <v/>
      </c>
      <c r="H5" s="14" t="str">
        <f t="shared" si="4"/>
        <v/>
      </c>
      <c r="I5" s="14" t="str">
        <f t="shared" si="5"/>
        <v/>
      </c>
      <c r="J5" s="14" t="str">
        <f t="shared" si="6"/>
        <v/>
      </c>
      <c r="K5" s="14" t="str">
        <f t="shared" si="7"/>
        <v/>
      </c>
      <c r="L5" s="14" t="str">
        <f t="shared" si="8"/>
        <v/>
      </c>
      <c r="M5" s="14" t="str">
        <f t="shared" si="9"/>
        <v/>
      </c>
      <c r="N5" s="14" t="str">
        <f t="shared" si="10"/>
        <v/>
      </c>
      <c r="O5" s="14" t="s">
        <v>11</v>
      </c>
      <c r="P5" s="14" t="s">
        <v>11</v>
      </c>
      <c r="Q5" s="14" t="s">
        <v>11</v>
      </c>
      <c r="R5" s="14" t="s">
        <v>13</v>
      </c>
      <c r="S5" s="14" t="s">
        <v>11</v>
      </c>
      <c r="T5" s="14" t="s">
        <v>11</v>
      </c>
      <c r="U5" s="14" t="s">
        <v>11</v>
      </c>
      <c r="V5" s="14" t="s">
        <v>11</v>
      </c>
      <c r="W5" s="14" t="s">
        <v>11</v>
      </c>
      <c r="X5" s="14" t="s">
        <v>11</v>
      </c>
      <c r="Y5" s="14" t="str">
        <f t="shared" si="11"/>
        <v>datvenda</v>
      </c>
      <c r="Z5" s="14" t="str">
        <f t="shared" si="12"/>
        <v>datvenda</v>
      </c>
      <c r="AA5" s="15">
        <f t="shared" si="13"/>
        <v>8</v>
      </c>
      <c r="AB5" s="14" t="s">
        <v>11</v>
      </c>
      <c r="AC5" s="14" t="s">
        <v>11</v>
      </c>
      <c r="AD5" s="14" t="s">
        <v>11</v>
      </c>
      <c r="AE5" s="14" t="s">
        <v>11</v>
      </c>
      <c r="AF5" s="14" t="s">
        <v>13</v>
      </c>
      <c r="AG5" s="14" t="s">
        <v>11</v>
      </c>
      <c r="AH5" s="14" t="s">
        <v>11</v>
      </c>
      <c r="AI5" s="14" t="s">
        <v>11</v>
      </c>
      <c r="AJ5" s="14" t="s">
        <v>11</v>
      </c>
      <c r="AK5" s="14" t="s">
        <v>11</v>
      </c>
      <c r="AL5" s="14" t="str">
        <f>"T"&amp;IF(AB5="X",IF(E5&lt;&gt;"",IF(ISERROR(VLOOKUP(E5,ListaThesaurus,2,FALSE)),"***",VLOOKUP(E5,ListaThesaurus,2,FALSE)),""),"")&amp;IF(AC5="X",IF(F5&lt;&gt;"",IF(AB5="X","_","")&amp;IF(ISERROR(VLOOKUP(F5,ListaThesaurus,2,FALSE)),"***",VLOOKUP(F5,ListaThesaurus,2,FALSE)),""),"")&amp;IF(AD5="X",IF(G5&lt;&gt;"",IF(OR(AB5="X",AC5="X"),"_","")&amp;IF(ISERROR(VLOOKUP(G5,ListaThesaurus,2,FALSE)),"***",VLOOKUP(G5,ListaThesaurus,2,FALSE)),""),"")&amp;IF(AE5="X",IF(H5&lt;&gt;"",IF(OR(AB5="X",AC5="X",AD5="X"),"_","")&amp;IF(ISERROR(VLOOKUP(H5,ListaThesaurus,2,FALSE)),"***",VLOOKUP(H5,ListaThesaurus,2,FALSE)),""),"")&amp;IF(AF5="X",IF(I5&lt;&gt;"",IF(OR(AB5="X",AC5="X",AD5="X",AE5="X"),"_","")&amp;IF(ISERROR(VLOOKUP(I5,ListaThesaurus,2,FALSE)),"***",VLOOKUP(I5,ListaThesaurus,2,FALSE)),""),"")</f>
        <v>TDAT_VENDA</v>
      </c>
      <c r="AM5" s="14" t="str">
        <f t="shared" si="14"/>
        <v>TDAT_VENDA</v>
      </c>
      <c r="AN5" s="14" t="str">
        <f t="shared" si="15"/>
        <v>DAT_VENDA</v>
      </c>
      <c r="AO5" s="14" t="str">
        <f t="shared" si="16"/>
        <v>DAT_VENDA</v>
      </c>
      <c r="AP5" s="14" t="str">
        <f t="shared" si="17"/>
        <v>DAT_VENDA</v>
      </c>
      <c r="AQ5" s="14" t="str">
        <f t="shared" ref="AQ5:AQ6" si="20">LOWER(AP5)</f>
        <v>dat_venda</v>
      </c>
      <c r="AR5" s="15">
        <f t="shared" si="18"/>
        <v>9</v>
      </c>
      <c r="AT5" s="17">
        <f t="shared" si="19"/>
        <v>1</v>
      </c>
    </row>
    <row r="6" spans="2:46" x14ac:dyDescent="0.2">
      <c r="B6" s="87" t="s">
        <v>55</v>
      </c>
      <c r="C6" s="15" t="s">
        <v>53</v>
      </c>
      <c r="D6" s="30" t="str">
        <f t="shared" si="0"/>
        <v>data compra</v>
      </c>
      <c r="E6" s="14" t="str">
        <f t="shared" si="1"/>
        <v>data</v>
      </c>
      <c r="F6" s="14" t="str">
        <f t="shared" si="2"/>
        <v>compra</v>
      </c>
      <c r="G6" s="14" t="str">
        <f t="shared" si="3"/>
        <v/>
      </c>
      <c r="H6" s="14" t="str">
        <f t="shared" si="4"/>
        <v/>
      </c>
      <c r="I6" s="14" t="str">
        <f t="shared" si="5"/>
        <v/>
      </c>
      <c r="J6" s="14" t="str">
        <f t="shared" si="6"/>
        <v/>
      </c>
      <c r="K6" s="14" t="str">
        <f t="shared" si="7"/>
        <v/>
      </c>
      <c r="L6" s="14" t="str">
        <f t="shared" si="8"/>
        <v/>
      </c>
      <c r="M6" s="14" t="str">
        <f t="shared" si="9"/>
        <v/>
      </c>
      <c r="N6" s="14" t="str">
        <f t="shared" si="10"/>
        <v/>
      </c>
      <c r="O6" s="14" t="s">
        <v>11</v>
      </c>
      <c r="P6" s="14" t="s">
        <v>11</v>
      </c>
      <c r="Q6" s="14" t="s">
        <v>11</v>
      </c>
      <c r="R6" s="14" t="s">
        <v>13</v>
      </c>
      <c r="S6" s="14" t="s">
        <v>11</v>
      </c>
      <c r="T6" s="14" t="s">
        <v>11</v>
      </c>
      <c r="U6" s="14" t="s">
        <v>11</v>
      </c>
      <c r="V6" s="14" t="s">
        <v>11</v>
      </c>
      <c r="W6" s="14" t="s">
        <v>11</v>
      </c>
      <c r="X6" s="14" t="s">
        <v>11</v>
      </c>
      <c r="Y6" s="14" t="str">
        <f t="shared" si="11"/>
        <v>datcompra</v>
      </c>
      <c r="Z6" s="14" t="str">
        <f t="shared" si="12"/>
        <v>datcompra</v>
      </c>
      <c r="AA6" s="15">
        <f t="shared" si="13"/>
        <v>9</v>
      </c>
      <c r="AB6" s="14" t="s">
        <v>11</v>
      </c>
      <c r="AC6" s="14" t="s">
        <v>11</v>
      </c>
      <c r="AD6" s="14" t="s">
        <v>11</v>
      </c>
      <c r="AE6" s="14" t="s">
        <v>11</v>
      </c>
      <c r="AF6" s="14" t="s">
        <v>13</v>
      </c>
      <c r="AG6" s="14" t="s">
        <v>11</v>
      </c>
      <c r="AH6" s="14" t="s">
        <v>11</v>
      </c>
      <c r="AI6" s="14" t="s">
        <v>11</v>
      </c>
      <c r="AJ6" s="14" t="s">
        <v>11</v>
      </c>
      <c r="AK6" s="14" t="s">
        <v>11</v>
      </c>
      <c r="AL6" s="14" t="str">
        <f>"T"&amp;IF(AB6="X",IF(E6&lt;&gt;"",IF(ISERROR(VLOOKUP(E6,ListaThesaurus,2,FALSE)),"***",VLOOKUP(E6,ListaThesaurus,2,FALSE)),""),"")&amp;IF(AC6="X",IF(F6&lt;&gt;"",IF(AB6="X","_","")&amp;IF(ISERROR(VLOOKUP(F6,ListaThesaurus,2,FALSE)),"***",VLOOKUP(F6,ListaThesaurus,2,FALSE)),""),"")&amp;IF(AD6="X",IF(G6&lt;&gt;"",IF(OR(AB6="X",AC6="X"),"_","")&amp;IF(ISERROR(VLOOKUP(G6,ListaThesaurus,2,FALSE)),"***",VLOOKUP(G6,ListaThesaurus,2,FALSE)),""),"")&amp;IF(AE6="X",IF(H6&lt;&gt;"",IF(OR(AB6="X",AC6="X",AD6="X"),"_","")&amp;IF(ISERROR(VLOOKUP(H6,ListaThesaurus,2,FALSE)),"***",VLOOKUP(H6,ListaThesaurus,2,FALSE)),""),"")&amp;IF(AF6="X",IF(I6&lt;&gt;"",IF(OR(AB6="X",AC6="X",AD6="X",AE6="X"),"_","")&amp;IF(ISERROR(VLOOKUP(I6,ListaThesaurus,2,FALSE)),"***",VLOOKUP(I6,ListaThesaurus,2,FALSE)),""),"")</f>
        <v>TDAT_COMP</v>
      </c>
      <c r="AM6" s="14" t="str">
        <f t="shared" si="14"/>
        <v>TDAT_COMP</v>
      </c>
      <c r="AN6" s="14" t="str">
        <f t="shared" si="15"/>
        <v>DAT_COMP</v>
      </c>
      <c r="AO6" s="14" t="str">
        <f t="shared" si="16"/>
        <v>DAT_COMP</v>
      </c>
      <c r="AP6" s="14" t="str">
        <f t="shared" si="17"/>
        <v>DAT_COMP</v>
      </c>
      <c r="AQ6" s="14" t="str">
        <f t="shared" si="20"/>
        <v>dat_comp</v>
      </c>
      <c r="AR6" s="15">
        <f t="shared" si="18"/>
        <v>8</v>
      </c>
      <c r="AT6" s="17">
        <f t="shared" si="19"/>
        <v>1</v>
      </c>
    </row>
    <row r="7" spans="2:46" x14ac:dyDescent="0.2">
      <c r="B7" s="87" t="s">
        <v>56</v>
      </c>
      <c r="C7" s="15" t="s">
        <v>53</v>
      </c>
      <c r="D7" s="30" t="str">
        <f t="shared" si="0"/>
        <v>data atual</v>
      </c>
      <c r="E7" s="14" t="str">
        <f t="shared" ref="E7:E41" si="21">MID(D7,E$3,IF(ISERR(SEARCH(" ",D7,E$3)),1000,SEARCH(" ",D7,E$3))-E$3)</f>
        <v>data</v>
      </c>
      <c r="F7" s="14" t="str">
        <f t="shared" ref="F7:F41" si="22">MID(D7,LEN(E7)+F$3,IF(ISERR(SEARCH(" ",D7,LEN(E7)+F$3)),1000,SEARCH(" ",D7,LEN(E7)+F$3)-LEN(E7)-F$3))</f>
        <v>atual</v>
      </c>
      <c r="G7" s="14" t="str">
        <f t="shared" ref="G7:G41" si="23">MID(D7,LEN(E7&amp;F7)+G$3,IF(ISERR(SEARCH(" ",D7,LEN(E7&amp;F7)+G$3)),1000,SEARCH(" ",D7,LEN(E7&amp;F7)+G$3)-LEN(E7&amp;F7)-G$3))</f>
        <v/>
      </c>
      <c r="H7" s="14" t="str">
        <f t="shared" ref="H7:H41" si="24">MID(D7,LEN(E7&amp;F7&amp;G7)+H$3,IF(ISERR(SEARCH(" ",D7,LEN(E7&amp;F7&amp;G7)+H$3)),1000,SEARCH(" ",D7,LEN(E7&amp;F7&amp;G7)+H$3)-LEN(E7&amp;F7&amp;G7)-H$3))</f>
        <v/>
      </c>
      <c r="I7" s="14" t="str">
        <f t="shared" ref="I7:I41" si="25">MID(D7,LEN(E7&amp;F7&amp;G7&amp;H7)+I$3,IF(ISERR(SEARCH(" ",D7,LEN(E7&amp;F7&amp;G7&amp;H7)+I$3)),1000,SEARCH(" ",D7,LEN(E7&amp;F7&amp;G7&amp;H7)+I$3)-LEN(E7&amp;F7&amp;G7&amp;H7)-I$3))</f>
        <v/>
      </c>
      <c r="J7" s="14" t="str">
        <f t="shared" ref="J7:J41" si="26">MID(D7,LEN(E7&amp;F7&amp;G7&amp;H7&amp;I7)+J$3,IF(ISERR(SEARCH(" ",D7,LEN(E7&amp;F7&amp;G7&amp;H7&amp;I7)+J$3)),1000,SEARCH(" ",D7,LEN(E7&amp;F7&amp;G7&amp;H7&amp;I7)+J$3)-LEN(E7&amp;F7&amp;G7&amp;H7&amp;I7)-J$3))</f>
        <v/>
      </c>
      <c r="K7" s="14" t="str">
        <f t="shared" ref="K7:K41" si="27">MID(D7,LEN(E7&amp;F7&amp;G7&amp;H7&amp;I7&amp;J7)+K$3,IF(ISERR(SEARCH(" ",D7,LEN(E7&amp;F7&amp;G7&amp;H7&amp;I7&amp;J7)+K$3)),1000,SEARCH(" ",D7,LEN(E7&amp;F7&amp;G7&amp;H7&amp;I7&amp;J7)+K$3)-LEN(E7&amp;F7&amp;G7&amp;H7&amp;I7&amp;J7)-K$3))</f>
        <v/>
      </c>
      <c r="L7" s="14" t="str">
        <f t="shared" ref="L7:L41" si="28">MID(D7,LEN(E7&amp;F7&amp;G7&amp;H7&amp;I7&amp;J7&amp;K7)+L$3,IF(ISERR(SEARCH(" ",D7,LEN(E7&amp;F7&amp;G7&amp;H7&amp;I7&amp;J7&amp;K7)+L$3)),1000,SEARCH(" ",D7,LEN(E7&amp;F7&amp;G7&amp;H7&amp;I7&amp;J7&amp;K7)+L$3)-LEN(E7&amp;F7&amp;G7&amp;H7&amp;I7&amp;J7&amp;K7)-L$3))</f>
        <v/>
      </c>
      <c r="M7" s="14" t="str">
        <f t="shared" ref="M7:M41" si="29">MID(D7,LEN(E7&amp;F7&amp;G7&amp;H7&amp;I7&amp;J7&amp;K7&amp;L7)+M$3,IF(ISERR(SEARCH(" ",D7,LEN(E7&amp;F7&amp;G7&amp;H7&amp;I7&amp;J7&amp;K7&amp;L7)+M$3)),1000,SEARCH(" ",D7,LEN(E7&amp;F7&amp;G7&amp;H7&amp;I7&amp;J7&amp;K7&amp;L7)+M$3)-LEN(E7&amp;F7&amp;G7&amp;H7&amp;I7&amp;J7&amp;K7&amp;L7)-M$3))</f>
        <v/>
      </c>
      <c r="N7" s="14" t="str">
        <f t="shared" ref="N7:N41" si="30">MID(D7,LEN(E7&amp;F7&amp;G7&amp;H7&amp;I7&amp;J7&amp;K7&amp;L7&amp;M7)+N$3,IF(ISERR(SEARCH(" ",D7,LEN(E7&amp;F7&amp;G7&amp;H7&amp;I7&amp;J7&amp;K7&amp;L7&amp;M7)+N$3)),1000,SEARCH(" ",D7,LEN(E7&amp;F7&amp;G7&amp;H7&amp;I7&amp;J7&amp;K7&amp;L7&amp;M7)+N$3)-LEN(E7&amp;F7&amp;G7&amp;H7&amp;I7&amp;J7&amp;K7&amp;L7&amp;M7)-N$3))</f>
        <v/>
      </c>
      <c r="O7" s="14" t="s">
        <v>11</v>
      </c>
      <c r="P7" s="14" t="s">
        <v>11</v>
      </c>
      <c r="Q7" s="14" t="s">
        <v>11</v>
      </c>
      <c r="R7" s="14" t="s">
        <v>13</v>
      </c>
      <c r="S7" s="14" t="s">
        <v>11</v>
      </c>
      <c r="T7" s="14" t="s">
        <v>11</v>
      </c>
      <c r="U7" s="14" t="s">
        <v>11</v>
      </c>
      <c r="V7" s="14" t="s">
        <v>11</v>
      </c>
      <c r="W7" s="14" t="s">
        <v>11</v>
      </c>
      <c r="X7" s="14" t="s">
        <v>11</v>
      </c>
      <c r="Y7" s="14" t="str">
        <f t="shared" si="11"/>
        <v>datatual</v>
      </c>
      <c r="Z7" s="14" t="str">
        <f t="shared" si="12"/>
        <v>datatual</v>
      </c>
      <c r="AA7" s="15">
        <f t="shared" si="13"/>
        <v>8</v>
      </c>
      <c r="AB7" s="14" t="s">
        <v>11</v>
      </c>
      <c r="AC7" s="14" t="s">
        <v>11</v>
      </c>
      <c r="AD7" s="14" t="s">
        <v>11</v>
      </c>
      <c r="AE7" s="14" t="s">
        <v>11</v>
      </c>
      <c r="AF7" s="14" t="s">
        <v>13</v>
      </c>
      <c r="AG7" s="14" t="s">
        <v>11</v>
      </c>
      <c r="AH7" s="14" t="s">
        <v>11</v>
      </c>
      <c r="AI7" s="14" t="s">
        <v>11</v>
      </c>
      <c r="AJ7" s="14" t="s">
        <v>11</v>
      </c>
      <c r="AK7" s="14" t="s">
        <v>11</v>
      </c>
      <c r="AL7" s="14" t="str">
        <f>"T"&amp;IF(AB7="X",IF(E7&lt;&gt;"",IF(ISERROR(VLOOKUP(E7,ListaThesaurus,2,FALSE)),"***",VLOOKUP(E7,ListaThesaurus,2,FALSE)),""),"")&amp;IF(AC7="X",IF(F7&lt;&gt;"",IF(AB7="X","_","")&amp;IF(ISERROR(VLOOKUP(F7,ListaThesaurus,2,FALSE)),"***",VLOOKUP(F7,ListaThesaurus,2,FALSE)),""),"")&amp;IF(AD7="X",IF(G7&lt;&gt;"",IF(OR(AB7="X",AC7="X"),"_","")&amp;IF(ISERROR(VLOOKUP(G7,ListaThesaurus,2,FALSE)),"***",VLOOKUP(G7,ListaThesaurus,2,FALSE)),""),"")&amp;IF(AE7="X",IF(H7&lt;&gt;"",IF(OR(AB7="X",AC7="X",AD7="X"),"_","")&amp;IF(ISERROR(VLOOKUP(H7,ListaThesaurus,2,FALSE)),"***",VLOOKUP(H7,ListaThesaurus,2,FALSE)),""),"")&amp;IF(AF7="X",IF(I7&lt;&gt;"",IF(OR(AB7="X",AC7="X",AD7="X",AE7="X"),"_","")&amp;IF(ISERROR(VLOOKUP(I7,ListaThesaurus,2,FALSE)),"***",VLOOKUP(I7,ListaThesaurus,2,FALSE)),""),"")</f>
        <v>TDAT_ATUA</v>
      </c>
      <c r="AM7" s="14" t="str">
        <f t="shared" si="14"/>
        <v>TDAT_ATUA</v>
      </c>
      <c r="AN7" s="14" t="str">
        <f t="shared" si="15"/>
        <v>DAT_ATUA</v>
      </c>
      <c r="AO7" s="14" t="str">
        <f t="shared" si="16"/>
        <v>DAT_ATUA</v>
      </c>
      <c r="AP7" s="14" t="str">
        <f t="shared" si="17"/>
        <v>DAT_ATUA</v>
      </c>
      <c r="AQ7" s="14" t="str">
        <f>LOWER(AP7)</f>
        <v>dat_atua</v>
      </c>
      <c r="AR7" s="15">
        <f t="shared" si="18"/>
        <v>8</v>
      </c>
      <c r="AT7" s="17">
        <f t="shared" si="19"/>
        <v>0</v>
      </c>
    </row>
    <row r="8" spans="2:46" x14ac:dyDescent="0.2">
      <c r="B8" s="87"/>
      <c r="C8" s="15" t="s">
        <v>53</v>
      </c>
      <c r="D8" s="30" t="str">
        <f>SuprimePreposições(SubstituirTildes(B8))</f>
        <v/>
      </c>
      <c r="E8" s="14" t="str">
        <f t="shared" si="21"/>
        <v/>
      </c>
      <c r="F8" s="14" t="str">
        <f t="shared" si="22"/>
        <v/>
      </c>
      <c r="G8" s="14" t="str">
        <f t="shared" si="23"/>
        <v/>
      </c>
      <c r="H8" s="14" t="str">
        <f t="shared" si="24"/>
        <v/>
      </c>
      <c r="I8" s="14" t="str">
        <f t="shared" si="25"/>
        <v/>
      </c>
      <c r="J8" s="14" t="str">
        <f t="shared" si="26"/>
        <v/>
      </c>
      <c r="K8" s="14" t="str">
        <f t="shared" si="27"/>
        <v/>
      </c>
      <c r="L8" s="14" t="str">
        <f t="shared" si="28"/>
        <v/>
      </c>
      <c r="M8" s="14" t="str">
        <f t="shared" si="29"/>
        <v/>
      </c>
      <c r="N8" s="14" t="str">
        <f t="shared" si="30"/>
        <v/>
      </c>
      <c r="O8" s="14" t="s">
        <v>11</v>
      </c>
      <c r="P8" s="14" t="s">
        <v>11</v>
      </c>
      <c r="Q8" s="14" t="s">
        <v>11</v>
      </c>
      <c r="R8" s="14" t="s">
        <v>13</v>
      </c>
      <c r="S8" s="14" t="s">
        <v>11</v>
      </c>
      <c r="T8" s="14" t="s">
        <v>11</v>
      </c>
      <c r="U8" s="14" t="s">
        <v>11</v>
      </c>
      <c r="V8" s="14" t="s">
        <v>11</v>
      </c>
      <c r="W8" s="14" t="s">
        <v>11</v>
      </c>
      <c r="X8" s="14" t="s">
        <v>11</v>
      </c>
      <c r="Y8" s="14" t="str">
        <f>IF(C8="E",IF(O8="X",IF(E8&lt;&gt;"",IF(ISERROR(VLOOKUP(E8,ListaThesaurus,2,FALSE)),"***",E8),""),""),IF(C8="A",IF(O8="X",IF(E8&lt;&gt;"",IF(ISERROR(VLOOKUP(E8,ListaNaturezas,2,FALSE)),"***",LOWER(VLOOKUP(E8,ListaNaturezas,2,FALSE))),""),""),"***"))&amp;IF(P8="X",IF(F8&lt;&gt;"",IF(ISERROR(VLOOKUP(F8,ListaThesaurus,2,FALSE)),"***",F8),""),"")&amp;IF(Q8="X",IF(G8&lt;&gt;"",IF(ISERROR(VLOOKUP(G8,ListaThesaurus,2,FALSE)),"***",G8),""),"")&amp;IF(R8="X",IF(H8&lt;&gt;"",IF(ISERROR(VLOOKUP(H8,ListaThesaurus,2,FALSE)),"***",H8),""),"")&amp;IF(S8="X",IF(I8&lt;&gt;"",IF(ISERROR(VLOOKUP(I8,ListaThesaurus,2,FALSE)),"***",I8),""),"")</f>
        <v/>
      </c>
      <c r="Z8" s="14" t="str">
        <f>IF(OR(C8="E",C8="A"),Y8&amp;IF(T8="X",IF(J8&lt;&gt;"",IF(ISERROR(VLOOKUP(J8,ListaThesaurus,2,FALSE)),"***",J8),""),"")&amp;IF(U8="X",IF(K8&lt;&gt;"",IF(ISERROR(VLOOKUP(K8,ListaThesaurus,2,FALSE)),"***",K8),""),"")&amp;IF(V8="X",IF(L8&lt;&gt;"",IF(ISERROR(VLOOKUP(L8,ListaThesaurus,2,FALSE)),"***",L8),""),"")&amp;IF(W8="X",IF(M8&lt;&gt;"",IF(ISERROR(VLOOKUP(M8,ListaThesaurus,2,FALSE)),"***",M8),""),"")&amp;IF(X8="X",IF(N8&lt;&gt;"",IF(ISERROR(VLOOKUP(N8,ListaThesaurus,2,FALSE)),"***",N8),""),""),"")</f>
        <v/>
      </c>
      <c r="AA8" s="15">
        <f t="shared" si="13"/>
        <v>0</v>
      </c>
      <c r="AB8" s="14" t="s">
        <v>11</v>
      </c>
      <c r="AC8" s="14" t="s">
        <v>11</v>
      </c>
      <c r="AD8" s="14" t="s">
        <v>11</v>
      </c>
      <c r="AE8" s="14" t="s">
        <v>11</v>
      </c>
      <c r="AF8" s="14" t="s">
        <v>13</v>
      </c>
      <c r="AG8" s="14" t="s">
        <v>41</v>
      </c>
      <c r="AH8" s="14" t="s">
        <v>11</v>
      </c>
      <c r="AI8" s="14" t="s">
        <v>11</v>
      </c>
      <c r="AJ8" s="14" t="s">
        <v>11</v>
      </c>
      <c r="AK8" s="14" t="s">
        <v>11</v>
      </c>
      <c r="AL8" s="14" t="str">
        <f>"T"&amp;IF(AB8="X",IF(E8&lt;&gt;"",IF(ISERROR(VLOOKUP(E8,ListaThesaurus,2,FALSE)),"***",VLOOKUP(E8,ListaThesaurus,2,FALSE)),""),"")&amp;IF(AC8="X",IF(F8&lt;&gt;"",IF(AB8="X","_","")&amp;IF(ISERROR(VLOOKUP(F8,ListaThesaurus,2,FALSE)),"***",VLOOKUP(F8,ListaThesaurus,2,FALSE)),""),"")&amp;IF(AD8="X",IF(G8&lt;&gt;"",IF(OR(AB8="X",AC8="X"),"_","")&amp;IF(ISERROR(VLOOKUP(G8,ListaThesaurus,2,FALSE)),"***",VLOOKUP(G8,ListaThesaurus,2,FALSE)),""),"")&amp;IF(AE8="X",IF(H8&lt;&gt;"",IF(OR(AB8="X",AC8="X",AD8="X"),"_","")&amp;IF(ISERROR(VLOOKUP(H8,ListaThesaurus,2,FALSE)),"***",VLOOKUP(H8,ListaThesaurus,2,FALSE)),""),"")&amp;IF(AF8="X",IF(I8&lt;&gt;"",IF(OR(AB8="X",AC8="X",AD8="X",AE8="X"),"_","")&amp;IF(ISERROR(VLOOKUP(I8,ListaThesaurus,2,FALSE)),"***",VLOOKUP(I8,ListaThesaurus,2,FALSE)),""),"")</f>
        <v>T</v>
      </c>
      <c r="AM8" s="14" t="str">
        <f>AL8&amp;IF(AG8="X",IF(J8&lt;&gt;"",IF(OR(AB8="X",AC8="X",AD8="X",AE8="X",AF8="X"),"_","")&amp;IF(ISERROR(VLOOKUP(J8,ListaThesaurus,2,FALSE)),"***",VLOOKUP(J8,ListaThesaurus,2,FALSE)),""),"")&amp;IF(AH8="X",IF(K8&lt;&gt;"",IF(OR(AB8="X",AC8="X",AD8="X",AE8="X",AF8="X",AG8="X"),"_","")&amp;IF(ISERROR(VLOOKUP(K8,ListaThesaurus,2,FALSE)),"***",VLOOKUP(K8,ListaThesaurus,2,FALSE)),""),"")&amp;IF(AI8="X",IF(L8&lt;&gt;"",IF(OR(AB8="X",AC8="X",AD8="X",AE8="X",AF8="X",AG8="X",AH8="X"),"_","")&amp;IF(ISERROR(VLOOKUP(L8,ListaThesaurus,2,FALSE)),"***",VLOOKUP(L8,ListaThesaurus,2,FALSE)),""),"")&amp;IF(AJ8="X",IF(M8&lt;&gt;"",IF(OR(AB8="X",AC8="X",AD8="X",AE8="X",AF8="X",AG8="X",AH8="X",AI8="X"),"_","")&amp;IF(ISERROR(VLOOKUP(M8,ListaThesaurus,2,FALSE)),"***",VLOOKUP(M8,ListaThesaurus,2,FALSE)),""),"")&amp;IF(AK8="X",IF(N8&lt;&gt;"",IF(OR(AB8="X",AC8="X",AD8="X",AE8="X",AF8="X",AG8="X",AH8="X",AI8="X",AJ8="X"),"_","")&amp;IF(ISERROR(VLOOKUP(N8,ListaThesaurus,2,FALSE)),"***",VLOOKUP(N8,ListaThesaurus,2,FALSE)),""),"")</f>
        <v>T</v>
      </c>
      <c r="AN8" s="14" t="str">
        <f>IF(AB8="X",IF(E8&lt;&gt;"",IF(ISERROR(VLOOKUP(E8,ListaNaturezas,3,FALSE)),"***",VLOOKUP(E8,ListaNaturezas,3,FALSE)),""),"")&amp;IF(AC8="X",IF(F8&lt;&gt;"",IF(ISERROR(VLOOKUP(F8,ListaThesaurus,2,FALSE)),"***",VLOOKUP(F8,ListaThesaurus,2,FALSE)),""),"")&amp;IF(AD8="X",IF(G8&lt;&gt;"",IF(AC8="X","_","")&amp;IF(ISERROR(VLOOKUP(G8,ListaThesaurus,2,FALSE)),"***",VLOOKUP(G8,ListaThesaurus,2,FALSE)),""),"")&amp;IF(AE8="X",IF(H8&lt;&gt;"",IF(OR(AC8="X",AD8="X"),"_","")&amp;IF(ISERROR(VLOOKUP(H8,ListaThesaurus,2,FALSE)),"***",VLOOKUP(H8,ListaThesaurus,2,FALSE)),""),"")&amp;IF(AF8="X",IF(I8&lt;&gt;"",IF(OR(AC8="X",AD8="X",AE8="X"),"_","")&amp;IF(ISERROR(VLOOKUP(I8,ListaThesaurus,2,FALSE)),"***",VLOOKUP(I8,ListaThesaurus,2,FALSE)),""),"")</f>
        <v/>
      </c>
      <c r="AO8" s="14" t="str">
        <f>AN8&amp;IF(AG8="X",IF(J8&lt;&gt;"",IF(OR(AC8="X",AD8="X",AE8="X",AF8="X"),"_","")&amp;IF(ISERROR(VLOOKUP(J8,ListaThesaurus,2,FALSE)),"***",VLOOKUP(J8,ListaThesaurus,2,FALSE)),""),"")&amp;IF(AH8="X",IF(K8&lt;&gt;"",IF(OR(AC8="X",AD8="X",AE8="X",AF8="X",AG8="X"),"_","")&amp;IF(ISERROR(VLOOKUP(K8,ListaThesaurus,2,FALSE)),"***",VLOOKUP(K8,ListaThesaurus,2,FALSE)),""),"")&amp;IF(AI8="X",IF(L8&lt;&gt;"",IF(OR(AC8="X",AD8="X",AE8="X",AF8="X",AG8="X",AH8="X"),"_","")&amp;IF(ISERROR(VLOOKUP(L8,ListaThesaurus,2,FALSE)),"***",VLOOKUP(L8,ListaThesaurus,2,FALSE)),""),"")&amp;IF(AJ8="X",IF(M8&lt;&gt;"",IF(OR(AC8="X",AD8="X",AE8="X",AF8="X",AG8="X",AH8="X",AI8="X"),"_","")&amp;IF(ISERROR(VLOOKUP(M8,ListaThesaurus,2,FALSE)),"***",VLOOKUP(M8,ListaThesaurus,2,FALSE)),""),"")&amp;IF(AK8="X",IF(N8&lt;&gt;"",IF(OR(AC8="X",AD8="X",AE8="X",AF8="X",AG8="X",AH8="X",AI8="X",AJ8="X"),"_","")&amp;IF(ISERROR(VLOOKUP(N8,ListaThesaurus,2,FALSE)),"***",VLOOKUP(N8,ListaThesaurus,2,FALSE)),""),"")</f>
        <v/>
      </c>
      <c r="AP8" s="14" t="str">
        <f>IF(C8="A",AO8,IF(C8="E",AM8,""))</f>
        <v/>
      </c>
      <c r="AQ8" s="14" t="str">
        <f t="shared" ref="AQ8:AQ71" si="31">LOWER(AP8)</f>
        <v/>
      </c>
      <c r="AR8" s="15">
        <f t="shared" si="18"/>
        <v>0</v>
      </c>
      <c r="AT8" s="17">
        <f t="shared" si="19"/>
        <v>0</v>
      </c>
    </row>
    <row r="9" spans="2:46" x14ac:dyDescent="0.2">
      <c r="B9" s="87"/>
      <c r="C9" s="15" t="s">
        <v>53</v>
      </c>
      <c r="D9" s="30" t="str">
        <f t="shared" ref="D9:D125" si="32">SuprimePreposições(SubstituirTildes(B9))</f>
        <v/>
      </c>
      <c r="E9" s="14" t="str">
        <f t="shared" si="21"/>
        <v/>
      </c>
      <c r="F9" s="14" t="str">
        <f t="shared" si="22"/>
        <v/>
      </c>
      <c r="G9" s="14" t="str">
        <f t="shared" si="23"/>
        <v/>
      </c>
      <c r="H9" s="14" t="str">
        <f t="shared" si="24"/>
        <v/>
      </c>
      <c r="I9" s="14" t="str">
        <f t="shared" si="25"/>
        <v/>
      </c>
      <c r="J9" s="14" t="str">
        <f t="shared" si="26"/>
        <v/>
      </c>
      <c r="K9" s="14" t="str">
        <f t="shared" si="27"/>
        <v/>
      </c>
      <c r="L9" s="14" t="str">
        <f t="shared" si="28"/>
        <v/>
      </c>
      <c r="M9" s="14" t="str">
        <f t="shared" si="29"/>
        <v/>
      </c>
      <c r="N9" s="14" t="str">
        <f t="shared" si="30"/>
        <v/>
      </c>
      <c r="O9" s="14" t="s">
        <v>11</v>
      </c>
      <c r="P9" s="14" t="s">
        <v>11</v>
      </c>
      <c r="Q9" s="14" t="s">
        <v>11</v>
      </c>
      <c r="R9" s="14" t="s">
        <v>13</v>
      </c>
      <c r="S9" s="14" t="s">
        <v>11</v>
      </c>
      <c r="T9" s="14" t="s">
        <v>11</v>
      </c>
      <c r="U9" s="14" t="s">
        <v>11</v>
      </c>
      <c r="V9" s="14" t="s">
        <v>11</v>
      </c>
      <c r="W9" s="14" t="s">
        <v>11</v>
      </c>
      <c r="X9" s="14" t="s">
        <v>11</v>
      </c>
      <c r="Y9" s="14" t="str">
        <f t="shared" ref="Y9:Y125" si="33">IF(C9="E",IF(O9="X",IF(E9&lt;&gt;"",IF(ISERROR(VLOOKUP(E9,ListaThesaurus,2,FALSE)),"***",E9),""),""),IF(C9="A",IF(O9="X",IF(E9&lt;&gt;"",IF(ISERROR(VLOOKUP(E9,ListaNaturezas,2,FALSE)),"***",LOWER(VLOOKUP(E9,ListaNaturezas,2,FALSE))),""),""),"***"))&amp;IF(P9="X",IF(F9&lt;&gt;"",IF(ISERROR(VLOOKUP(F9,ListaThesaurus,2,FALSE)),"***",F9),""),"")&amp;IF(Q9="X",IF(G9&lt;&gt;"",IF(ISERROR(VLOOKUP(G9,ListaThesaurus,2,FALSE)),"***",G9),""),"")&amp;IF(R9="X",IF(H9&lt;&gt;"",IF(ISERROR(VLOOKUP(H9,ListaThesaurus,2,FALSE)),"***",H9),""),"")&amp;IF(S9="X",IF(I9&lt;&gt;"",IF(ISERROR(VLOOKUP(I9,ListaThesaurus,2,FALSE)),"***",I9),""),"")</f>
        <v/>
      </c>
      <c r="Z9" s="14" t="str">
        <f t="shared" ref="Z9:Z41" si="34">IF(OR(C9="E",C9="A"),Y9&amp;IF(T9="X",IF(J9&lt;&gt;"",IF(ISERROR(VLOOKUP(J9,ListaThesaurus,2,FALSE)),"***",J9),""),"")&amp;IF(U9="X",IF(K9&lt;&gt;"",IF(ISERROR(VLOOKUP(K9,ListaThesaurus,2,FALSE)),"***",K9),""),"")&amp;IF(V9="X",IF(L9&lt;&gt;"",IF(ISERROR(VLOOKUP(L9,ListaThesaurus,2,FALSE)),"***",L9),""),"")&amp;IF(W9="X",IF(M9&lt;&gt;"",IF(ISERROR(VLOOKUP(M9,ListaThesaurus,2,FALSE)),"***",M9),""),"")&amp;IF(X9="X",IF(N9&lt;&gt;"",IF(ISERROR(VLOOKUP(N9,ListaThesaurus,2,FALSE)),"***",N9),""),""),"")</f>
        <v/>
      </c>
      <c r="AA9" s="15">
        <f t="shared" si="13"/>
        <v>0</v>
      </c>
      <c r="AB9" s="14" t="s">
        <v>11</v>
      </c>
      <c r="AC9" s="14" t="s">
        <v>11</v>
      </c>
      <c r="AD9" s="14" t="s">
        <v>11</v>
      </c>
      <c r="AE9" s="14" t="s">
        <v>11</v>
      </c>
      <c r="AF9" s="14" t="s">
        <v>13</v>
      </c>
      <c r="AG9" s="14" t="s">
        <v>11</v>
      </c>
      <c r="AH9" s="14" t="s">
        <v>11</v>
      </c>
      <c r="AI9" s="14" t="s">
        <v>11</v>
      </c>
      <c r="AJ9" s="14" t="s">
        <v>11</v>
      </c>
      <c r="AK9" s="14" t="s">
        <v>11</v>
      </c>
      <c r="AL9" s="14" t="str">
        <f t="shared" ref="AL9:AL125" si="35">"T"&amp;IF(AB9="X",IF(E9&lt;&gt;"",IF(ISERROR(VLOOKUP(E9,ListaThesaurus,2,FALSE)),"***",VLOOKUP(E9,ListaThesaurus,2,FALSE)),""),"")&amp;IF(AC9="X",IF(F9&lt;&gt;"",IF(AB9="X","_","")&amp;IF(ISERROR(VLOOKUP(F9,ListaThesaurus,2,FALSE)),"***",VLOOKUP(F9,ListaThesaurus,2,FALSE)),""),"")&amp;IF(AD9="X",IF(G9&lt;&gt;"",IF(OR(AB9="X",AC9="X"),"_","")&amp;IF(ISERROR(VLOOKUP(G9,ListaThesaurus,2,FALSE)),"***",VLOOKUP(G9,ListaThesaurus,2,FALSE)),""),"")&amp;IF(AE9="X",IF(H9&lt;&gt;"",IF(OR(AB9="X",AC9="X",AD9="X"),"_","")&amp;IF(ISERROR(VLOOKUP(H9,ListaThesaurus,2,FALSE)),"***",VLOOKUP(H9,ListaThesaurus,2,FALSE)),""),"")&amp;IF(AF9="X",IF(I9&lt;&gt;"",IF(OR(AB9="X",AC9="X",AD9="X",AE9="X"),"_","")&amp;IF(ISERROR(VLOOKUP(I9,ListaThesaurus,2,FALSE)),"***",VLOOKUP(I9,ListaThesaurus,2,FALSE)),""),"")</f>
        <v>T</v>
      </c>
      <c r="AM9" s="14" t="str">
        <f t="shared" ref="AM9:AM41" si="36">AL9&amp;IF(AG9="X",IF(J9&lt;&gt;"",IF(OR(AB9="X",AC9="X",AD9="X",AE9="X",AF9="X"),"_","")&amp;IF(ISERROR(VLOOKUP(J9,ListaThesaurus,2,FALSE)),"***",VLOOKUP(J9,ListaThesaurus,2,FALSE)),""),"")&amp;IF(AH9="X",IF(K9&lt;&gt;"",IF(OR(AB9="X",AC9="X",AD9="X",AE9="X",AF9="X",AG9="X"),"_","")&amp;IF(ISERROR(VLOOKUP(K9,ListaThesaurus,2,FALSE)),"***",VLOOKUP(K9,ListaThesaurus,2,FALSE)),""),"")&amp;IF(AI9="X",IF(L9&lt;&gt;"",IF(OR(AB9="X",AC9="X",AD9="X",AE9="X",AF9="X",AG9="X",AH9="X"),"_","")&amp;IF(ISERROR(VLOOKUP(L9,ListaThesaurus,2,FALSE)),"***",VLOOKUP(L9,ListaThesaurus,2,FALSE)),""),"")&amp;IF(AJ9="X",IF(M9&lt;&gt;"",IF(OR(AB9="X",AC9="X",AD9="X",AE9="X",AF9="X",AG9="X",AH9="X",AI9="X"),"_","")&amp;IF(ISERROR(VLOOKUP(M9,ListaThesaurus,2,FALSE)),"***",VLOOKUP(M9,ListaThesaurus,2,FALSE)),""),"")&amp;IF(AK9="X",IF(N9&lt;&gt;"",IF(OR(AB9="X",AC9="X",AD9="X",AE9="X",AF9="X",AG9="X",AH9="X",AI9="X",AJ9="X"),"_","")&amp;IF(ISERROR(VLOOKUP(N9,ListaThesaurus,2,FALSE)),"***",VLOOKUP(N9,ListaThesaurus,2,FALSE)),""),"")</f>
        <v>T</v>
      </c>
      <c r="AN9" s="14" t="str">
        <f t="shared" ref="AN9:AN125" si="37">IF(AB9="X",IF(E9&lt;&gt;"",IF(ISERROR(VLOOKUP(E9,ListaNaturezas,3,FALSE)),"***",VLOOKUP(E9,ListaNaturezas,3,FALSE)),""),"")&amp;IF(AC9="X",IF(F9&lt;&gt;"",IF(ISERROR(VLOOKUP(F9,ListaThesaurus,2,FALSE)),"***",VLOOKUP(F9,ListaThesaurus,2,FALSE)),""),"")&amp;IF(AD9="X",IF(G9&lt;&gt;"",IF(AC9="X","_","")&amp;IF(ISERROR(VLOOKUP(G9,ListaThesaurus,2,FALSE)),"***",VLOOKUP(G9,ListaThesaurus,2,FALSE)),""),"")&amp;IF(AE9="X",IF(H9&lt;&gt;"",IF(OR(AC9="X",AD9="X"),"_","")&amp;IF(ISERROR(VLOOKUP(H9,ListaThesaurus,2,FALSE)),"***",VLOOKUP(H9,ListaThesaurus,2,FALSE)),""),"")&amp;IF(AF9="X",IF(I9&lt;&gt;"",IF(OR(AC9="X",AD9="X",AE9="X"),"_","")&amp;IF(ISERROR(VLOOKUP(I9,ListaThesaurus,2,FALSE)),"***",VLOOKUP(I9,ListaThesaurus,2,FALSE)),""),"")</f>
        <v/>
      </c>
      <c r="AO9" s="14" t="str">
        <f t="shared" ref="AO9:AO41" si="38">AN9&amp;IF(AG9="X",IF(J9&lt;&gt;"",IF(OR(AC9="X",AD9="X",AE9="X",AF9="X"),"_","")&amp;IF(ISERROR(VLOOKUP(J9,ListaThesaurus,2,FALSE)),"***",VLOOKUP(J9,ListaThesaurus,2,FALSE)),""),"")&amp;IF(AH9="X",IF(K9&lt;&gt;"",IF(OR(AC9="X",AD9="X",AE9="X",AF9="X",AG9="X"),"_","")&amp;IF(ISERROR(VLOOKUP(K9,ListaThesaurus,2,FALSE)),"***",VLOOKUP(K9,ListaThesaurus,2,FALSE)),""),"")&amp;IF(AI9="X",IF(L9&lt;&gt;"",IF(OR(AC9="X",AD9="X",AE9="X",AF9="X",AG9="X",AH9="X"),"_","")&amp;IF(ISERROR(VLOOKUP(L9,ListaThesaurus,2,FALSE)),"***",VLOOKUP(L9,ListaThesaurus,2,FALSE)),""),"")&amp;IF(AJ9="X",IF(M9&lt;&gt;"",IF(OR(AC9="X",AD9="X",AE9="X",AF9="X",AG9="X",AH9="X",AI9="X"),"_","")&amp;IF(ISERROR(VLOOKUP(M9,ListaThesaurus,2,FALSE)),"***",VLOOKUP(M9,ListaThesaurus,2,FALSE)),""),"")&amp;IF(AK9="X",IF(N9&lt;&gt;"",IF(OR(AC9="X",AD9="X",AE9="X",AF9="X",AG9="X",AH9="X",AI9="X",AJ9="X"),"_","")&amp;IF(ISERROR(VLOOKUP(N9,ListaThesaurus,2,FALSE)),"***",VLOOKUP(N9,ListaThesaurus,2,FALSE)),""),"")</f>
        <v/>
      </c>
      <c r="AP9" s="14" t="str">
        <f t="shared" ref="AP9:AP41" si="39">IF(C9="A",AO9,IF(C9="E",AM9,""))</f>
        <v/>
      </c>
      <c r="AQ9" s="14" t="str">
        <f t="shared" si="31"/>
        <v/>
      </c>
      <c r="AR9" s="15">
        <f t="shared" si="18"/>
        <v>0</v>
      </c>
      <c r="AT9" s="17">
        <f t="shared" si="19"/>
        <v>0</v>
      </c>
    </row>
    <row r="10" spans="2:46" x14ac:dyDescent="0.2">
      <c r="B10" s="87"/>
      <c r="C10" s="15" t="s">
        <v>53</v>
      </c>
      <c r="D10" s="30" t="str">
        <f t="shared" si="32"/>
        <v/>
      </c>
      <c r="E10" s="14" t="str">
        <f t="shared" si="21"/>
        <v/>
      </c>
      <c r="F10" s="14" t="str">
        <f t="shared" si="22"/>
        <v/>
      </c>
      <c r="G10" s="14" t="str">
        <f t="shared" si="23"/>
        <v/>
      </c>
      <c r="H10" s="14" t="str">
        <f t="shared" si="24"/>
        <v/>
      </c>
      <c r="I10" s="14" t="str">
        <f t="shared" si="25"/>
        <v/>
      </c>
      <c r="J10" s="14" t="str">
        <f t="shared" si="26"/>
        <v/>
      </c>
      <c r="K10" s="14" t="str">
        <f t="shared" si="27"/>
        <v/>
      </c>
      <c r="L10" s="14" t="str">
        <f t="shared" si="28"/>
        <v/>
      </c>
      <c r="M10" s="14" t="str">
        <f t="shared" si="29"/>
        <v/>
      </c>
      <c r="N10" s="14" t="str">
        <f t="shared" si="30"/>
        <v/>
      </c>
      <c r="O10" s="14" t="s">
        <v>11</v>
      </c>
      <c r="P10" s="14" t="s">
        <v>11</v>
      </c>
      <c r="Q10" s="14" t="s">
        <v>11</v>
      </c>
      <c r="R10" s="14" t="s">
        <v>13</v>
      </c>
      <c r="S10" s="14" t="s">
        <v>11</v>
      </c>
      <c r="T10" s="14" t="s">
        <v>11</v>
      </c>
      <c r="U10" s="14" t="s">
        <v>11</v>
      </c>
      <c r="V10" s="14" t="s">
        <v>11</v>
      </c>
      <c r="W10" s="14" t="s">
        <v>11</v>
      </c>
      <c r="X10" s="14" t="s">
        <v>11</v>
      </c>
      <c r="Y10" s="14" t="str">
        <f t="shared" si="33"/>
        <v/>
      </c>
      <c r="Z10" s="14" t="str">
        <f t="shared" si="34"/>
        <v/>
      </c>
      <c r="AA10" s="15">
        <f t="shared" si="13"/>
        <v>0</v>
      </c>
      <c r="AB10" s="14" t="s">
        <v>11</v>
      </c>
      <c r="AC10" s="14" t="s">
        <v>11</v>
      </c>
      <c r="AD10" s="14" t="s">
        <v>11</v>
      </c>
      <c r="AE10" s="14" t="s">
        <v>11</v>
      </c>
      <c r="AF10" s="14" t="s">
        <v>13</v>
      </c>
      <c r="AG10" s="14" t="s">
        <v>11</v>
      </c>
      <c r="AH10" s="14" t="s">
        <v>11</v>
      </c>
      <c r="AI10" s="14" t="s">
        <v>11</v>
      </c>
      <c r="AJ10" s="14" t="s">
        <v>11</v>
      </c>
      <c r="AK10" s="14" t="s">
        <v>11</v>
      </c>
      <c r="AL10" s="14" t="str">
        <f t="shared" si="35"/>
        <v>T</v>
      </c>
      <c r="AM10" s="14" t="str">
        <f t="shared" si="36"/>
        <v>T</v>
      </c>
      <c r="AN10" s="14" t="str">
        <f t="shared" si="37"/>
        <v/>
      </c>
      <c r="AO10" s="14" t="str">
        <f t="shared" si="38"/>
        <v/>
      </c>
      <c r="AP10" s="14" t="str">
        <f t="shared" si="39"/>
        <v/>
      </c>
      <c r="AQ10" s="14" t="str">
        <f t="shared" si="31"/>
        <v/>
      </c>
      <c r="AR10" s="15">
        <f t="shared" si="18"/>
        <v>0</v>
      </c>
      <c r="AT10" s="17">
        <f t="shared" si="19"/>
        <v>0</v>
      </c>
    </row>
    <row r="11" spans="2:46" x14ac:dyDescent="0.2">
      <c r="B11" s="16"/>
      <c r="C11" s="15" t="s">
        <v>53</v>
      </c>
      <c r="D11" s="30" t="str">
        <f t="shared" si="32"/>
        <v/>
      </c>
      <c r="E11" s="14" t="str">
        <f t="shared" si="21"/>
        <v/>
      </c>
      <c r="F11" s="14" t="str">
        <f t="shared" si="22"/>
        <v/>
      </c>
      <c r="G11" s="14" t="str">
        <f t="shared" si="23"/>
        <v/>
      </c>
      <c r="H11" s="14" t="str">
        <f t="shared" si="24"/>
        <v/>
      </c>
      <c r="I11" s="14" t="str">
        <f t="shared" si="25"/>
        <v/>
      </c>
      <c r="J11" s="14" t="str">
        <f t="shared" si="26"/>
        <v/>
      </c>
      <c r="K11" s="14" t="str">
        <f t="shared" si="27"/>
        <v/>
      </c>
      <c r="L11" s="14" t="str">
        <f t="shared" si="28"/>
        <v/>
      </c>
      <c r="M11" s="14" t="str">
        <f t="shared" si="29"/>
        <v/>
      </c>
      <c r="N11" s="14" t="str">
        <f t="shared" si="30"/>
        <v/>
      </c>
      <c r="O11" s="14" t="s">
        <v>11</v>
      </c>
      <c r="P11" s="14" t="s">
        <v>11</v>
      </c>
      <c r="Q11" s="14" t="s">
        <v>11</v>
      </c>
      <c r="R11" s="14" t="s">
        <v>13</v>
      </c>
      <c r="S11" s="14" t="s">
        <v>11</v>
      </c>
      <c r="T11" s="14" t="s">
        <v>11</v>
      </c>
      <c r="U11" s="14" t="s">
        <v>11</v>
      </c>
      <c r="V11" s="14" t="s">
        <v>11</v>
      </c>
      <c r="W11" s="14" t="s">
        <v>11</v>
      </c>
      <c r="X11" s="14" t="s">
        <v>11</v>
      </c>
      <c r="Y11" s="14" t="str">
        <f t="shared" si="33"/>
        <v/>
      </c>
      <c r="Z11" s="14" t="str">
        <f t="shared" si="34"/>
        <v/>
      </c>
      <c r="AA11" s="15">
        <f t="shared" si="13"/>
        <v>0</v>
      </c>
      <c r="AB11" s="14" t="s">
        <v>11</v>
      </c>
      <c r="AC11" s="14" t="s">
        <v>11</v>
      </c>
      <c r="AD11" s="14" t="s">
        <v>11</v>
      </c>
      <c r="AE11" s="14" t="s">
        <v>11</v>
      </c>
      <c r="AF11" s="14" t="s">
        <v>13</v>
      </c>
      <c r="AG11" s="14" t="s">
        <v>11</v>
      </c>
      <c r="AH11" s="14" t="s">
        <v>11</v>
      </c>
      <c r="AI11" s="14" t="s">
        <v>11</v>
      </c>
      <c r="AJ11" s="14" t="s">
        <v>11</v>
      </c>
      <c r="AK11" s="14" t="s">
        <v>11</v>
      </c>
      <c r="AL11" s="14" t="str">
        <f t="shared" si="35"/>
        <v>T</v>
      </c>
      <c r="AM11" s="14" t="str">
        <f t="shared" si="36"/>
        <v>T</v>
      </c>
      <c r="AN11" s="14" t="str">
        <f t="shared" si="37"/>
        <v/>
      </c>
      <c r="AO11" s="14" t="str">
        <f t="shared" si="38"/>
        <v/>
      </c>
      <c r="AP11" s="14" t="str">
        <f t="shared" si="39"/>
        <v/>
      </c>
      <c r="AQ11" s="14" t="str">
        <f t="shared" si="31"/>
        <v/>
      </c>
      <c r="AR11" s="15">
        <f t="shared" si="18"/>
        <v>0</v>
      </c>
      <c r="AT11" s="17">
        <f t="shared" si="19"/>
        <v>0</v>
      </c>
    </row>
    <row r="12" spans="2:46" x14ac:dyDescent="0.2">
      <c r="B12" s="16"/>
      <c r="C12" s="15" t="s">
        <v>53</v>
      </c>
      <c r="D12" s="30" t="str">
        <f t="shared" si="32"/>
        <v/>
      </c>
      <c r="E12" s="14" t="str">
        <f t="shared" si="21"/>
        <v/>
      </c>
      <c r="F12" s="14" t="str">
        <f t="shared" si="22"/>
        <v/>
      </c>
      <c r="G12" s="14" t="str">
        <f t="shared" si="23"/>
        <v/>
      </c>
      <c r="H12" s="14" t="str">
        <f t="shared" si="24"/>
        <v/>
      </c>
      <c r="I12" s="14" t="str">
        <f t="shared" si="25"/>
        <v/>
      </c>
      <c r="J12" s="14" t="str">
        <f t="shared" si="26"/>
        <v/>
      </c>
      <c r="K12" s="14" t="str">
        <f t="shared" si="27"/>
        <v/>
      </c>
      <c r="L12" s="14" t="str">
        <f t="shared" si="28"/>
        <v/>
      </c>
      <c r="M12" s="14" t="str">
        <f t="shared" si="29"/>
        <v/>
      </c>
      <c r="N12" s="14" t="str">
        <f t="shared" si="30"/>
        <v/>
      </c>
      <c r="O12" s="14" t="s">
        <v>11</v>
      </c>
      <c r="P12" s="14" t="s">
        <v>11</v>
      </c>
      <c r="Q12" s="14" t="s">
        <v>11</v>
      </c>
      <c r="R12" s="14" t="s">
        <v>13</v>
      </c>
      <c r="S12" s="14" t="s">
        <v>11</v>
      </c>
      <c r="T12" s="14" t="s">
        <v>11</v>
      </c>
      <c r="U12" s="14" t="s">
        <v>11</v>
      </c>
      <c r="V12" s="14" t="s">
        <v>11</v>
      </c>
      <c r="W12" s="14" t="s">
        <v>11</v>
      </c>
      <c r="X12" s="14" t="s">
        <v>11</v>
      </c>
      <c r="Y12" s="14" t="str">
        <f t="shared" si="33"/>
        <v/>
      </c>
      <c r="Z12" s="14" t="str">
        <f t="shared" si="34"/>
        <v/>
      </c>
      <c r="AA12" s="15">
        <f t="shared" si="13"/>
        <v>0</v>
      </c>
      <c r="AB12" s="14" t="s">
        <v>11</v>
      </c>
      <c r="AC12" s="14" t="s">
        <v>11</v>
      </c>
      <c r="AD12" s="14" t="s">
        <v>11</v>
      </c>
      <c r="AE12" s="14" t="s">
        <v>11</v>
      </c>
      <c r="AF12" s="14" t="s">
        <v>13</v>
      </c>
      <c r="AG12" s="14" t="s">
        <v>11</v>
      </c>
      <c r="AH12" s="14" t="s">
        <v>11</v>
      </c>
      <c r="AI12" s="14" t="s">
        <v>11</v>
      </c>
      <c r="AJ12" s="14" t="s">
        <v>11</v>
      </c>
      <c r="AK12" s="14" t="s">
        <v>11</v>
      </c>
      <c r="AL12" s="14" t="str">
        <f t="shared" si="35"/>
        <v>T</v>
      </c>
      <c r="AM12" s="14" t="str">
        <f t="shared" si="36"/>
        <v>T</v>
      </c>
      <c r="AN12" s="14" t="str">
        <f t="shared" si="37"/>
        <v/>
      </c>
      <c r="AO12" s="14" t="str">
        <f t="shared" si="38"/>
        <v/>
      </c>
      <c r="AP12" s="14" t="str">
        <f t="shared" si="39"/>
        <v/>
      </c>
      <c r="AQ12" s="14" t="str">
        <f t="shared" si="31"/>
        <v/>
      </c>
      <c r="AR12" s="15">
        <f t="shared" si="18"/>
        <v>0</v>
      </c>
      <c r="AT12" s="17">
        <f t="shared" si="19"/>
        <v>0</v>
      </c>
    </row>
    <row r="13" spans="2:46" x14ac:dyDescent="0.2">
      <c r="B13" s="16"/>
      <c r="C13" s="15" t="s">
        <v>53</v>
      </c>
      <c r="D13" s="30" t="str">
        <f t="shared" si="32"/>
        <v/>
      </c>
      <c r="E13" s="14" t="str">
        <f t="shared" si="21"/>
        <v/>
      </c>
      <c r="F13" s="14" t="str">
        <f t="shared" si="22"/>
        <v/>
      </c>
      <c r="G13" s="14" t="str">
        <f t="shared" si="23"/>
        <v/>
      </c>
      <c r="H13" s="14" t="str">
        <f t="shared" si="24"/>
        <v/>
      </c>
      <c r="I13" s="14" t="str">
        <f t="shared" si="25"/>
        <v/>
      </c>
      <c r="J13" s="14" t="str">
        <f t="shared" si="26"/>
        <v/>
      </c>
      <c r="K13" s="14" t="str">
        <f t="shared" si="27"/>
        <v/>
      </c>
      <c r="L13" s="14" t="str">
        <f t="shared" si="28"/>
        <v/>
      </c>
      <c r="M13" s="14" t="str">
        <f t="shared" si="29"/>
        <v/>
      </c>
      <c r="N13" s="14" t="str">
        <f t="shared" si="30"/>
        <v/>
      </c>
      <c r="O13" s="14" t="s">
        <v>11</v>
      </c>
      <c r="P13" s="14" t="s">
        <v>11</v>
      </c>
      <c r="Q13" s="14" t="s">
        <v>11</v>
      </c>
      <c r="R13" s="14" t="s">
        <v>13</v>
      </c>
      <c r="S13" s="14" t="s">
        <v>11</v>
      </c>
      <c r="T13" s="14" t="s">
        <v>11</v>
      </c>
      <c r="U13" s="14" t="s">
        <v>11</v>
      </c>
      <c r="V13" s="14" t="s">
        <v>11</v>
      </c>
      <c r="W13" s="14" t="s">
        <v>11</v>
      </c>
      <c r="X13" s="14" t="s">
        <v>11</v>
      </c>
      <c r="Y13" s="14" t="str">
        <f t="shared" si="33"/>
        <v/>
      </c>
      <c r="Z13" s="14" t="str">
        <f t="shared" si="34"/>
        <v/>
      </c>
      <c r="AA13" s="15">
        <f t="shared" si="13"/>
        <v>0</v>
      </c>
      <c r="AB13" s="14" t="s">
        <v>11</v>
      </c>
      <c r="AC13" s="14" t="s">
        <v>11</v>
      </c>
      <c r="AD13" s="14" t="s">
        <v>11</v>
      </c>
      <c r="AE13" s="14" t="s">
        <v>11</v>
      </c>
      <c r="AF13" s="14" t="s">
        <v>13</v>
      </c>
      <c r="AG13" s="14" t="s">
        <v>11</v>
      </c>
      <c r="AH13" s="14" t="s">
        <v>11</v>
      </c>
      <c r="AI13" s="14" t="s">
        <v>11</v>
      </c>
      <c r="AJ13" s="14" t="s">
        <v>11</v>
      </c>
      <c r="AK13" s="14" t="s">
        <v>11</v>
      </c>
      <c r="AL13" s="14" t="str">
        <f t="shared" si="35"/>
        <v>T</v>
      </c>
      <c r="AM13" s="14" t="str">
        <f t="shared" si="36"/>
        <v>T</v>
      </c>
      <c r="AN13" s="14" t="str">
        <f t="shared" si="37"/>
        <v/>
      </c>
      <c r="AO13" s="14" t="str">
        <f t="shared" si="38"/>
        <v/>
      </c>
      <c r="AP13" s="14" t="str">
        <f t="shared" si="39"/>
        <v/>
      </c>
      <c r="AQ13" s="14" t="str">
        <f t="shared" si="31"/>
        <v/>
      </c>
      <c r="AR13" s="15">
        <f t="shared" si="18"/>
        <v>0</v>
      </c>
      <c r="AT13" s="17">
        <f t="shared" si="19"/>
        <v>0</v>
      </c>
    </row>
    <row r="14" spans="2:46" x14ac:dyDescent="0.2">
      <c r="B14" s="16"/>
      <c r="C14" s="15" t="s">
        <v>53</v>
      </c>
      <c r="D14" s="30" t="str">
        <f t="shared" si="32"/>
        <v/>
      </c>
      <c r="E14" s="14" t="str">
        <f t="shared" si="21"/>
        <v/>
      </c>
      <c r="F14" s="14" t="str">
        <f t="shared" si="22"/>
        <v/>
      </c>
      <c r="G14" s="14" t="str">
        <f t="shared" si="23"/>
        <v/>
      </c>
      <c r="H14" s="14" t="str">
        <f t="shared" si="24"/>
        <v/>
      </c>
      <c r="I14" s="14" t="str">
        <f t="shared" si="25"/>
        <v/>
      </c>
      <c r="J14" s="14" t="str">
        <f t="shared" si="26"/>
        <v/>
      </c>
      <c r="K14" s="14" t="str">
        <f t="shared" si="27"/>
        <v/>
      </c>
      <c r="L14" s="14" t="str">
        <f t="shared" si="28"/>
        <v/>
      </c>
      <c r="M14" s="14" t="str">
        <f t="shared" si="29"/>
        <v/>
      </c>
      <c r="N14" s="14" t="str">
        <f t="shared" si="30"/>
        <v/>
      </c>
      <c r="O14" s="14" t="s">
        <v>11</v>
      </c>
      <c r="P14" s="14" t="s">
        <v>11</v>
      </c>
      <c r="Q14" s="14" t="s">
        <v>11</v>
      </c>
      <c r="R14" s="14" t="s">
        <v>13</v>
      </c>
      <c r="S14" s="14" t="s">
        <v>11</v>
      </c>
      <c r="T14" s="14" t="s">
        <v>11</v>
      </c>
      <c r="U14" s="14" t="s">
        <v>11</v>
      </c>
      <c r="V14" s="14" t="s">
        <v>11</v>
      </c>
      <c r="W14" s="14" t="s">
        <v>11</v>
      </c>
      <c r="X14" s="14" t="s">
        <v>11</v>
      </c>
      <c r="Y14" s="14" t="str">
        <f t="shared" si="33"/>
        <v/>
      </c>
      <c r="Z14" s="14" t="str">
        <f t="shared" si="34"/>
        <v/>
      </c>
      <c r="AA14" s="15">
        <f t="shared" si="13"/>
        <v>0</v>
      </c>
      <c r="AB14" s="14" t="s">
        <v>11</v>
      </c>
      <c r="AC14" s="14" t="s">
        <v>11</v>
      </c>
      <c r="AD14" s="14" t="s">
        <v>11</v>
      </c>
      <c r="AE14" s="14" t="s">
        <v>11</v>
      </c>
      <c r="AF14" s="14" t="s">
        <v>13</v>
      </c>
      <c r="AG14" s="14" t="s">
        <v>11</v>
      </c>
      <c r="AH14" s="14" t="s">
        <v>11</v>
      </c>
      <c r="AI14" s="14" t="s">
        <v>11</v>
      </c>
      <c r="AJ14" s="14" t="s">
        <v>11</v>
      </c>
      <c r="AK14" s="14" t="s">
        <v>11</v>
      </c>
      <c r="AL14" s="14" t="str">
        <f t="shared" si="35"/>
        <v>T</v>
      </c>
      <c r="AM14" s="14" t="str">
        <f t="shared" si="36"/>
        <v>T</v>
      </c>
      <c r="AN14" s="14" t="str">
        <f t="shared" si="37"/>
        <v/>
      </c>
      <c r="AO14" s="14" t="str">
        <f t="shared" si="38"/>
        <v/>
      </c>
      <c r="AP14" s="14" t="str">
        <f t="shared" si="39"/>
        <v/>
      </c>
      <c r="AQ14" s="14" t="str">
        <f t="shared" si="31"/>
        <v/>
      </c>
      <c r="AR14" s="15">
        <f t="shared" si="18"/>
        <v>0</v>
      </c>
      <c r="AT14" s="17">
        <f t="shared" si="19"/>
        <v>0</v>
      </c>
    </row>
    <row r="15" spans="2:46" x14ac:dyDescent="0.2">
      <c r="B15" s="16"/>
      <c r="C15" s="15" t="s">
        <v>53</v>
      </c>
      <c r="D15" s="30" t="str">
        <f t="shared" si="32"/>
        <v/>
      </c>
      <c r="E15" s="14" t="str">
        <f t="shared" si="21"/>
        <v/>
      </c>
      <c r="F15" s="14" t="str">
        <f t="shared" si="22"/>
        <v/>
      </c>
      <c r="G15" s="14" t="str">
        <f t="shared" si="23"/>
        <v/>
      </c>
      <c r="H15" s="14" t="str">
        <f t="shared" si="24"/>
        <v/>
      </c>
      <c r="I15" s="14" t="str">
        <f t="shared" si="25"/>
        <v/>
      </c>
      <c r="J15" s="14" t="str">
        <f t="shared" si="26"/>
        <v/>
      </c>
      <c r="K15" s="14" t="str">
        <f t="shared" si="27"/>
        <v/>
      </c>
      <c r="L15" s="14" t="str">
        <f t="shared" si="28"/>
        <v/>
      </c>
      <c r="M15" s="14" t="str">
        <f t="shared" si="29"/>
        <v/>
      </c>
      <c r="N15" s="14" t="str">
        <f t="shared" si="30"/>
        <v/>
      </c>
      <c r="O15" s="14" t="s">
        <v>11</v>
      </c>
      <c r="P15" s="14" t="s">
        <v>11</v>
      </c>
      <c r="Q15" s="14" t="s">
        <v>11</v>
      </c>
      <c r="R15" s="14" t="s">
        <v>13</v>
      </c>
      <c r="S15" s="14" t="s">
        <v>11</v>
      </c>
      <c r="T15" s="14" t="s">
        <v>11</v>
      </c>
      <c r="U15" s="14" t="s">
        <v>11</v>
      </c>
      <c r="V15" s="14" t="s">
        <v>11</v>
      </c>
      <c r="W15" s="14" t="s">
        <v>11</v>
      </c>
      <c r="X15" s="14" t="s">
        <v>11</v>
      </c>
      <c r="Y15" s="14" t="str">
        <f t="shared" si="33"/>
        <v/>
      </c>
      <c r="Z15" s="14" t="str">
        <f t="shared" si="34"/>
        <v/>
      </c>
      <c r="AA15" s="15">
        <f t="shared" si="13"/>
        <v>0</v>
      </c>
      <c r="AB15" s="14" t="s">
        <v>11</v>
      </c>
      <c r="AC15" s="14" t="s">
        <v>11</v>
      </c>
      <c r="AD15" s="14" t="s">
        <v>11</v>
      </c>
      <c r="AE15" s="14" t="s">
        <v>11</v>
      </c>
      <c r="AF15" s="14" t="s">
        <v>13</v>
      </c>
      <c r="AG15" s="14" t="s">
        <v>11</v>
      </c>
      <c r="AH15" s="14" t="s">
        <v>11</v>
      </c>
      <c r="AI15" s="14" t="s">
        <v>11</v>
      </c>
      <c r="AJ15" s="14" t="s">
        <v>11</v>
      </c>
      <c r="AK15" s="14" t="s">
        <v>11</v>
      </c>
      <c r="AL15" s="14" t="str">
        <f t="shared" si="35"/>
        <v>T</v>
      </c>
      <c r="AM15" s="14" t="str">
        <f t="shared" si="36"/>
        <v>T</v>
      </c>
      <c r="AN15" s="14" t="str">
        <f t="shared" si="37"/>
        <v/>
      </c>
      <c r="AO15" s="14" t="str">
        <f t="shared" si="38"/>
        <v/>
      </c>
      <c r="AP15" s="14" t="str">
        <f t="shared" si="39"/>
        <v/>
      </c>
      <c r="AQ15" s="14" t="str">
        <f t="shared" si="31"/>
        <v/>
      </c>
      <c r="AR15" s="15">
        <f t="shared" si="18"/>
        <v>0</v>
      </c>
      <c r="AT15" s="17">
        <f t="shared" si="19"/>
        <v>0</v>
      </c>
    </row>
    <row r="16" spans="2:46" x14ac:dyDescent="0.2">
      <c r="B16" s="16"/>
      <c r="C16" s="15" t="s">
        <v>53</v>
      </c>
      <c r="D16" s="30" t="str">
        <f t="shared" si="32"/>
        <v/>
      </c>
      <c r="E16" s="14" t="str">
        <f t="shared" si="21"/>
        <v/>
      </c>
      <c r="F16" s="14" t="str">
        <f t="shared" si="22"/>
        <v/>
      </c>
      <c r="G16" s="14" t="str">
        <f t="shared" si="23"/>
        <v/>
      </c>
      <c r="H16" s="14" t="str">
        <f t="shared" si="24"/>
        <v/>
      </c>
      <c r="I16" s="14" t="str">
        <f t="shared" si="25"/>
        <v/>
      </c>
      <c r="J16" s="14" t="str">
        <f t="shared" si="26"/>
        <v/>
      </c>
      <c r="K16" s="14" t="str">
        <f t="shared" si="27"/>
        <v/>
      </c>
      <c r="L16" s="14" t="str">
        <f t="shared" si="28"/>
        <v/>
      </c>
      <c r="M16" s="14" t="str">
        <f t="shared" si="29"/>
        <v/>
      </c>
      <c r="N16" s="14" t="str">
        <f t="shared" si="30"/>
        <v/>
      </c>
      <c r="O16" s="14" t="s">
        <v>11</v>
      </c>
      <c r="P16" s="14" t="s">
        <v>11</v>
      </c>
      <c r="Q16" s="14" t="s">
        <v>11</v>
      </c>
      <c r="R16" s="14" t="s">
        <v>13</v>
      </c>
      <c r="S16" s="14" t="s">
        <v>11</v>
      </c>
      <c r="T16" s="14" t="s">
        <v>11</v>
      </c>
      <c r="U16" s="14" t="s">
        <v>11</v>
      </c>
      <c r="V16" s="14" t="s">
        <v>11</v>
      </c>
      <c r="W16" s="14" t="s">
        <v>11</v>
      </c>
      <c r="X16" s="14" t="s">
        <v>11</v>
      </c>
      <c r="Y16" s="14" t="str">
        <f t="shared" si="33"/>
        <v/>
      </c>
      <c r="Z16" s="14" t="str">
        <f t="shared" si="34"/>
        <v/>
      </c>
      <c r="AA16" s="15">
        <f t="shared" si="13"/>
        <v>0</v>
      </c>
      <c r="AB16" s="14" t="s">
        <v>11</v>
      </c>
      <c r="AC16" s="14" t="s">
        <v>11</v>
      </c>
      <c r="AD16" s="14" t="s">
        <v>11</v>
      </c>
      <c r="AE16" s="14" t="s">
        <v>11</v>
      </c>
      <c r="AF16" s="14" t="s">
        <v>13</v>
      </c>
      <c r="AG16" s="14" t="s">
        <v>11</v>
      </c>
      <c r="AH16" s="14" t="s">
        <v>11</v>
      </c>
      <c r="AI16" s="14" t="s">
        <v>11</v>
      </c>
      <c r="AJ16" s="14" t="s">
        <v>11</v>
      </c>
      <c r="AK16" s="14" t="s">
        <v>11</v>
      </c>
      <c r="AL16" s="14" t="str">
        <f t="shared" si="35"/>
        <v>T</v>
      </c>
      <c r="AM16" s="14" t="str">
        <f t="shared" si="36"/>
        <v>T</v>
      </c>
      <c r="AN16" s="14" t="str">
        <f t="shared" si="37"/>
        <v/>
      </c>
      <c r="AO16" s="14" t="str">
        <f t="shared" si="38"/>
        <v/>
      </c>
      <c r="AP16" s="14" t="str">
        <f t="shared" si="39"/>
        <v/>
      </c>
      <c r="AQ16" s="14" t="str">
        <f t="shared" si="31"/>
        <v/>
      </c>
      <c r="AR16" s="15">
        <f t="shared" si="18"/>
        <v>0</v>
      </c>
      <c r="AT16" s="17">
        <f t="shared" si="19"/>
        <v>0</v>
      </c>
    </row>
    <row r="17" spans="2:46" x14ac:dyDescent="0.2">
      <c r="B17" s="16"/>
      <c r="C17" s="15" t="s">
        <v>57</v>
      </c>
      <c r="D17" s="30" t="str">
        <f t="shared" si="32"/>
        <v/>
      </c>
      <c r="E17" s="14" t="str">
        <f t="shared" si="21"/>
        <v/>
      </c>
      <c r="F17" s="14" t="str">
        <f t="shared" si="22"/>
        <v/>
      </c>
      <c r="G17" s="14" t="str">
        <f t="shared" si="23"/>
        <v/>
      </c>
      <c r="H17" s="14" t="str">
        <f t="shared" si="24"/>
        <v/>
      </c>
      <c r="I17" s="14" t="str">
        <f t="shared" si="25"/>
        <v/>
      </c>
      <c r="J17" s="14" t="str">
        <f t="shared" si="26"/>
        <v/>
      </c>
      <c r="K17" s="14" t="str">
        <f t="shared" si="27"/>
        <v/>
      </c>
      <c r="L17" s="14" t="str">
        <f t="shared" si="28"/>
        <v/>
      </c>
      <c r="M17" s="14" t="str">
        <f t="shared" si="29"/>
        <v/>
      </c>
      <c r="N17" s="14" t="str">
        <f t="shared" si="30"/>
        <v/>
      </c>
      <c r="O17" s="14" t="s">
        <v>11</v>
      </c>
      <c r="P17" s="14" t="s">
        <v>11</v>
      </c>
      <c r="Q17" s="14" t="s">
        <v>11</v>
      </c>
      <c r="R17" s="14" t="s">
        <v>13</v>
      </c>
      <c r="S17" s="14" t="s">
        <v>11</v>
      </c>
      <c r="T17" s="14" t="s">
        <v>11</v>
      </c>
      <c r="U17" s="14" t="s">
        <v>11</v>
      </c>
      <c r="V17" s="14" t="s">
        <v>11</v>
      </c>
      <c r="W17" s="14" t="s">
        <v>11</v>
      </c>
      <c r="X17" s="14" t="s">
        <v>11</v>
      </c>
      <c r="Y17" s="14" t="str">
        <f t="shared" si="33"/>
        <v/>
      </c>
      <c r="Z17" s="14" t="str">
        <f t="shared" si="34"/>
        <v/>
      </c>
      <c r="AA17" s="15">
        <f t="shared" si="13"/>
        <v>0</v>
      </c>
      <c r="AB17" s="14" t="s">
        <v>11</v>
      </c>
      <c r="AC17" s="14" t="s">
        <v>11</v>
      </c>
      <c r="AD17" s="14" t="s">
        <v>11</v>
      </c>
      <c r="AE17" s="14" t="s">
        <v>11</v>
      </c>
      <c r="AF17" s="14" t="s">
        <v>13</v>
      </c>
      <c r="AG17" s="14" t="s">
        <v>11</v>
      </c>
      <c r="AH17" s="14" t="s">
        <v>11</v>
      </c>
      <c r="AI17" s="14" t="s">
        <v>11</v>
      </c>
      <c r="AJ17" s="14" t="s">
        <v>11</v>
      </c>
      <c r="AK17" s="14" t="s">
        <v>11</v>
      </c>
      <c r="AL17" s="14" t="str">
        <f t="shared" si="35"/>
        <v>T</v>
      </c>
      <c r="AM17" s="14" t="str">
        <f t="shared" si="36"/>
        <v>T</v>
      </c>
      <c r="AN17" s="14" t="str">
        <f t="shared" si="37"/>
        <v/>
      </c>
      <c r="AO17" s="14" t="str">
        <f t="shared" si="38"/>
        <v/>
      </c>
      <c r="AP17" s="14" t="str">
        <f t="shared" si="39"/>
        <v>T</v>
      </c>
      <c r="AQ17" s="14" t="str">
        <f t="shared" si="31"/>
        <v>t</v>
      </c>
      <c r="AR17" s="15">
        <f t="shared" si="18"/>
        <v>1</v>
      </c>
      <c r="AT17" s="17">
        <f t="shared" si="19"/>
        <v>0</v>
      </c>
    </row>
    <row r="18" spans="2:46" x14ac:dyDescent="0.2">
      <c r="B18" s="16"/>
      <c r="C18" s="15" t="s">
        <v>57</v>
      </c>
      <c r="D18" s="30" t="str">
        <f t="shared" si="32"/>
        <v/>
      </c>
      <c r="E18" s="14" t="str">
        <f t="shared" si="21"/>
        <v/>
      </c>
      <c r="F18" s="14" t="str">
        <f t="shared" si="22"/>
        <v/>
      </c>
      <c r="G18" s="14" t="str">
        <f t="shared" si="23"/>
        <v/>
      </c>
      <c r="H18" s="14" t="str">
        <f t="shared" si="24"/>
        <v/>
      </c>
      <c r="I18" s="14" t="str">
        <f t="shared" si="25"/>
        <v/>
      </c>
      <c r="J18" s="14" t="str">
        <f t="shared" si="26"/>
        <v/>
      </c>
      <c r="K18" s="14" t="str">
        <f t="shared" si="27"/>
        <v/>
      </c>
      <c r="L18" s="14" t="str">
        <f t="shared" si="28"/>
        <v/>
      </c>
      <c r="M18" s="14" t="str">
        <f t="shared" si="29"/>
        <v/>
      </c>
      <c r="N18" s="14" t="str">
        <f t="shared" si="30"/>
        <v/>
      </c>
      <c r="O18" s="14" t="s">
        <v>11</v>
      </c>
      <c r="P18" s="14" t="s">
        <v>11</v>
      </c>
      <c r="Q18" s="14" t="s">
        <v>11</v>
      </c>
      <c r="R18" s="14" t="s">
        <v>13</v>
      </c>
      <c r="S18" s="14" t="s">
        <v>11</v>
      </c>
      <c r="T18" s="14" t="s">
        <v>11</v>
      </c>
      <c r="U18" s="14" t="s">
        <v>11</v>
      </c>
      <c r="V18" s="14" t="s">
        <v>11</v>
      </c>
      <c r="W18" s="14" t="s">
        <v>11</v>
      </c>
      <c r="X18" s="14" t="s">
        <v>11</v>
      </c>
      <c r="Y18" s="14" t="str">
        <f t="shared" si="33"/>
        <v/>
      </c>
      <c r="Z18" s="14" t="str">
        <f t="shared" si="34"/>
        <v/>
      </c>
      <c r="AA18" s="15">
        <f t="shared" si="13"/>
        <v>0</v>
      </c>
      <c r="AB18" s="14" t="s">
        <v>11</v>
      </c>
      <c r="AC18" s="14" t="s">
        <v>11</v>
      </c>
      <c r="AD18" s="14" t="s">
        <v>11</v>
      </c>
      <c r="AE18" s="14" t="s">
        <v>11</v>
      </c>
      <c r="AF18" s="14" t="s">
        <v>13</v>
      </c>
      <c r="AG18" s="14" t="s">
        <v>11</v>
      </c>
      <c r="AH18" s="14" t="s">
        <v>11</v>
      </c>
      <c r="AI18" s="14" t="s">
        <v>11</v>
      </c>
      <c r="AJ18" s="14" t="s">
        <v>11</v>
      </c>
      <c r="AK18" s="14" t="s">
        <v>11</v>
      </c>
      <c r="AL18" s="14" t="str">
        <f t="shared" si="35"/>
        <v>T</v>
      </c>
      <c r="AM18" s="14" t="str">
        <f t="shared" si="36"/>
        <v>T</v>
      </c>
      <c r="AN18" s="14" t="str">
        <f t="shared" si="37"/>
        <v/>
      </c>
      <c r="AO18" s="14" t="str">
        <f t="shared" si="38"/>
        <v/>
      </c>
      <c r="AP18" s="14" t="str">
        <f t="shared" si="39"/>
        <v>T</v>
      </c>
      <c r="AQ18" s="14" t="str">
        <f t="shared" si="31"/>
        <v>t</v>
      </c>
      <c r="AR18" s="15">
        <f t="shared" si="18"/>
        <v>1</v>
      </c>
      <c r="AT18" s="17">
        <f t="shared" si="19"/>
        <v>0</v>
      </c>
    </row>
    <row r="19" spans="2:46" x14ac:dyDescent="0.2">
      <c r="B19" s="16"/>
      <c r="C19" s="15" t="s">
        <v>53</v>
      </c>
      <c r="D19" s="30" t="str">
        <f t="shared" si="32"/>
        <v/>
      </c>
      <c r="E19" s="14" t="str">
        <f t="shared" si="21"/>
        <v/>
      </c>
      <c r="F19" s="14" t="str">
        <f t="shared" si="22"/>
        <v/>
      </c>
      <c r="G19" s="14" t="str">
        <f t="shared" si="23"/>
        <v/>
      </c>
      <c r="H19" s="14" t="str">
        <f t="shared" si="24"/>
        <v/>
      </c>
      <c r="I19" s="14" t="str">
        <f t="shared" si="25"/>
        <v/>
      </c>
      <c r="J19" s="14" t="str">
        <f t="shared" si="26"/>
        <v/>
      </c>
      <c r="K19" s="14" t="str">
        <f t="shared" si="27"/>
        <v/>
      </c>
      <c r="L19" s="14" t="str">
        <f t="shared" si="28"/>
        <v/>
      </c>
      <c r="M19" s="14" t="str">
        <f t="shared" si="29"/>
        <v/>
      </c>
      <c r="N19" s="14" t="str">
        <f t="shared" si="30"/>
        <v/>
      </c>
      <c r="O19" s="14" t="s">
        <v>11</v>
      </c>
      <c r="P19" s="14" t="s">
        <v>11</v>
      </c>
      <c r="Q19" s="14" t="s">
        <v>11</v>
      </c>
      <c r="R19" s="14" t="s">
        <v>13</v>
      </c>
      <c r="S19" s="14" t="s">
        <v>11</v>
      </c>
      <c r="T19" s="14" t="s">
        <v>11</v>
      </c>
      <c r="U19" s="14" t="s">
        <v>11</v>
      </c>
      <c r="V19" s="14" t="s">
        <v>11</v>
      </c>
      <c r="W19" s="14" t="s">
        <v>11</v>
      </c>
      <c r="X19" s="14" t="s">
        <v>11</v>
      </c>
      <c r="Y19" s="14" t="str">
        <f t="shared" si="33"/>
        <v/>
      </c>
      <c r="Z19" s="14" t="str">
        <f t="shared" si="34"/>
        <v/>
      </c>
      <c r="AA19" s="15">
        <f t="shared" si="13"/>
        <v>0</v>
      </c>
      <c r="AB19" s="14" t="s">
        <v>11</v>
      </c>
      <c r="AC19" s="14" t="s">
        <v>11</v>
      </c>
      <c r="AD19" s="14" t="s">
        <v>11</v>
      </c>
      <c r="AE19" s="14" t="s">
        <v>11</v>
      </c>
      <c r="AF19" s="14" t="s">
        <v>13</v>
      </c>
      <c r="AG19" s="14" t="s">
        <v>11</v>
      </c>
      <c r="AH19" s="14" t="s">
        <v>11</v>
      </c>
      <c r="AI19" s="14" t="s">
        <v>11</v>
      </c>
      <c r="AJ19" s="14" t="s">
        <v>11</v>
      </c>
      <c r="AK19" s="14" t="s">
        <v>11</v>
      </c>
      <c r="AL19" s="14" t="str">
        <f t="shared" si="35"/>
        <v>T</v>
      </c>
      <c r="AM19" s="14" t="str">
        <f t="shared" si="36"/>
        <v>T</v>
      </c>
      <c r="AN19" s="14" t="str">
        <f t="shared" si="37"/>
        <v/>
      </c>
      <c r="AO19" s="14" t="str">
        <f t="shared" si="38"/>
        <v/>
      </c>
      <c r="AP19" s="14" t="str">
        <f t="shared" si="39"/>
        <v/>
      </c>
      <c r="AQ19" s="14" t="str">
        <f t="shared" si="31"/>
        <v/>
      </c>
      <c r="AR19" s="15">
        <f t="shared" si="18"/>
        <v>0</v>
      </c>
      <c r="AT19" s="17">
        <f t="shared" si="19"/>
        <v>0</v>
      </c>
    </row>
    <row r="20" spans="2:46" x14ac:dyDescent="0.2">
      <c r="B20" s="16"/>
      <c r="C20" s="15" t="s">
        <v>53</v>
      </c>
      <c r="D20" s="30" t="str">
        <f t="shared" si="32"/>
        <v/>
      </c>
      <c r="E20" s="14" t="str">
        <f t="shared" si="21"/>
        <v/>
      </c>
      <c r="F20" s="14" t="str">
        <f t="shared" si="22"/>
        <v/>
      </c>
      <c r="G20" s="14" t="str">
        <f t="shared" si="23"/>
        <v/>
      </c>
      <c r="H20" s="14" t="str">
        <f t="shared" si="24"/>
        <v/>
      </c>
      <c r="I20" s="14" t="str">
        <f t="shared" si="25"/>
        <v/>
      </c>
      <c r="J20" s="14" t="str">
        <f t="shared" si="26"/>
        <v/>
      </c>
      <c r="K20" s="14" t="str">
        <f t="shared" si="27"/>
        <v/>
      </c>
      <c r="L20" s="14" t="str">
        <f t="shared" si="28"/>
        <v/>
      </c>
      <c r="M20" s="14" t="str">
        <f t="shared" si="29"/>
        <v/>
      </c>
      <c r="N20" s="14" t="str">
        <f t="shared" si="30"/>
        <v/>
      </c>
      <c r="O20" s="14" t="s">
        <v>11</v>
      </c>
      <c r="P20" s="14" t="s">
        <v>11</v>
      </c>
      <c r="Q20" s="14" t="s">
        <v>11</v>
      </c>
      <c r="R20" s="14" t="s">
        <v>13</v>
      </c>
      <c r="S20" s="14" t="s">
        <v>11</v>
      </c>
      <c r="T20" s="14" t="s">
        <v>11</v>
      </c>
      <c r="U20" s="14" t="s">
        <v>11</v>
      </c>
      <c r="V20" s="14" t="s">
        <v>11</v>
      </c>
      <c r="W20" s="14" t="s">
        <v>11</v>
      </c>
      <c r="X20" s="14" t="s">
        <v>11</v>
      </c>
      <c r="Y20" s="14" t="str">
        <f t="shared" si="33"/>
        <v/>
      </c>
      <c r="Z20" s="14" t="str">
        <f t="shared" si="34"/>
        <v/>
      </c>
      <c r="AA20" s="15">
        <f t="shared" si="13"/>
        <v>0</v>
      </c>
      <c r="AB20" s="14" t="s">
        <v>11</v>
      </c>
      <c r="AC20" s="14" t="s">
        <v>11</v>
      </c>
      <c r="AD20" s="14" t="s">
        <v>11</v>
      </c>
      <c r="AE20" s="14" t="s">
        <v>11</v>
      </c>
      <c r="AF20" s="14" t="s">
        <v>13</v>
      </c>
      <c r="AG20" s="14" t="s">
        <v>11</v>
      </c>
      <c r="AH20" s="14" t="s">
        <v>11</v>
      </c>
      <c r="AI20" s="14" t="s">
        <v>11</v>
      </c>
      <c r="AJ20" s="14" t="s">
        <v>11</v>
      </c>
      <c r="AK20" s="14" t="s">
        <v>11</v>
      </c>
      <c r="AL20" s="14" t="str">
        <f t="shared" si="35"/>
        <v>T</v>
      </c>
      <c r="AM20" s="14" t="str">
        <f t="shared" si="36"/>
        <v>T</v>
      </c>
      <c r="AN20" s="14" t="str">
        <f t="shared" si="37"/>
        <v/>
      </c>
      <c r="AO20" s="14" t="str">
        <f t="shared" si="38"/>
        <v/>
      </c>
      <c r="AP20" s="14" t="str">
        <f t="shared" si="39"/>
        <v/>
      </c>
      <c r="AQ20" s="14" t="str">
        <f t="shared" si="31"/>
        <v/>
      </c>
      <c r="AR20" s="15">
        <f t="shared" si="18"/>
        <v>0</v>
      </c>
      <c r="AT20" s="17">
        <f t="shared" si="19"/>
        <v>0</v>
      </c>
    </row>
    <row r="21" spans="2:46" x14ac:dyDescent="0.2">
      <c r="B21" s="16"/>
      <c r="C21" s="15" t="s">
        <v>53</v>
      </c>
      <c r="D21" s="30" t="str">
        <f t="shared" si="32"/>
        <v/>
      </c>
      <c r="E21" s="14" t="str">
        <f t="shared" si="21"/>
        <v/>
      </c>
      <c r="F21" s="14" t="str">
        <f t="shared" si="22"/>
        <v/>
      </c>
      <c r="G21" s="14" t="str">
        <f t="shared" si="23"/>
        <v/>
      </c>
      <c r="H21" s="14" t="str">
        <f t="shared" si="24"/>
        <v/>
      </c>
      <c r="I21" s="14" t="str">
        <f t="shared" si="25"/>
        <v/>
      </c>
      <c r="J21" s="14" t="str">
        <f t="shared" si="26"/>
        <v/>
      </c>
      <c r="K21" s="14" t="str">
        <f t="shared" si="27"/>
        <v/>
      </c>
      <c r="L21" s="14" t="str">
        <f t="shared" si="28"/>
        <v/>
      </c>
      <c r="M21" s="14" t="str">
        <f t="shared" si="29"/>
        <v/>
      </c>
      <c r="N21" s="14" t="str">
        <f t="shared" si="30"/>
        <v/>
      </c>
      <c r="O21" s="14" t="s">
        <v>11</v>
      </c>
      <c r="P21" s="14" t="s">
        <v>11</v>
      </c>
      <c r="Q21" s="14" t="s">
        <v>11</v>
      </c>
      <c r="R21" s="14" t="s">
        <v>13</v>
      </c>
      <c r="S21" s="14" t="s">
        <v>11</v>
      </c>
      <c r="T21" s="14" t="s">
        <v>11</v>
      </c>
      <c r="U21" s="14" t="s">
        <v>11</v>
      </c>
      <c r="V21" s="14" t="s">
        <v>11</v>
      </c>
      <c r="W21" s="14" t="s">
        <v>11</v>
      </c>
      <c r="X21" s="14" t="s">
        <v>11</v>
      </c>
      <c r="Y21" s="14" t="str">
        <f t="shared" si="33"/>
        <v/>
      </c>
      <c r="Z21" s="14" t="str">
        <f t="shared" si="34"/>
        <v/>
      </c>
      <c r="AA21" s="15">
        <f t="shared" si="13"/>
        <v>0</v>
      </c>
      <c r="AB21" s="14" t="s">
        <v>11</v>
      </c>
      <c r="AC21" s="14" t="s">
        <v>11</v>
      </c>
      <c r="AD21" s="14" t="s">
        <v>11</v>
      </c>
      <c r="AE21" s="14" t="s">
        <v>11</v>
      </c>
      <c r="AF21" s="14" t="s">
        <v>13</v>
      </c>
      <c r="AG21" s="14" t="s">
        <v>11</v>
      </c>
      <c r="AH21" s="14" t="s">
        <v>11</v>
      </c>
      <c r="AI21" s="14" t="s">
        <v>11</v>
      </c>
      <c r="AJ21" s="14" t="s">
        <v>11</v>
      </c>
      <c r="AK21" s="14" t="s">
        <v>11</v>
      </c>
      <c r="AL21" s="14" t="str">
        <f t="shared" si="35"/>
        <v>T</v>
      </c>
      <c r="AM21" s="14" t="str">
        <f t="shared" si="36"/>
        <v>T</v>
      </c>
      <c r="AN21" s="14" t="str">
        <f t="shared" si="37"/>
        <v/>
      </c>
      <c r="AO21" s="14" t="str">
        <f t="shared" si="38"/>
        <v/>
      </c>
      <c r="AP21" s="14" t="str">
        <f t="shared" si="39"/>
        <v/>
      </c>
      <c r="AQ21" s="14" t="str">
        <f t="shared" si="31"/>
        <v/>
      </c>
      <c r="AR21" s="15">
        <f t="shared" si="18"/>
        <v>0</v>
      </c>
      <c r="AT21" s="17">
        <f t="shared" si="19"/>
        <v>0</v>
      </c>
    </row>
    <row r="22" spans="2:46" x14ac:dyDescent="0.2">
      <c r="B22" s="16"/>
      <c r="C22" s="15" t="s">
        <v>53</v>
      </c>
      <c r="D22" s="30" t="str">
        <f t="shared" si="32"/>
        <v/>
      </c>
      <c r="E22" s="14" t="str">
        <f t="shared" si="21"/>
        <v/>
      </c>
      <c r="F22" s="14" t="str">
        <f t="shared" si="22"/>
        <v/>
      </c>
      <c r="G22" s="14" t="str">
        <f t="shared" si="23"/>
        <v/>
      </c>
      <c r="H22" s="14" t="str">
        <f t="shared" si="24"/>
        <v/>
      </c>
      <c r="I22" s="14" t="str">
        <f t="shared" si="25"/>
        <v/>
      </c>
      <c r="J22" s="14" t="str">
        <f t="shared" si="26"/>
        <v/>
      </c>
      <c r="K22" s="14" t="str">
        <f t="shared" si="27"/>
        <v/>
      </c>
      <c r="L22" s="14" t="str">
        <f t="shared" si="28"/>
        <v/>
      </c>
      <c r="M22" s="14" t="str">
        <f t="shared" si="29"/>
        <v/>
      </c>
      <c r="N22" s="14" t="str">
        <f t="shared" si="30"/>
        <v/>
      </c>
      <c r="O22" s="14" t="s">
        <v>11</v>
      </c>
      <c r="P22" s="14" t="s">
        <v>11</v>
      </c>
      <c r="Q22" s="14" t="s">
        <v>11</v>
      </c>
      <c r="R22" s="14" t="s">
        <v>13</v>
      </c>
      <c r="S22" s="14" t="s">
        <v>11</v>
      </c>
      <c r="T22" s="14" t="s">
        <v>11</v>
      </c>
      <c r="U22" s="14" t="s">
        <v>11</v>
      </c>
      <c r="V22" s="14" t="s">
        <v>11</v>
      </c>
      <c r="W22" s="14" t="s">
        <v>11</v>
      </c>
      <c r="X22" s="14" t="s">
        <v>11</v>
      </c>
      <c r="Y22" s="14" t="str">
        <f t="shared" si="33"/>
        <v/>
      </c>
      <c r="Z22" s="14" t="str">
        <f t="shared" si="34"/>
        <v/>
      </c>
      <c r="AA22" s="15">
        <f t="shared" si="13"/>
        <v>0</v>
      </c>
      <c r="AB22" s="14" t="s">
        <v>11</v>
      </c>
      <c r="AC22" s="14" t="s">
        <v>11</v>
      </c>
      <c r="AD22" s="14" t="s">
        <v>11</v>
      </c>
      <c r="AE22" s="14" t="s">
        <v>11</v>
      </c>
      <c r="AF22" s="14" t="s">
        <v>13</v>
      </c>
      <c r="AG22" s="14" t="s">
        <v>11</v>
      </c>
      <c r="AH22" s="14" t="s">
        <v>11</v>
      </c>
      <c r="AI22" s="14" t="s">
        <v>11</v>
      </c>
      <c r="AJ22" s="14" t="s">
        <v>11</v>
      </c>
      <c r="AK22" s="14" t="s">
        <v>11</v>
      </c>
      <c r="AL22" s="14" t="str">
        <f t="shared" si="35"/>
        <v>T</v>
      </c>
      <c r="AM22" s="14" t="str">
        <f t="shared" si="36"/>
        <v>T</v>
      </c>
      <c r="AN22" s="14" t="str">
        <f t="shared" si="37"/>
        <v/>
      </c>
      <c r="AO22" s="14" t="str">
        <f t="shared" si="38"/>
        <v/>
      </c>
      <c r="AP22" s="14" t="str">
        <f t="shared" si="39"/>
        <v/>
      </c>
      <c r="AQ22" s="14" t="str">
        <f t="shared" si="31"/>
        <v/>
      </c>
      <c r="AR22" s="15">
        <f t="shared" si="18"/>
        <v>0</v>
      </c>
      <c r="AT22" s="17">
        <f t="shared" si="19"/>
        <v>0</v>
      </c>
    </row>
    <row r="23" spans="2:46" x14ac:dyDescent="0.2">
      <c r="B23" s="16"/>
      <c r="C23" s="15" t="s">
        <v>53</v>
      </c>
      <c r="D23" s="30" t="str">
        <f t="shared" si="32"/>
        <v/>
      </c>
      <c r="E23" s="14" t="str">
        <f t="shared" si="21"/>
        <v/>
      </c>
      <c r="F23" s="14" t="str">
        <f t="shared" si="22"/>
        <v/>
      </c>
      <c r="G23" s="14" t="str">
        <f t="shared" si="23"/>
        <v/>
      </c>
      <c r="H23" s="14" t="str">
        <f t="shared" si="24"/>
        <v/>
      </c>
      <c r="I23" s="14" t="str">
        <f t="shared" si="25"/>
        <v/>
      </c>
      <c r="J23" s="14" t="str">
        <f t="shared" si="26"/>
        <v/>
      </c>
      <c r="K23" s="14" t="str">
        <f t="shared" si="27"/>
        <v/>
      </c>
      <c r="L23" s="14" t="str">
        <f t="shared" si="28"/>
        <v/>
      </c>
      <c r="M23" s="14" t="str">
        <f t="shared" si="29"/>
        <v/>
      </c>
      <c r="N23" s="14" t="str">
        <f t="shared" si="30"/>
        <v/>
      </c>
      <c r="O23" s="14" t="s">
        <v>11</v>
      </c>
      <c r="P23" s="14" t="s">
        <v>11</v>
      </c>
      <c r="Q23" s="14" t="s">
        <v>11</v>
      </c>
      <c r="R23" s="14" t="s">
        <v>13</v>
      </c>
      <c r="S23" s="14" t="s">
        <v>11</v>
      </c>
      <c r="T23" s="14" t="s">
        <v>11</v>
      </c>
      <c r="U23" s="14" t="s">
        <v>11</v>
      </c>
      <c r="V23" s="14" t="s">
        <v>11</v>
      </c>
      <c r="W23" s="14" t="s">
        <v>11</v>
      </c>
      <c r="X23" s="14" t="s">
        <v>11</v>
      </c>
      <c r="Y23" s="14" t="str">
        <f t="shared" si="33"/>
        <v/>
      </c>
      <c r="Z23" s="14" t="str">
        <f t="shared" si="34"/>
        <v/>
      </c>
      <c r="AA23" s="15">
        <f t="shared" si="13"/>
        <v>0</v>
      </c>
      <c r="AB23" s="14" t="s">
        <v>11</v>
      </c>
      <c r="AC23" s="14" t="s">
        <v>11</v>
      </c>
      <c r="AD23" s="14" t="s">
        <v>11</v>
      </c>
      <c r="AE23" s="14" t="s">
        <v>11</v>
      </c>
      <c r="AF23" s="14" t="s">
        <v>13</v>
      </c>
      <c r="AG23" s="14" t="s">
        <v>11</v>
      </c>
      <c r="AH23" s="14" t="s">
        <v>11</v>
      </c>
      <c r="AI23" s="14" t="s">
        <v>11</v>
      </c>
      <c r="AJ23" s="14" t="s">
        <v>11</v>
      </c>
      <c r="AK23" s="14" t="s">
        <v>11</v>
      </c>
      <c r="AL23" s="14" t="str">
        <f t="shared" si="35"/>
        <v>T</v>
      </c>
      <c r="AM23" s="14" t="str">
        <f t="shared" si="36"/>
        <v>T</v>
      </c>
      <c r="AN23" s="14" t="str">
        <f t="shared" si="37"/>
        <v/>
      </c>
      <c r="AO23" s="14" t="str">
        <f t="shared" si="38"/>
        <v/>
      </c>
      <c r="AP23" s="14" t="str">
        <f t="shared" si="39"/>
        <v/>
      </c>
      <c r="AQ23" s="14" t="str">
        <f t="shared" si="31"/>
        <v/>
      </c>
      <c r="AR23" s="15">
        <f t="shared" si="18"/>
        <v>0</v>
      </c>
      <c r="AT23" s="17">
        <f t="shared" si="19"/>
        <v>0</v>
      </c>
    </row>
    <row r="24" spans="2:46" x14ac:dyDescent="0.2">
      <c r="B24" s="16"/>
      <c r="C24" s="15" t="s">
        <v>53</v>
      </c>
      <c r="D24" s="30" t="str">
        <f t="shared" si="32"/>
        <v/>
      </c>
      <c r="E24" s="14" t="str">
        <f t="shared" si="21"/>
        <v/>
      </c>
      <c r="F24" s="14" t="str">
        <f t="shared" si="22"/>
        <v/>
      </c>
      <c r="G24" s="14" t="str">
        <f t="shared" si="23"/>
        <v/>
      </c>
      <c r="H24" s="14" t="str">
        <f t="shared" si="24"/>
        <v/>
      </c>
      <c r="I24" s="14" t="str">
        <f t="shared" si="25"/>
        <v/>
      </c>
      <c r="J24" s="14" t="str">
        <f t="shared" si="26"/>
        <v/>
      </c>
      <c r="K24" s="14" t="str">
        <f t="shared" si="27"/>
        <v/>
      </c>
      <c r="L24" s="14" t="str">
        <f t="shared" si="28"/>
        <v/>
      </c>
      <c r="M24" s="14" t="str">
        <f t="shared" si="29"/>
        <v/>
      </c>
      <c r="N24" s="14" t="str">
        <f t="shared" si="30"/>
        <v/>
      </c>
      <c r="O24" s="14" t="s">
        <v>11</v>
      </c>
      <c r="P24" s="14" t="s">
        <v>11</v>
      </c>
      <c r="Q24" s="14" t="s">
        <v>11</v>
      </c>
      <c r="R24" s="14" t="s">
        <v>13</v>
      </c>
      <c r="S24" s="14" t="s">
        <v>11</v>
      </c>
      <c r="T24" s="14" t="s">
        <v>11</v>
      </c>
      <c r="U24" s="14" t="s">
        <v>11</v>
      </c>
      <c r="V24" s="14" t="s">
        <v>11</v>
      </c>
      <c r="W24" s="14" t="s">
        <v>11</v>
      </c>
      <c r="X24" s="14" t="s">
        <v>11</v>
      </c>
      <c r="Y24" s="14" t="str">
        <f t="shared" si="33"/>
        <v/>
      </c>
      <c r="Z24" s="14" t="str">
        <f t="shared" si="34"/>
        <v/>
      </c>
      <c r="AA24" s="15">
        <f t="shared" si="13"/>
        <v>0</v>
      </c>
      <c r="AB24" s="14" t="s">
        <v>11</v>
      </c>
      <c r="AC24" s="14" t="s">
        <v>11</v>
      </c>
      <c r="AD24" s="14" t="s">
        <v>11</v>
      </c>
      <c r="AE24" s="14" t="s">
        <v>11</v>
      </c>
      <c r="AF24" s="14" t="s">
        <v>13</v>
      </c>
      <c r="AG24" s="14" t="s">
        <v>11</v>
      </c>
      <c r="AH24" s="14" t="s">
        <v>11</v>
      </c>
      <c r="AI24" s="14" t="s">
        <v>11</v>
      </c>
      <c r="AJ24" s="14" t="s">
        <v>11</v>
      </c>
      <c r="AK24" s="14" t="s">
        <v>11</v>
      </c>
      <c r="AL24" s="14" t="str">
        <f t="shared" si="35"/>
        <v>T</v>
      </c>
      <c r="AM24" s="14" t="str">
        <f t="shared" si="36"/>
        <v>T</v>
      </c>
      <c r="AN24" s="14" t="str">
        <f t="shared" si="37"/>
        <v/>
      </c>
      <c r="AO24" s="14" t="str">
        <f t="shared" si="38"/>
        <v/>
      </c>
      <c r="AP24" s="14" t="str">
        <f t="shared" si="39"/>
        <v/>
      </c>
      <c r="AQ24" s="14" t="str">
        <f t="shared" si="31"/>
        <v/>
      </c>
      <c r="AR24" s="15">
        <f t="shared" si="18"/>
        <v>0</v>
      </c>
      <c r="AT24" s="17">
        <f t="shared" si="19"/>
        <v>0</v>
      </c>
    </row>
    <row r="25" spans="2:46" x14ac:dyDescent="0.2">
      <c r="B25" s="16"/>
      <c r="C25" s="15" t="s">
        <v>53</v>
      </c>
      <c r="D25" s="30" t="str">
        <f t="shared" si="32"/>
        <v/>
      </c>
      <c r="E25" s="14" t="str">
        <f t="shared" si="21"/>
        <v/>
      </c>
      <c r="F25" s="14" t="str">
        <f t="shared" si="22"/>
        <v/>
      </c>
      <c r="G25" s="14" t="str">
        <f t="shared" si="23"/>
        <v/>
      </c>
      <c r="H25" s="14" t="str">
        <f t="shared" si="24"/>
        <v/>
      </c>
      <c r="I25" s="14" t="str">
        <f t="shared" si="25"/>
        <v/>
      </c>
      <c r="J25" s="14" t="str">
        <f t="shared" si="26"/>
        <v/>
      </c>
      <c r="K25" s="14" t="str">
        <f t="shared" si="27"/>
        <v/>
      </c>
      <c r="L25" s="14" t="str">
        <f t="shared" si="28"/>
        <v/>
      </c>
      <c r="M25" s="14" t="str">
        <f t="shared" si="29"/>
        <v/>
      </c>
      <c r="N25" s="14" t="str">
        <f t="shared" si="30"/>
        <v/>
      </c>
      <c r="O25" s="14" t="s">
        <v>11</v>
      </c>
      <c r="P25" s="14" t="s">
        <v>11</v>
      </c>
      <c r="Q25" s="14" t="s">
        <v>11</v>
      </c>
      <c r="R25" s="14" t="s">
        <v>13</v>
      </c>
      <c r="S25" s="14" t="s">
        <v>11</v>
      </c>
      <c r="T25" s="14" t="s">
        <v>11</v>
      </c>
      <c r="U25" s="14" t="s">
        <v>11</v>
      </c>
      <c r="V25" s="14" t="s">
        <v>11</v>
      </c>
      <c r="W25" s="14" t="s">
        <v>11</v>
      </c>
      <c r="X25" s="14" t="s">
        <v>11</v>
      </c>
      <c r="Y25" s="14" t="str">
        <f t="shared" si="33"/>
        <v/>
      </c>
      <c r="Z25" s="14" t="str">
        <f t="shared" si="34"/>
        <v/>
      </c>
      <c r="AA25" s="15">
        <f t="shared" si="13"/>
        <v>0</v>
      </c>
      <c r="AB25" s="14" t="s">
        <v>11</v>
      </c>
      <c r="AC25" s="14" t="s">
        <v>11</v>
      </c>
      <c r="AD25" s="14" t="s">
        <v>11</v>
      </c>
      <c r="AE25" s="14" t="s">
        <v>11</v>
      </c>
      <c r="AF25" s="14" t="s">
        <v>13</v>
      </c>
      <c r="AG25" s="14" t="s">
        <v>11</v>
      </c>
      <c r="AH25" s="14" t="s">
        <v>11</v>
      </c>
      <c r="AI25" s="14" t="s">
        <v>11</v>
      </c>
      <c r="AJ25" s="14" t="s">
        <v>11</v>
      </c>
      <c r="AK25" s="14" t="s">
        <v>11</v>
      </c>
      <c r="AL25" s="14" t="str">
        <f t="shared" si="35"/>
        <v>T</v>
      </c>
      <c r="AM25" s="14" t="str">
        <f t="shared" si="36"/>
        <v>T</v>
      </c>
      <c r="AN25" s="14" t="str">
        <f t="shared" si="37"/>
        <v/>
      </c>
      <c r="AO25" s="14" t="str">
        <f t="shared" si="38"/>
        <v/>
      </c>
      <c r="AP25" s="14" t="str">
        <f t="shared" si="39"/>
        <v/>
      </c>
      <c r="AQ25" s="14" t="str">
        <f t="shared" si="31"/>
        <v/>
      </c>
      <c r="AR25" s="15">
        <f t="shared" si="18"/>
        <v>0</v>
      </c>
      <c r="AT25" s="17">
        <f t="shared" si="19"/>
        <v>0</v>
      </c>
    </row>
    <row r="26" spans="2:46" x14ac:dyDescent="0.2">
      <c r="B26" s="16"/>
      <c r="C26" s="15" t="s">
        <v>53</v>
      </c>
      <c r="D26" s="30" t="str">
        <f t="shared" si="32"/>
        <v/>
      </c>
      <c r="E26" s="14" t="str">
        <f t="shared" si="21"/>
        <v/>
      </c>
      <c r="F26" s="14" t="str">
        <f t="shared" si="22"/>
        <v/>
      </c>
      <c r="G26" s="14" t="str">
        <f t="shared" si="23"/>
        <v/>
      </c>
      <c r="H26" s="14" t="str">
        <f t="shared" si="24"/>
        <v/>
      </c>
      <c r="I26" s="14" t="str">
        <f t="shared" si="25"/>
        <v/>
      </c>
      <c r="J26" s="14" t="str">
        <f t="shared" si="26"/>
        <v/>
      </c>
      <c r="K26" s="14" t="str">
        <f t="shared" si="27"/>
        <v/>
      </c>
      <c r="L26" s="14" t="str">
        <f t="shared" si="28"/>
        <v/>
      </c>
      <c r="M26" s="14" t="str">
        <f t="shared" si="29"/>
        <v/>
      </c>
      <c r="N26" s="14" t="str">
        <f t="shared" si="30"/>
        <v/>
      </c>
      <c r="O26" s="14" t="s">
        <v>11</v>
      </c>
      <c r="P26" s="14" t="s">
        <v>11</v>
      </c>
      <c r="Q26" s="14" t="s">
        <v>11</v>
      </c>
      <c r="R26" s="14" t="s">
        <v>13</v>
      </c>
      <c r="S26" s="14" t="s">
        <v>11</v>
      </c>
      <c r="T26" s="14" t="s">
        <v>11</v>
      </c>
      <c r="U26" s="14" t="s">
        <v>11</v>
      </c>
      <c r="V26" s="14" t="s">
        <v>11</v>
      </c>
      <c r="W26" s="14" t="s">
        <v>11</v>
      </c>
      <c r="X26" s="14" t="s">
        <v>11</v>
      </c>
      <c r="Y26" s="14" t="str">
        <f t="shared" si="33"/>
        <v/>
      </c>
      <c r="Z26" s="14" t="str">
        <f t="shared" si="34"/>
        <v/>
      </c>
      <c r="AA26" s="15">
        <f t="shared" si="13"/>
        <v>0</v>
      </c>
      <c r="AB26" s="14" t="s">
        <v>11</v>
      </c>
      <c r="AC26" s="14" t="s">
        <v>11</v>
      </c>
      <c r="AD26" s="14" t="s">
        <v>11</v>
      </c>
      <c r="AE26" s="14" t="s">
        <v>11</v>
      </c>
      <c r="AF26" s="14" t="s">
        <v>13</v>
      </c>
      <c r="AG26" s="14" t="s">
        <v>11</v>
      </c>
      <c r="AH26" s="14" t="s">
        <v>11</v>
      </c>
      <c r="AI26" s="14" t="s">
        <v>11</v>
      </c>
      <c r="AJ26" s="14" t="s">
        <v>11</v>
      </c>
      <c r="AK26" s="14" t="s">
        <v>11</v>
      </c>
      <c r="AL26" s="14" t="str">
        <f t="shared" si="35"/>
        <v>T</v>
      </c>
      <c r="AM26" s="14" t="str">
        <f t="shared" si="36"/>
        <v>T</v>
      </c>
      <c r="AN26" s="14" t="str">
        <f t="shared" si="37"/>
        <v/>
      </c>
      <c r="AO26" s="14" t="str">
        <f t="shared" si="38"/>
        <v/>
      </c>
      <c r="AP26" s="14" t="str">
        <f t="shared" si="39"/>
        <v/>
      </c>
      <c r="AQ26" s="14" t="str">
        <f t="shared" si="31"/>
        <v/>
      </c>
      <c r="AR26" s="15">
        <f t="shared" si="18"/>
        <v>0</v>
      </c>
      <c r="AT26" s="17">
        <f t="shared" si="19"/>
        <v>0</v>
      </c>
    </row>
    <row r="27" spans="2:46" x14ac:dyDescent="0.2">
      <c r="B27" s="16"/>
      <c r="C27" s="15" t="s">
        <v>53</v>
      </c>
      <c r="D27" s="30" t="str">
        <f t="shared" si="32"/>
        <v/>
      </c>
      <c r="E27" s="14" t="str">
        <f t="shared" si="21"/>
        <v/>
      </c>
      <c r="F27" s="14" t="str">
        <f t="shared" si="22"/>
        <v/>
      </c>
      <c r="G27" s="14" t="str">
        <f t="shared" si="23"/>
        <v/>
      </c>
      <c r="H27" s="14" t="str">
        <f t="shared" si="24"/>
        <v/>
      </c>
      <c r="I27" s="14" t="str">
        <f t="shared" si="25"/>
        <v/>
      </c>
      <c r="J27" s="14" t="str">
        <f t="shared" si="26"/>
        <v/>
      </c>
      <c r="K27" s="14" t="str">
        <f t="shared" si="27"/>
        <v/>
      </c>
      <c r="L27" s="14" t="str">
        <f t="shared" si="28"/>
        <v/>
      </c>
      <c r="M27" s="14" t="str">
        <f t="shared" si="29"/>
        <v/>
      </c>
      <c r="N27" s="14" t="str">
        <f t="shared" si="30"/>
        <v/>
      </c>
      <c r="O27" s="14" t="s">
        <v>11</v>
      </c>
      <c r="P27" s="14" t="s">
        <v>11</v>
      </c>
      <c r="Q27" s="14" t="s">
        <v>11</v>
      </c>
      <c r="R27" s="14" t="s">
        <v>13</v>
      </c>
      <c r="S27" s="14" t="s">
        <v>11</v>
      </c>
      <c r="T27" s="14" t="s">
        <v>11</v>
      </c>
      <c r="U27" s="14" t="s">
        <v>11</v>
      </c>
      <c r="V27" s="14" t="s">
        <v>11</v>
      </c>
      <c r="W27" s="14" t="s">
        <v>11</v>
      </c>
      <c r="X27" s="14" t="s">
        <v>11</v>
      </c>
      <c r="Y27" s="14" t="str">
        <f t="shared" si="33"/>
        <v/>
      </c>
      <c r="Z27" s="14" t="str">
        <f t="shared" si="34"/>
        <v/>
      </c>
      <c r="AA27" s="15">
        <f t="shared" si="13"/>
        <v>0</v>
      </c>
      <c r="AB27" s="14" t="s">
        <v>11</v>
      </c>
      <c r="AC27" s="14" t="s">
        <v>11</v>
      </c>
      <c r="AD27" s="14" t="s">
        <v>11</v>
      </c>
      <c r="AE27" s="14" t="s">
        <v>11</v>
      </c>
      <c r="AF27" s="14" t="s">
        <v>13</v>
      </c>
      <c r="AG27" s="14" t="s">
        <v>11</v>
      </c>
      <c r="AH27" s="14" t="s">
        <v>11</v>
      </c>
      <c r="AI27" s="14" t="s">
        <v>11</v>
      </c>
      <c r="AJ27" s="14" t="s">
        <v>11</v>
      </c>
      <c r="AK27" s="14" t="s">
        <v>11</v>
      </c>
      <c r="AL27" s="14" t="str">
        <f t="shared" si="35"/>
        <v>T</v>
      </c>
      <c r="AM27" s="14" t="str">
        <f t="shared" si="36"/>
        <v>T</v>
      </c>
      <c r="AN27" s="14" t="str">
        <f t="shared" si="37"/>
        <v/>
      </c>
      <c r="AO27" s="14" t="str">
        <f t="shared" si="38"/>
        <v/>
      </c>
      <c r="AP27" s="14" t="str">
        <f t="shared" si="39"/>
        <v/>
      </c>
      <c r="AQ27" s="14" t="str">
        <f t="shared" si="31"/>
        <v/>
      </c>
      <c r="AR27" s="15">
        <f t="shared" si="18"/>
        <v>0</v>
      </c>
      <c r="AT27" s="17">
        <f t="shared" si="19"/>
        <v>0</v>
      </c>
    </row>
    <row r="28" spans="2:46" x14ac:dyDescent="0.2">
      <c r="B28" s="16"/>
      <c r="C28" s="15" t="s">
        <v>53</v>
      </c>
      <c r="D28" s="30" t="str">
        <f t="shared" si="32"/>
        <v/>
      </c>
      <c r="E28" s="14" t="str">
        <f t="shared" si="21"/>
        <v/>
      </c>
      <c r="F28" s="14" t="str">
        <f t="shared" si="22"/>
        <v/>
      </c>
      <c r="G28" s="14" t="str">
        <f t="shared" si="23"/>
        <v/>
      </c>
      <c r="H28" s="14" t="str">
        <f t="shared" si="24"/>
        <v/>
      </c>
      <c r="I28" s="14" t="str">
        <f t="shared" si="25"/>
        <v/>
      </c>
      <c r="J28" s="14" t="str">
        <f t="shared" si="26"/>
        <v/>
      </c>
      <c r="K28" s="14" t="str">
        <f t="shared" si="27"/>
        <v/>
      </c>
      <c r="L28" s="14" t="str">
        <f t="shared" si="28"/>
        <v/>
      </c>
      <c r="M28" s="14" t="str">
        <f t="shared" si="29"/>
        <v/>
      </c>
      <c r="N28" s="14" t="str">
        <f t="shared" si="30"/>
        <v/>
      </c>
      <c r="O28" s="14" t="s">
        <v>11</v>
      </c>
      <c r="P28" s="14" t="s">
        <v>11</v>
      </c>
      <c r="Q28" s="14" t="s">
        <v>11</v>
      </c>
      <c r="R28" s="14" t="s">
        <v>13</v>
      </c>
      <c r="S28" s="14" t="s">
        <v>11</v>
      </c>
      <c r="T28" s="14" t="s">
        <v>11</v>
      </c>
      <c r="U28" s="14" t="s">
        <v>11</v>
      </c>
      <c r="V28" s="14" t="s">
        <v>11</v>
      </c>
      <c r="W28" s="14" t="s">
        <v>11</v>
      </c>
      <c r="X28" s="14" t="s">
        <v>11</v>
      </c>
      <c r="Y28" s="14" t="str">
        <f t="shared" si="33"/>
        <v/>
      </c>
      <c r="Z28" s="14" t="str">
        <f t="shared" si="34"/>
        <v/>
      </c>
      <c r="AA28" s="15">
        <f t="shared" si="13"/>
        <v>0</v>
      </c>
      <c r="AB28" s="14" t="s">
        <v>11</v>
      </c>
      <c r="AC28" s="14" t="s">
        <v>11</v>
      </c>
      <c r="AD28" s="14" t="s">
        <v>11</v>
      </c>
      <c r="AE28" s="14" t="s">
        <v>11</v>
      </c>
      <c r="AF28" s="14" t="s">
        <v>13</v>
      </c>
      <c r="AG28" s="14" t="s">
        <v>11</v>
      </c>
      <c r="AH28" s="14" t="s">
        <v>11</v>
      </c>
      <c r="AI28" s="14" t="s">
        <v>11</v>
      </c>
      <c r="AJ28" s="14" t="s">
        <v>11</v>
      </c>
      <c r="AK28" s="14" t="s">
        <v>11</v>
      </c>
      <c r="AL28" s="14" t="str">
        <f t="shared" si="35"/>
        <v>T</v>
      </c>
      <c r="AM28" s="14" t="str">
        <f t="shared" si="36"/>
        <v>T</v>
      </c>
      <c r="AN28" s="14" t="str">
        <f t="shared" si="37"/>
        <v/>
      </c>
      <c r="AO28" s="14" t="str">
        <f t="shared" si="38"/>
        <v/>
      </c>
      <c r="AP28" s="14" t="str">
        <f t="shared" si="39"/>
        <v/>
      </c>
      <c r="AQ28" s="14" t="str">
        <f t="shared" si="31"/>
        <v/>
      </c>
      <c r="AR28" s="15">
        <f t="shared" si="18"/>
        <v>0</v>
      </c>
      <c r="AT28" s="17">
        <f t="shared" si="19"/>
        <v>0</v>
      </c>
    </row>
    <row r="29" spans="2:46" x14ac:dyDescent="0.2">
      <c r="B29" s="16"/>
      <c r="C29" s="15" t="s">
        <v>53</v>
      </c>
      <c r="D29" s="30" t="str">
        <f t="shared" si="32"/>
        <v/>
      </c>
      <c r="E29" s="14" t="str">
        <f t="shared" si="21"/>
        <v/>
      </c>
      <c r="F29" s="14" t="str">
        <f t="shared" si="22"/>
        <v/>
      </c>
      <c r="G29" s="14" t="str">
        <f t="shared" si="23"/>
        <v/>
      </c>
      <c r="H29" s="14" t="str">
        <f t="shared" si="24"/>
        <v/>
      </c>
      <c r="I29" s="14" t="str">
        <f t="shared" si="25"/>
        <v/>
      </c>
      <c r="J29" s="14" t="str">
        <f t="shared" si="26"/>
        <v/>
      </c>
      <c r="K29" s="14" t="str">
        <f t="shared" si="27"/>
        <v/>
      </c>
      <c r="L29" s="14" t="str">
        <f t="shared" si="28"/>
        <v/>
      </c>
      <c r="M29" s="14" t="str">
        <f t="shared" si="29"/>
        <v/>
      </c>
      <c r="N29" s="14" t="str">
        <f t="shared" si="30"/>
        <v/>
      </c>
      <c r="O29" s="14" t="s">
        <v>11</v>
      </c>
      <c r="P29" s="14" t="s">
        <v>11</v>
      </c>
      <c r="Q29" s="14" t="s">
        <v>11</v>
      </c>
      <c r="R29" s="14" t="s">
        <v>13</v>
      </c>
      <c r="S29" s="14" t="s">
        <v>11</v>
      </c>
      <c r="T29" s="14" t="s">
        <v>11</v>
      </c>
      <c r="U29" s="14" t="s">
        <v>11</v>
      </c>
      <c r="V29" s="14" t="s">
        <v>11</v>
      </c>
      <c r="W29" s="14" t="s">
        <v>11</v>
      </c>
      <c r="X29" s="14" t="s">
        <v>11</v>
      </c>
      <c r="Y29" s="14" t="str">
        <f t="shared" si="33"/>
        <v/>
      </c>
      <c r="Z29" s="14" t="str">
        <f t="shared" si="34"/>
        <v/>
      </c>
      <c r="AA29" s="15">
        <f t="shared" si="13"/>
        <v>0</v>
      </c>
      <c r="AB29" s="14" t="s">
        <v>11</v>
      </c>
      <c r="AC29" s="14" t="s">
        <v>11</v>
      </c>
      <c r="AD29" s="14" t="s">
        <v>11</v>
      </c>
      <c r="AE29" s="14" t="s">
        <v>11</v>
      </c>
      <c r="AF29" s="14" t="s">
        <v>13</v>
      </c>
      <c r="AG29" s="14" t="s">
        <v>11</v>
      </c>
      <c r="AH29" s="14" t="s">
        <v>11</v>
      </c>
      <c r="AI29" s="14" t="s">
        <v>11</v>
      </c>
      <c r="AJ29" s="14" t="s">
        <v>11</v>
      </c>
      <c r="AK29" s="14" t="s">
        <v>11</v>
      </c>
      <c r="AL29" s="14" t="str">
        <f t="shared" si="35"/>
        <v>T</v>
      </c>
      <c r="AM29" s="14" t="str">
        <f t="shared" si="36"/>
        <v>T</v>
      </c>
      <c r="AN29" s="14" t="str">
        <f t="shared" si="37"/>
        <v/>
      </c>
      <c r="AO29" s="14" t="str">
        <f t="shared" si="38"/>
        <v/>
      </c>
      <c r="AP29" s="14" t="str">
        <f t="shared" si="39"/>
        <v/>
      </c>
      <c r="AQ29" s="14" t="str">
        <f t="shared" si="31"/>
        <v/>
      </c>
      <c r="AR29" s="15">
        <f t="shared" si="18"/>
        <v>0</v>
      </c>
      <c r="AT29" s="17">
        <f t="shared" si="19"/>
        <v>0</v>
      </c>
    </row>
    <row r="30" spans="2:46" x14ac:dyDescent="0.2">
      <c r="B30" s="16"/>
      <c r="C30" s="15" t="s">
        <v>53</v>
      </c>
      <c r="D30" s="30" t="str">
        <f t="shared" si="32"/>
        <v/>
      </c>
      <c r="E30" s="14" t="str">
        <f t="shared" si="21"/>
        <v/>
      </c>
      <c r="F30" s="14" t="str">
        <f t="shared" si="22"/>
        <v/>
      </c>
      <c r="G30" s="14" t="str">
        <f t="shared" si="23"/>
        <v/>
      </c>
      <c r="H30" s="14" t="str">
        <f t="shared" si="24"/>
        <v/>
      </c>
      <c r="I30" s="14" t="str">
        <f t="shared" si="25"/>
        <v/>
      </c>
      <c r="J30" s="14" t="str">
        <f t="shared" si="26"/>
        <v/>
      </c>
      <c r="K30" s="14" t="str">
        <f t="shared" si="27"/>
        <v/>
      </c>
      <c r="L30" s="14" t="str">
        <f t="shared" si="28"/>
        <v/>
      </c>
      <c r="M30" s="14" t="str">
        <f t="shared" si="29"/>
        <v/>
      </c>
      <c r="N30" s="14" t="str">
        <f t="shared" si="30"/>
        <v/>
      </c>
      <c r="O30" s="14" t="s">
        <v>11</v>
      </c>
      <c r="P30" s="14" t="s">
        <v>11</v>
      </c>
      <c r="Q30" s="14" t="s">
        <v>11</v>
      </c>
      <c r="R30" s="14" t="s">
        <v>13</v>
      </c>
      <c r="S30" s="14" t="s">
        <v>11</v>
      </c>
      <c r="T30" s="14" t="s">
        <v>11</v>
      </c>
      <c r="U30" s="14" t="s">
        <v>11</v>
      </c>
      <c r="V30" s="14" t="s">
        <v>11</v>
      </c>
      <c r="W30" s="14" t="s">
        <v>11</v>
      </c>
      <c r="X30" s="14" t="s">
        <v>11</v>
      </c>
      <c r="Y30" s="14" t="str">
        <f t="shared" si="33"/>
        <v/>
      </c>
      <c r="Z30" s="14" t="str">
        <f t="shared" si="34"/>
        <v/>
      </c>
      <c r="AA30" s="15">
        <f t="shared" si="13"/>
        <v>0</v>
      </c>
      <c r="AB30" s="14" t="s">
        <v>11</v>
      </c>
      <c r="AC30" s="14" t="s">
        <v>11</v>
      </c>
      <c r="AD30" s="14" t="s">
        <v>11</v>
      </c>
      <c r="AE30" s="14" t="s">
        <v>11</v>
      </c>
      <c r="AF30" s="14" t="s">
        <v>13</v>
      </c>
      <c r="AG30" s="14" t="s">
        <v>11</v>
      </c>
      <c r="AH30" s="14" t="s">
        <v>11</v>
      </c>
      <c r="AI30" s="14" t="s">
        <v>11</v>
      </c>
      <c r="AJ30" s="14" t="s">
        <v>11</v>
      </c>
      <c r="AK30" s="14" t="s">
        <v>11</v>
      </c>
      <c r="AL30" s="14" t="str">
        <f t="shared" si="35"/>
        <v>T</v>
      </c>
      <c r="AM30" s="14" t="str">
        <f t="shared" si="36"/>
        <v>T</v>
      </c>
      <c r="AN30" s="14" t="str">
        <f t="shared" si="37"/>
        <v/>
      </c>
      <c r="AO30" s="14" t="str">
        <f t="shared" si="38"/>
        <v/>
      </c>
      <c r="AP30" s="14" t="str">
        <f t="shared" si="39"/>
        <v/>
      </c>
      <c r="AQ30" s="14" t="str">
        <f t="shared" si="31"/>
        <v/>
      </c>
      <c r="AR30" s="15">
        <f t="shared" si="18"/>
        <v>0</v>
      </c>
      <c r="AT30" s="17">
        <f t="shared" si="19"/>
        <v>0</v>
      </c>
    </row>
    <row r="31" spans="2:46" x14ac:dyDescent="0.2">
      <c r="B31" s="16"/>
      <c r="C31" s="15" t="s">
        <v>53</v>
      </c>
      <c r="D31" s="30" t="str">
        <f t="shared" si="32"/>
        <v/>
      </c>
      <c r="E31" s="14" t="str">
        <f t="shared" si="21"/>
        <v/>
      </c>
      <c r="F31" s="14" t="str">
        <f t="shared" si="22"/>
        <v/>
      </c>
      <c r="G31" s="14" t="str">
        <f t="shared" si="23"/>
        <v/>
      </c>
      <c r="H31" s="14" t="str">
        <f t="shared" si="24"/>
        <v/>
      </c>
      <c r="I31" s="14" t="str">
        <f t="shared" si="25"/>
        <v/>
      </c>
      <c r="J31" s="14" t="str">
        <f t="shared" si="26"/>
        <v/>
      </c>
      <c r="K31" s="14" t="str">
        <f t="shared" si="27"/>
        <v/>
      </c>
      <c r="L31" s="14" t="str">
        <f t="shared" si="28"/>
        <v/>
      </c>
      <c r="M31" s="14" t="str">
        <f t="shared" si="29"/>
        <v/>
      </c>
      <c r="N31" s="14" t="str">
        <f t="shared" si="30"/>
        <v/>
      </c>
      <c r="O31" s="14" t="s">
        <v>11</v>
      </c>
      <c r="P31" s="14" t="s">
        <v>11</v>
      </c>
      <c r="Q31" s="14" t="s">
        <v>11</v>
      </c>
      <c r="R31" s="14" t="s">
        <v>13</v>
      </c>
      <c r="S31" s="14" t="s">
        <v>11</v>
      </c>
      <c r="T31" s="14" t="s">
        <v>11</v>
      </c>
      <c r="U31" s="14" t="s">
        <v>11</v>
      </c>
      <c r="V31" s="14" t="s">
        <v>11</v>
      </c>
      <c r="W31" s="14" t="s">
        <v>11</v>
      </c>
      <c r="X31" s="14" t="s">
        <v>11</v>
      </c>
      <c r="Y31" s="14" t="str">
        <f t="shared" si="33"/>
        <v/>
      </c>
      <c r="Z31" s="14" t="str">
        <f t="shared" si="34"/>
        <v/>
      </c>
      <c r="AA31" s="15">
        <f t="shared" si="13"/>
        <v>0</v>
      </c>
      <c r="AB31" s="14" t="s">
        <v>11</v>
      </c>
      <c r="AC31" s="14" t="s">
        <v>11</v>
      </c>
      <c r="AD31" s="14" t="s">
        <v>11</v>
      </c>
      <c r="AE31" s="14" t="s">
        <v>11</v>
      </c>
      <c r="AF31" s="14" t="s">
        <v>13</v>
      </c>
      <c r="AG31" s="14" t="s">
        <v>11</v>
      </c>
      <c r="AH31" s="14" t="s">
        <v>11</v>
      </c>
      <c r="AI31" s="14" t="s">
        <v>11</v>
      </c>
      <c r="AJ31" s="14" t="s">
        <v>11</v>
      </c>
      <c r="AK31" s="14" t="s">
        <v>11</v>
      </c>
      <c r="AL31" s="14" t="str">
        <f t="shared" si="35"/>
        <v>T</v>
      </c>
      <c r="AM31" s="14" t="str">
        <f t="shared" si="36"/>
        <v>T</v>
      </c>
      <c r="AN31" s="14" t="str">
        <f t="shared" si="37"/>
        <v/>
      </c>
      <c r="AO31" s="14" t="str">
        <f t="shared" si="38"/>
        <v/>
      </c>
      <c r="AP31" s="14" t="str">
        <f t="shared" si="39"/>
        <v/>
      </c>
      <c r="AQ31" s="14" t="str">
        <f t="shared" si="31"/>
        <v/>
      </c>
      <c r="AR31" s="15">
        <f t="shared" si="18"/>
        <v>0</v>
      </c>
      <c r="AT31" s="17">
        <f t="shared" si="19"/>
        <v>0</v>
      </c>
    </row>
    <row r="32" spans="2:46" x14ac:dyDescent="0.2">
      <c r="B32" s="16"/>
      <c r="C32" s="15" t="s">
        <v>53</v>
      </c>
      <c r="D32" s="30" t="str">
        <f t="shared" si="32"/>
        <v/>
      </c>
      <c r="E32" s="14" t="str">
        <f t="shared" si="21"/>
        <v/>
      </c>
      <c r="F32" s="14" t="str">
        <f t="shared" si="22"/>
        <v/>
      </c>
      <c r="G32" s="14" t="str">
        <f t="shared" si="23"/>
        <v/>
      </c>
      <c r="H32" s="14" t="str">
        <f t="shared" si="24"/>
        <v/>
      </c>
      <c r="I32" s="14" t="str">
        <f t="shared" si="25"/>
        <v/>
      </c>
      <c r="J32" s="14" t="str">
        <f t="shared" si="26"/>
        <v/>
      </c>
      <c r="K32" s="14" t="str">
        <f t="shared" si="27"/>
        <v/>
      </c>
      <c r="L32" s="14" t="str">
        <f t="shared" si="28"/>
        <v/>
      </c>
      <c r="M32" s="14" t="str">
        <f t="shared" si="29"/>
        <v/>
      </c>
      <c r="N32" s="14" t="str">
        <f t="shared" si="30"/>
        <v/>
      </c>
      <c r="O32" s="14" t="s">
        <v>11</v>
      </c>
      <c r="P32" s="14" t="s">
        <v>11</v>
      </c>
      <c r="Q32" s="14" t="s">
        <v>11</v>
      </c>
      <c r="R32" s="14" t="s">
        <v>13</v>
      </c>
      <c r="S32" s="14" t="s">
        <v>11</v>
      </c>
      <c r="T32" s="14" t="s">
        <v>11</v>
      </c>
      <c r="U32" s="14" t="s">
        <v>11</v>
      </c>
      <c r="V32" s="14" t="s">
        <v>11</v>
      </c>
      <c r="W32" s="14" t="s">
        <v>11</v>
      </c>
      <c r="X32" s="14" t="s">
        <v>11</v>
      </c>
      <c r="Y32" s="14" t="str">
        <f t="shared" si="33"/>
        <v/>
      </c>
      <c r="Z32" s="14" t="str">
        <f t="shared" si="34"/>
        <v/>
      </c>
      <c r="AA32" s="15">
        <f t="shared" si="13"/>
        <v>0</v>
      </c>
      <c r="AB32" s="14" t="s">
        <v>11</v>
      </c>
      <c r="AC32" s="14" t="s">
        <v>11</v>
      </c>
      <c r="AD32" s="14" t="s">
        <v>11</v>
      </c>
      <c r="AE32" s="14" t="s">
        <v>11</v>
      </c>
      <c r="AF32" s="14" t="s">
        <v>13</v>
      </c>
      <c r="AG32" s="14" t="s">
        <v>11</v>
      </c>
      <c r="AH32" s="14" t="s">
        <v>11</v>
      </c>
      <c r="AI32" s="14" t="s">
        <v>11</v>
      </c>
      <c r="AJ32" s="14" t="s">
        <v>11</v>
      </c>
      <c r="AK32" s="14" t="s">
        <v>11</v>
      </c>
      <c r="AL32" s="14" t="str">
        <f t="shared" si="35"/>
        <v>T</v>
      </c>
      <c r="AM32" s="14" t="str">
        <f t="shared" si="36"/>
        <v>T</v>
      </c>
      <c r="AN32" s="14" t="str">
        <f t="shared" si="37"/>
        <v/>
      </c>
      <c r="AO32" s="14" t="str">
        <f t="shared" si="38"/>
        <v/>
      </c>
      <c r="AP32" s="14" t="str">
        <f t="shared" si="39"/>
        <v/>
      </c>
      <c r="AQ32" s="14" t="str">
        <f t="shared" si="31"/>
        <v/>
      </c>
      <c r="AR32" s="15">
        <f t="shared" si="18"/>
        <v>0</v>
      </c>
      <c r="AT32" s="17">
        <f t="shared" si="19"/>
        <v>0</v>
      </c>
    </row>
    <row r="33" spans="2:46" x14ac:dyDescent="0.2">
      <c r="B33" s="16"/>
      <c r="C33" s="15" t="s">
        <v>53</v>
      </c>
      <c r="D33" s="30" t="str">
        <f t="shared" si="32"/>
        <v/>
      </c>
      <c r="E33" s="14" t="str">
        <f t="shared" si="21"/>
        <v/>
      </c>
      <c r="F33" s="14" t="str">
        <f t="shared" si="22"/>
        <v/>
      </c>
      <c r="G33" s="14" t="str">
        <f t="shared" si="23"/>
        <v/>
      </c>
      <c r="H33" s="14" t="str">
        <f t="shared" si="24"/>
        <v/>
      </c>
      <c r="I33" s="14" t="str">
        <f t="shared" si="25"/>
        <v/>
      </c>
      <c r="J33" s="14" t="str">
        <f t="shared" si="26"/>
        <v/>
      </c>
      <c r="K33" s="14" t="str">
        <f t="shared" si="27"/>
        <v/>
      </c>
      <c r="L33" s="14" t="str">
        <f t="shared" si="28"/>
        <v/>
      </c>
      <c r="M33" s="14" t="str">
        <f t="shared" si="29"/>
        <v/>
      </c>
      <c r="N33" s="14" t="str">
        <f t="shared" si="30"/>
        <v/>
      </c>
      <c r="O33" s="14" t="s">
        <v>11</v>
      </c>
      <c r="P33" s="14" t="s">
        <v>11</v>
      </c>
      <c r="Q33" s="14" t="s">
        <v>11</v>
      </c>
      <c r="R33" s="14" t="s">
        <v>13</v>
      </c>
      <c r="S33" s="14" t="s">
        <v>11</v>
      </c>
      <c r="T33" s="14" t="s">
        <v>11</v>
      </c>
      <c r="U33" s="14" t="s">
        <v>11</v>
      </c>
      <c r="V33" s="14" t="s">
        <v>11</v>
      </c>
      <c r="W33" s="14" t="s">
        <v>11</v>
      </c>
      <c r="X33" s="14" t="s">
        <v>11</v>
      </c>
      <c r="Y33" s="14" t="str">
        <f t="shared" si="33"/>
        <v/>
      </c>
      <c r="Z33" s="14" t="str">
        <f t="shared" si="34"/>
        <v/>
      </c>
      <c r="AA33" s="15">
        <f t="shared" si="13"/>
        <v>0</v>
      </c>
      <c r="AB33" s="14" t="s">
        <v>11</v>
      </c>
      <c r="AC33" s="14" t="s">
        <v>11</v>
      </c>
      <c r="AD33" s="14" t="s">
        <v>11</v>
      </c>
      <c r="AE33" s="14" t="s">
        <v>11</v>
      </c>
      <c r="AF33" s="14" t="s">
        <v>13</v>
      </c>
      <c r="AG33" s="14" t="s">
        <v>11</v>
      </c>
      <c r="AH33" s="14" t="s">
        <v>11</v>
      </c>
      <c r="AI33" s="14" t="s">
        <v>11</v>
      </c>
      <c r="AJ33" s="14" t="s">
        <v>11</v>
      </c>
      <c r="AK33" s="14" t="s">
        <v>11</v>
      </c>
      <c r="AL33" s="14" t="str">
        <f t="shared" si="35"/>
        <v>T</v>
      </c>
      <c r="AM33" s="14" t="str">
        <f t="shared" si="36"/>
        <v>T</v>
      </c>
      <c r="AN33" s="14" t="str">
        <f t="shared" si="37"/>
        <v/>
      </c>
      <c r="AO33" s="14" t="str">
        <f t="shared" si="38"/>
        <v/>
      </c>
      <c r="AP33" s="14" t="str">
        <f t="shared" si="39"/>
        <v/>
      </c>
      <c r="AQ33" s="14" t="str">
        <f t="shared" si="31"/>
        <v/>
      </c>
      <c r="AR33" s="15">
        <f t="shared" si="18"/>
        <v>0</v>
      </c>
      <c r="AT33" s="17">
        <f t="shared" si="19"/>
        <v>0</v>
      </c>
    </row>
    <row r="34" spans="2:46" x14ac:dyDescent="0.2">
      <c r="B34" s="16"/>
      <c r="C34" s="15" t="s">
        <v>53</v>
      </c>
      <c r="D34" s="30" t="str">
        <f t="shared" si="32"/>
        <v/>
      </c>
      <c r="E34" s="14" t="str">
        <f t="shared" si="21"/>
        <v/>
      </c>
      <c r="F34" s="14" t="str">
        <f t="shared" si="22"/>
        <v/>
      </c>
      <c r="G34" s="14" t="str">
        <f t="shared" si="23"/>
        <v/>
      </c>
      <c r="H34" s="14" t="str">
        <f t="shared" si="24"/>
        <v/>
      </c>
      <c r="I34" s="14" t="str">
        <f t="shared" si="25"/>
        <v/>
      </c>
      <c r="J34" s="14" t="str">
        <f t="shared" si="26"/>
        <v/>
      </c>
      <c r="K34" s="14" t="str">
        <f t="shared" si="27"/>
        <v/>
      </c>
      <c r="L34" s="14" t="str">
        <f t="shared" si="28"/>
        <v/>
      </c>
      <c r="M34" s="14" t="str">
        <f t="shared" si="29"/>
        <v/>
      </c>
      <c r="N34" s="14" t="str">
        <f t="shared" si="30"/>
        <v/>
      </c>
      <c r="O34" s="14" t="s">
        <v>11</v>
      </c>
      <c r="P34" s="14" t="s">
        <v>11</v>
      </c>
      <c r="Q34" s="14" t="s">
        <v>11</v>
      </c>
      <c r="R34" s="14" t="s">
        <v>13</v>
      </c>
      <c r="S34" s="14" t="s">
        <v>11</v>
      </c>
      <c r="T34" s="14" t="s">
        <v>11</v>
      </c>
      <c r="U34" s="14" t="s">
        <v>11</v>
      </c>
      <c r="V34" s="14" t="s">
        <v>11</v>
      </c>
      <c r="W34" s="14" t="s">
        <v>11</v>
      </c>
      <c r="X34" s="14" t="s">
        <v>11</v>
      </c>
      <c r="Y34" s="14" t="str">
        <f t="shared" si="33"/>
        <v/>
      </c>
      <c r="Z34" s="14" t="str">
        <f t="shared" si="34"/>
        <v/>
      </c>
      <c r="AA34" s="15">
        <f t="shared" si="13"/>
        <v>0</v>
      </c>
      <c r="AB34" s="14" t="s">
        <v>11</v>
      </c>
      <c r="AC34" s="14" t="s">
        <v>11</v>
      </c>
      <c r="AD34" s="14" t="s">
        <v>11</v>
      </c>
      <c r="AE34" s="14" t="s">
        <v>11</v>
      </c>
      <c r="AF34" s="14" t="s">
        <v>13</v>
      </c>
      <c r="AG34" s="14" t="s">
        <v>11</v>
      </c>
      <c r="AH34" s="14" t="s">
        <v>11</v>
      </c>
      <c r="AI34" s="14" t="s">
        <v>11</v>
      </c>
      <c r="AJ34" s="14" t="s">
        <v>11</v>
      </c>
      <c r="AK34" s="14" t="s">
        <v>11</v>
      </c>
      <c r="AL34" s="14" t="str">
        <f t="shared" si="35"/>
        <v>T</v>
      </c>
      <c r="AM34" s="14" t="str">
        <f t="shared" si="36"/>
        <v>T</v>
      </c>
      <c r="AN34" s="14" t="str">
        <f t="shared" si="37"/>
        <v/>
      </c>
      <c r="AO34" s="14" t="str">
        <f t="shared" si="38"/>
        <v/>
      </c>
      <c r="AP34" s="14" t="str">
        <f t="shared" si="39"/>
        <v/>
      </c>
      <c r="AQ34" s="14" t="str">
        <f t="shared" si="31"/>
        <v/>
      </c>
      <c r="AR34" s="15">
        <f t="shared" si="18"/>
        <v>0</v>
      </c>
      <c r="AT34" s="17">
        <f t="shared" si="19"/>
        <v>0</v>
      </c>
    </row>
    <row r="35" spans="2:46" x14ac:dyDescent="0.2">
      <c r="B35" s="16"/>
      <c r="C35" s="15" t="s">
        <v>57</v>
      </c>
      <c r="D35" s="30" t="str">
        <f t="shared" si="32"/>
        <v/>
      </c>
      <c r="E35" s="14" t="str">
        <f t="shared" si="21"/>
        <v/>
      </c>
      <c r="F35" s="14" t="str">
        <f t="shared" si="22"/>
        <v/>
      </c>
      <c r="G35" s="14" t="str">
        <f t="shared" si="23"/>
        <v/>
      </c>
      <c r="H35" s="14" t="str">
        <f t="shared" si="24"/>
        <v/>
      </c>
      <c r="I35" s="14" t="str">
        <f t="shared" si="25"/>
        <v/>
      </c>
      <c r="J35" s="14" t="str">
        <f t="shared" si="26"/>
        <v/>
      </c>
      <c r="K35" s="14" t="str">
        <f t="shared" si="27"/>
        <v/>
      </c>
      <c r="L35" s="14" t="str">
        <f t="shared" si="28"/>
        <v/>
      </c>
      <c r="M35" s="14" t="str">
        <f t="shared" si="29"/>
        <v/>
      </c>
      <c r="N35" s="14" t="str">
        <f t="shared" si="30"/>
        <v/>
      </c>
      <c r="O35" s="14" t="s">
        <v>11</v>
      </c>
      <c r="P35" s="14" t="s">
        <v>11</v>
      </c>
      <c r="Q35" s="14" t="s">
        <v>11</v>
      </c>
      <c r="R35" s="14" t="s">
        <v>13</v>
      </c>
      <c r="S35" s="14" t="s">
        <v>11</v>
      </c>
      <c r="T35" s="14" t="s">
        <v>11</v>
      </c>
      <c r="U35" s="14" t="s">
        <v>11</v>
      </c>
      <c r="V35" s="14" t="s">
        <v>11</v>
      </c>
      <c r="W35" s="14" t="s">
        <v>11</v>
      </c>
      <c r="X35" s="14" t="s">
        <v>11</v>
      </c>
      <c r="Y35" s="14" t="str">
        <f t="shared" si="33"/>
        <v/>
      </c>
      <c r="Z35" s="14" t="str">
        <f t="shared" si="34"/>
        <v/>
      </c>
      <c r="AA35" s="15">
        <f t="shared" si="13"/>
        <v>0</v>
      </c>
      <c r="AB35" s="14" t="s">
        <v>11</v>
      </c>
      <c r="AC35" s="14" t="s">
        <v>11</v>
      </c>
      <c r="AD35" s="14" t="s">
        <v>11</v>
      </c>
      <c r="AE35" s="14" t="s">
        <v>11</v>
      </c>
      <c r="AF35" s="14" t="s">
        <v>13</v>
      </c>
      <c r="AG35" s="14" t="s">
        <v>11</v>
      </c>
      <c r="AH35" s="14" t="s">
        <v>11</v>
      </c>
      <c r="AI35" s="14" t="s">
        <v>11</v>
      </c>
      <c r="AJ35" s="14" t="s">
        <v>11</v>
      </c>
      <c r="AK35" s="14" t="s">
        <v>11</v>
      </c>
      <c r="AL35" s="14" t="str">
        <f t="shared" si="35"/>
        <v>T</v>
      </c>
      <c r="AM35" s="14" t="str">
        <f t="shared" si="36"/>
        <v>T</v>
      </c>
      <c r="AN35" s="14" t="str">
        <f t="shared" si="37"/>
        <v/>
      </c>
      <c r="AO35" s="14" t="str">
        <f t="shared" si="38"/>
        <v/>
      </c>
      <c r="AP35" s="14" t="str">
        <f t="shared" si="39"/>
        <v>T</v>
      </c>
      <c r="AQ35" s="14" t="str">
        <f t="shared" si="31"/>
        <v>t</v>
      </c>
      <c r="AR35" s="15">
        <f t="shared" si="18"/>
        <v>1</v>
      </c>
      <c r="AT35" s="17">
        <f t="shared" si="19"/>
        <v>0</v>
      </c>
    </row>
    <row r="36" spans="2:46" x14ac:dyDescent="0.2">
      <c r="B36" s="16"/>
      <c r="C36" s="15" t="s">
        <v>57</v>
      </c>
      <c r="D36" s="30" t="str">
        <f t="shared" si="32"/>
        <v/>
      </c>
      <c r="E36" s="14" t="str">
        <f t="shared" si="21"/>
        <v/>
      </c>
      <c r="F36" s="14" t="str">
        <f t="shared" si="22"/>
        <v/>
      </c>
      <c r="G36" s="14" t="str">
        <f t="shared" si="23"/>
        <v/>
      </c>
      <c r="H36" s="14" t="str">
        <f t="shared" si="24"/>
        <v/>
      </c>
      <c r="I36" s="14" t="str">
        <f t="shared" si="25"/>
        <v/>
      </c>
      <c r="J36" s="14" t="str">
        <f t="shared" si="26"/>
        <v/>
      </c>
      <c r="K36" s="14" t="str">
        <f t="shared" si="27"/>
        <v/>
      </c>
      <c r="L36" s="14" t="str">
        <f t="shared" si="28"/>
        <v/>
      </c>
      <c r="M36" s="14" t="str">
        <f t="shared" si="29"/>
        <v/>
      </c>
      <c r="N36" s="14" t="str">
        <f t="shared" si="30"/>
        <v/>
      </c>
      <c r="O36" s="14" t="s">
        <v>11</v>
      </c>
      <c r="P36" s="14" t="s">
        <v>11</v>
      </c>
      <c r="Q36" s="14" t="s">
        <v>11</v>
      </c>
      <c r="R36" s="14" t="s">
        <v>13</v>
      </c>
      <c r="S36" s="14" t="s">
        <v>11</v>
      </c>
      <c r="T36" s="14" t="s">
        <v>11</v>
      </c>
      <c r="U36" s="14" t="s">
        <v>11</v>
      </c>
      <c r="V36" s="14" t="s">
        <v>11</v>
      </c>
      <c r="W36" s="14" t="s">
        <v>11</v>
      </c>
      <c r="X36" s="14" t="s">
        <v>11</v>
      </c>
      <c r="Y36" s="14" t="str">
        <f t="shared" si="33"/>
        <v/>
      </c>
      <c r="Z36" s="14" t="str">
        <f t="shared" si="34"/>
        <v/>
      </c>
      <c r="AA36" s="15">
        <f t="shared" si="13"/>
        <v>0</v>
      </c>
      <c r="AB36" s="14" t="s">
        <v>11</v>
      </c>
      <c r="AC36" s="14" t="s">
        <v>11</v>
      </c>
      <c r="AD36" s="14" t="s">
        <v>11</v>
      </c>
      <c r="AE36" s="14" t="s">
        <v>11</v>
      </c>
      <c r="AF36" s="14" t="s">
        <v>13</v>
      </c>
      <c r="AG36" s="14" t="s">
        <v>11</v>
      </c>
      <c r="AH36" s="14" t="s">
        <v>11</v>
      </c>
      <c r="AI36" s="14" t="s">
        <v>11</v>
      </c>
      <c r="AJ36" s="14" t="s">
        <v>11</v>
      </c>
      <c r="AK36" s="14" t="s">
        <v>11</v>
      </c>
      <c r="AL36" s="14" t="str">
        <f t="shared" si="35"/>
        <v>T</v>
      </c>
      <c r="AM36" s="14" t="str">
        <f t="shared" si="36"/>
        <v>T</v>
      </c>
      <c r="AN36" s="14" t="str">
        <f t="shared" si="37"/>
        <v/>
      </c>
      <c r="AO36" s="14" t="str">
        <f t="shared" si="38"/>
        <v/>
      </c>
      <c r="AP36" s="14" t="str">
        <f t="shared" si="39"/>
        <v>T</v>
      </c>
      <c r="AQ36" s="14" t="str">
        <f t="shared" si="31"/>
        <v>t</v>
      </c>
      <c r="AR36" s="15">
        <f t="shared" si="18"/>
        <v>1</v>
      </c>
      <c r="AT36" s="17">
        <f t="shared" si="19"/>
        <v>0</v>
      </c>
    </row>
    <row r="37" spans="2:46" x14ac:dyDescent="0.2">
      <c r="B37" s="16"/>
      <c r="C37" s="15" t="s">
        <v>53</v>
      </c>
      <c r="D37" s="30" t="str">
        <f t="shared" si="32"/>
        <v/>
      </c>
      <c r="E37" s="14" t="str">
        <f t="shared" si="21"/>
        <v/>
      </c>
      <c r="F37" s="14" t="str">
        <f t="shared" si="22"/>
        <v/>
      </c>
      <c r="G37" s="14" t="str">
        <f t="shared" si="23"/>
        <v/>
      </c>
      <c r="H37" s="14" t="str">
        <f t="shared" si="24"/>
        <v/>
      </c>
      <c r="I37" s="14" t="str">
        <f t="shared" si="25"/>
        <v/>
      </c>
      <c r="J37" s="14" t="str">
        <f t="shared" si="26"/>
        <v/>
      </c>
      <c r="K37" s="14" t="str">
        <f t="shared" si="27"/>
        <v/>
      </c>
      <c r="L37" s="14" t="str">
        <f t="shared" si="28"/>
        <v/>
      </c>
      <c r="M37" s="14" t="str">
        <f t="shared" si="29"/>
        <v/>
      </c>
      <c r="N37" s="14" t="str">
        <f t="shared" si="30"/>
        <v/>
      </c>
      <c r="O37" s="14" t="s">
        <v>11</v>
      </c>
      <c r="P37" s="14" t="s">
        <v>11</v>
      </c>
      <c r="Q37" s="14" t="s">
        <v>11</v>
      </c>
      <c r="R37" s="14" t="s">
        <v>13</v>
      </c>
      <c r="S37" s="14" t="s">
        <v>11</v>
      </c>
      <c r="T37" s="14" t="s">
        <v>11</v>
      </c>
      <c r="U37" s="14" t="s">
        <v>11</v>
      </c>
      <c r="V37" s="14" t="s">
        <v>11</v>
      </c>
      <c r="W37" s="14" t="s">
        <v>11</v>
      </c>
      <c r="X37" s="14" t="s">
        <v>11</v>
      </c>
      <c r="Y37" s="14" t="str">
        <f t="shared" si="33"/>
        <v/>
      </c>
      <c r="Z37" s="14" t="str">
        <f t="shared" si="34"/>
        <v/>
      </c>
      <c r="AA37" s="15">
        <f t="shared" si="13"/>
        <v>0</v>
      </c>
      <c r="AB37" s="14" t="s">
        <v>11</v>
      </c>
      <c r="AC37" s="14" t="s">
        <v>11</v>
      </c>
      <c r="AD37" s="14" t="s">
        <v>11</v>
      </c>
      <c r="AE37" s="14" t="s">
        <v>11</v>
      </c>
      <c r="AF37" s="14" t="s">
        <v>13</v>
      </c>
      <c r="AG37" s="14" t="s">
        <v>11</v>
      </c>
      <c r="AH37" s="14" t="s">
        <v>11</v>
      </c>
      <c r="AI37" s="14" t="s">
        <v>11</v>
      </c>
      <c r="AJ37" s="14" t="s">
        <v>11</v>
      </c>
      <c r="AK37" s="14" t="s">
        <v>11</v>
      </c>
      <c r="AL37" s="14" t="str">
        <f t="shared" si="35"/>
        <v>T</v>
      </c>
      <c r="AM37" s="14" t="str">
        <f t="shared" si="36"/>
        <v>T</v>
      </c>
      <c r="AN37" s="14" t="str">
        <f t="shared" si="37"/>
        <v/>
      </c>
      <c r="AO37" s="14" t="str">
        <f t="shared" si="38"/>
        <v/>
      </c>
      <c r="AP37" s="14" t="str">
        <f t="shared" si="39"/>
        <v/>
      </c>
      <c r="AQ37" s="14" t="str">
        <f t="shared" si="31"/>
        <v/>
      </c>
      <c r="AR37" s="15">
        <f t="shared" si="18"/>
        <v>0</v>
      </c>
      <c r="AT37" s="17">
        <f t="shared" si="19"/>
        <v>0</v>
      </c>
    </row>
    <row r="38" spans="2:46" x14ac:dyDescent="0.2">
      <c r="B38" s="16"/>
      <c r="C38" s="15" t="s">
        <v>53</v>
      </c>
      <c r="D38" s="30" t="str">
        <f t="shared" si="32"/>
        <v/>
      </c>
      <c r="E38" s="14" t="str">
        <f t="shared" si="21"/>
        <v/>
      </c>
      <c r="F38" s="14" t="str">
        <f t="shared" si="22"/>
        <v/>
      </c>
      <c r="G38" s="14" t="str">
        <f t="shared" si="23"/>
        <v/>
      </c>
      <c r="H38" s="14" t="str">
        <f t="shared" si="24"/>
        <v/>
      </c>
      <c r="I38" s="14" t="str">
        <f t="shared" si="25"/>
        <v/>
      </c>
      <c r="J38" s="14" t="str">
        <f t="shared" si="26"/>
        <v/>
      </c>
      <c r="K38" s="14" t="str">
        <f t="shared" si="27"/>
        <v/>
      </c>
      <c r="L38" s="14" t="str">
        <f t="shared" si="28"/>
        <v/>
      </c>
      <c r="M38" s="14" t="str">
        <f t="shared" si="29"/>
        <v/>
      </c>
      <c r="N38" s="14" t="str">
        <f t="shared" si="30"/>
        <v/>
      </c>
      <c r="O38" s="14" t="s">
        <v>11</v>
      </c>
      <c r="P38" s="14" t="s">
        <v>11</v>
      </c>
      <c r="Q38" s="14" t="s">
        <v>11</v>
      </c>
      <c r="R38" s="14" t="s">
        <v>13</v>
      </c>
      <c r="S38" s="14" t="s">
        <v>11</v>
      </c>
      <c r="T38" s="14" t="s">
        <v>11</v>
      </c>
      <c r="U38" s="14" t="s">
        <v>11</v>
      </c>
      <c r="V38" s="14" t="s">
        <v>11</v>
      </c>
      <c r="W38" s="14" t="s">
        <v>11</v>
      </c>
      <c r="X38" s="14" t="s">
        <v>11</v>
      </c>
      <c r="Y38" s="14" t="str">
        <f t="shared" si="33"/>
        <v/>
      </c>
      <c r="Z38" s="14" t="str">
        <f t="shared" si="34"/>
        <v/>
      </c>
      <c r="AA38" s="15">
        <f t="shared" si="13"/>
        <v>0</v>
      </c>
      <c r="AB38" s="14" t="s">
        <v>11</v>
      </c>
      <c r="AC38" s="14" t="s">
        <v>11</v>
      </c>
      <c r="AD38" s="14" t="s">
        <v>11</v>
      </c>
      <c r="AE38" s="14" t="s">
        <v>11</v>
      </c>
      <c r="AF38" s="14" t="s">
        <v>13</v>
      </c>
      <c r="AG38" s="14" t="s">
        <v>11</v>
      </c>
      <c r="AH38" s="14" t="s">
        <v>11</v>
      </c>
      <c r="AI38" s="14" t="s">
        <v>11</v>
      </c>
      <c r="AJ38" s="14" t="s">
        <v>11</v>
      </c>
      <c r="AK38" s="14" t="s">
        <v>11</v>
      </c>
      <c r="AL38" s="14" t="str">
        <f t="shared" si="35"/>
        <v>T</v>
      </c>
      <c r="AM38" s="14" t="str">
        <f t="shared" si="36"/>
        <v>T</v>
      </c>
      <c r="AN38" s="14" t="str">
        <f t="shared" si="37"/>
        <v/>
      </c>
      <c r="AO38" s="14" t="str">
        <f t="shared" si="38"/>
        <v/>
      </c>
      <c r="AP38" s="14" t="str">
        <f>IF(C38="A",AO38,IF(C38="E",AM38,""))</f>
        <v/>
      </c>
      <c r="AQ38" s="14" t="str">
        <f t="shared" si="31"/>
        <v/>
      </c>
      <c r="AR38" s="15">
        <f t="shared" si="18"/>
        <v>0</v>
      </c>
      <c r="AT38" s="17">
        <f t="shared" si="19"/>
        <v>0</v>
      </c>
    </row>
    <row r="39" spans="2:46" x14ac:dyDescent="0.2">
      <c r="B39" s="16"/>
      <c r="C39" s="15" t="s">
        <v>53</v>
      </c>
      <c r="D39" s="30" t="str">
        <f t="shared" si="32"/>
        <v/>
      </c>
      <c r="E39" s="14" t="str">
        <f t="shared" si="21"/>
        <v/>
      </c>
      <c r="F39" s="14" t="str">
        <f t="shared" si="22"/>
        <v/>
      </c>
      <c r="G39" s="14" t="str">
        <f t="shared" si="23"/>
        <v/>
      </c>
      <c r="H39" s="14" t="str">
        <f t="shared" si="24"/>
        <v/>
      </c>
      <c r="I39" s="14" t="str">
        <f t="shared" si="25"/>
        <v/>
      </c>
      <c r="J39" s="14" t="str">
        <f t="shared" si="26"/>
        <v/>
      </c>
      <c r="K39" s="14" t="str">
        <f t="shared" si="27"/>
        <v/>
      </c>
      <c r="L39" s="14" t="str">
        <f t="shared" si="28"/>
        <v/>
      </c>
      <c r="M39" s="14" t="str">
        <f t="shared" si="29"/>
        <v/>
      </c>
      <c r="N39" s="14" t="str">
        <f t="shared" si="30"/>
        <v/>
      </c>
      <c r="O39" s="14" t="s">
        <v>11</v>
      </c>
      <c r="P39" s="14" t="s">
        <v>11</v>
      </c>
      <c r="Q39" s="14" t="s">
        <v>11</v>
      </c>
      <c r="R39" s="14" t="s">
        <v>13</v>
      </c>
      <c r="S39" s="14" t="s">
        <v>11</v>
      </c>
      <c r="T39" s="14" t="s">
        <v>11</v>
      </c>
      <c r="U39" s="14" t="s">
        <v>11</v>
      </c>
      <c r="V39" s="14" t="s">
        <v>11</v>
      </c>
      <c r="W39" s="14" t="s">
        <v>11</v>
      </c>
      <c r="X39" s="14" t="s">
        <v>11</v>
      </c>
      <c r="Y39" s="14" t="str">
        <f t="shared" si="33"/>
        <v/>
      </c>
      <c r="Z39" s="14" t="str">
        <f t="shared" si="34"/>
        <v/>
      </c>
      <c r="AA39" s="15">
        <f t="shared" si="13"/>
        <v>0</v>
      </c>
      <c r="AB39" s="14" t="s">
        <v>11</v>
      </c>
      <c r="AC39" s="14" t="s">
        <v>11</v>
      </c>
      <c r="AD39" s="14" t="s">
        <v>11</v>
      </c>
      <c r="AE39" s="14" t="s">
        <v>11</v>
      </c>
      <c r="AF39" s="14" t="s">
        <v>13</v>
      </c>
      <c r="AG39" s="14" t="s">
        <v>11</v>
      </c>
      <c r="AH39" s="14" t="s">
        <v>11</v>
      </c>
      <c r="AI39" s="14" t="s">
        <v>11</v>
      </c>
      <c r="AJ39" s="14" t="s">
        <v>11</v>
      </c>
      <c r="AK39" s="14" t="s">
        <v>11</v>
      </c>
      <c r="AL39" s="14" t="str">
        <f t="shared" si="35"/>
        <v>T</v>
      </c>
      <c r="AM39" s="14" t="str">
        <f t="shared" si="36"/>
        <v>T</v>
      </c>
      <c r="AN39" s="14" t="str">
        <f t="shared" si="37"/>
        <v/>
      </c>
      <c r="AO39" s="14" t="str">
        <f t="shared" si="38"/>
        <v/>
      </c>
      <c r="AP39" s="14" t="str">
        <f t="shared" si="39"/>
        <v/>
      </c>
      <c r="AQ39" s="14" t="str">
        <f t="shared" si="31"/>
        <v/>
      </c>
      <c r="AR39" s="15">
        <f t="shared" si="18"/>
        <v>0</v>
      </c>
      <c r="AT39" s="17">
        <f t="shared" si="19"/>
        <v>0</v>
      </c>
    </row>
    <row r="40" spans="2:46" x14ac:dyDescent="0.2">
      <c r="B40" s="16"/>
      <c r="C40" s="15" t="s">
        <v>53</v>
      </c>
      <c r="D40" s="30" t="str">
        <f t="shared" si="32"/>
        <v/>
      </c>
      <c r="E40" s="14" t="str">
        <f t="shared" si="21"/>
        <v/>
      </c>
      <c r="F40" s="14" t="str">
        <f t="shared" si="22"/>
        <v/>
      </c>
      <c r="G40" s="14" t="str">
        <f t="shared" si="23"/>
        <v/>
      </c>
      <c r="H40" s="14" t="str">
        <f t="shared" si="24"/>
        <v/>
      </c>
      <c r="I40" s="14" t="str">
        <f t="shared" si="25"/>
        <v/>
      </c>
      <c r="J40" s="14" t="str">
        <f t="shared" si="26"/>
        <v/>
      </c>
      <c r="K40" s="14" t="str">
        <f t="shared" si="27"/>
        <v/>
      </c>
      <c r="L40" s="14" t="str">
        <f t="shared" si="28"/>
        <v/>
      </c>
      <c r="M40" s="14" t="str">
        <f t="shared" si="29"/>
        <v/>
      </c>
      <c r="N40" s="14" t="str">
        <f t="shared" si="30"/>
        <v/>
      </c>
      <c r="O40" s="14" t="s">
        <v>11</v>
      </c>
      <c r="P40" s="14" t="s">
        <v>11</v>
      </c>
      <c r="Q40" s="14" t="s">
        <v>11</v>
      </c>
      <c r="R40" s="14" t="s">
        <v>13</v>
      </c>
      <c r="S40" s="14" t="s">
        <v>11</v>
      </c>
      <c r="T40" s="14" t="s">
        <v>11</v>
      </c>
      <c r="U40" s="14" t="s">
        <v>11</v>
      </c>
      <c r="V40" s="14" t="s">
        <v>11</v>
      </c>
      <c r="W40" s="14" t="s">
        <v>11</v>
      </c>
      <c r="X40" s="14" t="s">
        <v>11</v>
      </c>
      <c r="Y40" s="14" t="str">
        <f t="shared" si="33"/>
        <v/>
      </c>
      <c r="Z40" s="14" t="str">
        <f t="shared" si="34"/>
        <v/>
      </c>
      <c r="AA40" s="15">
        <f t="shared" si="13"/>
        <v>0</v>
      </c>
      <c r="AB40" s="14" t="s">
        <v>11</v>
      </c>
      <c r="AC40" s="14" t="s">
        <v>11</v>
      </c>
      <c r="AD40" s="14" t="s">
        <v>11</v>
      </c>
      <c r="AE40" s="14" t="s">
        <v>11</v>
      </c>
      <c r="AF40" s="14" t="s">
        <v>13</v>
      </c>
      <c r="AG40" s="14" t="s">
        <v>11</v>
      </c>
      <c r="AH40" s="14" t="s">
        <v>11</v>
      </c>
      <c r="AI40" s="14" t="s">
        <v>11</v>
      </c>
      <c r="AJ40" s="14" t="s">
        <v>11</v>
      </c>
      <c r="AK40" s="14" t="s">
        <v>11</v>
      </c>
      <c r="AL40" s="14" t="str">
        <f t="shared" si="35"/>
        <v>T</v>
      </c>
      <c r="AM40" s="14" t="str">
        <f t="shared" si="36"/>
        <v>T</v>
      </c>
      <c r="AN40" s="14" t="str">
        <f t="shared" si="37"/>
        <v/>
      </c>
      <c r="AO40" s="14" t="str">
        <f t="shared" si="38"/>
        <v/>
      </c>
      <c r="AP40" s="14" t="str">
        <f t="shared" si="39"/>
        <v/>
      </c>
      <c r="AQ40" s="14" t="str">
        <f t="shared" si="31"/>
        <v/>
      </c>
      <c r="AR40" s="15">
        <f t="shared" si="18"/>
        <v>0</v>
      </c>
      <c r="AT40" s="17">
        <f t="shared" si="19"/>
        <v>0</v>
      </c>
    </row>
    <row r="41" spans="2:46" ht="12" thickBot="1" x14ac:dyDescent="0.25">
      <c r="B41" s="16"/>
      <c r="C41" s="15" t="s">
        <v>53</v>
      </c>
      <c r="D41" s="30" t="str">
        <f t="shared" si="32"/>
        <v/>
      </c>
      <c r="E41" s="14" t="str">
        <f t="shared" si="21"/>
        <v/>
      </c>
      <c r="F41" s="14" t="str">
        <f t="shared" si="22"/>
        <v/>
      </c>
      <c r="G41" s="14" t="str">
        <f t="shared" si="23"/>
        <v/>
      </c>
      <c r="H41" s="14" t="str">
        <f t="shared" si="24"/>
        <v/>
      </c>
      <c r="I41" s="14" t="str">
        <f t="shared" si="25"/>
        <v/>
      </c>
      <c r="J41" s="14" t="str">
        <f t="shared" si="26"/>
        <v/>
      </c>
      <c r="K41" s="14" t="str">
        <f t="shared" si="27"/>
        <v/>
      </c>
      <c r="L41" s="14" t="str">
        <f t="shared" si="28"/>
        <v/>
      </c>
      <c r="M41" s="14" t="str">
        <f t="shared" si="29"/>
        <v/>
      </c>
      <c r="N41" s="14" t="str">
        <f t="shared" si="30"/>
        <v/>
      </c>
      <c r="O41" s="14" t="s">
        <v>11</v>
      </c>
      <c r="P41" s="14" t="s">
        <v>11</v>
      </c>
      <c r="Q41" s="14" t="s">
        <v>11</v>
      </c>
      <c r="R41" s="14" t="s">
        <v>13</v>
      </c>
      <c r="S41" s="14" t="s">
        <v>11</v>
      </c>
      <c r="T41" s="14" t="s">
        <v>11</v>
      </c>
      <c r="U41" s="14" t="s">
        <v>11</v>
      </c>
      <c r="V41" s="14" t="s">
        <v>11</v>
      </c>
      <c r="W41" s="14" t="s">
        <v>11</v>
      </c>
      <c r="X41" s="14" t="s">
        <v>11</v>
      </c>
      <c r="Y41" s="14" t="str">
        <f t="shared" si="33"/>
        <v/>
      </c>
      <c r="Z41" s="14" t="str">
        <f t="shared" si="34"/>
        <v/>
      </c>
      <c r="AA41" s="15">
        <f t="shared" si="13"/>
        <v>0</v>
      </c>
      <c r="AB41" s="14" t="s">
        <v>11</v>
      </c>
      <c r="AC41" s="14" t="s">
        <v>11</v>
      </c>
      <c r="AD41" s="14" t="s">
        <v>11</v>
      </c>
      <c r="AE41" s="14" t="s">
        <v>11</v>
      </c>
      <c r="AF41" s="14" t="s">
        <v>13</v>
      </c>
      <c r="AG41" s="14" t="s">
        <v>11</v>
      </c>
      <c r="AH41" s="14" t="s">
        <v>11</v>
      </c>
      <c r="AI41" s="14" t="s">
        <v>11</v>
      </c>
      <c r="AJ41" s="14" t="s">
        <v>11</v>
      </c>
      <c r="AK41" s="14" t="s">
        <v>11</v>
      </c>
      <c r="AL41" s="14" t="str">
        <f t="shared" si="35"/>
        <v>T</v>
      </c>
      <c r="AM41" s="14" t="str">
        <f t="shared" si="36"/>
        <v>T</v>
      </c>
      <c r="AN41" s="14" t="str">
        <f t="shared" si="37"/>
        <v/>
      </c>
      <c r="AO41" s="14" t="str">
        <f t="shared" si="38"/>
        <v/>
      </c>
      <c r="AP41" s="14" t="str">
        <f t="shared" si="39"/>
        <v/>
      </c>
      <c r="AQ41" s="14" t="str">
        <f t="shared" si="31"/>
        <v/>
      </c>
      <c r="AR41" s="15">
        <f t="shared" si="18"/>
        <v>0</v>
      </c>
      <c r="AT41" s="17">
        <f t="shared" si="19"/>
        <v>0</v>
      </c>
    </row>
    <row r="42" spans="2:46" ht="12" thickTop="1" x14ac:dyDescent="0.2">
      <c r="B42" s="32"/>
      <c r="C42" s="15" t="s">
        <v>53</v>
      </c>
      <c r="D42" s="30" t="str">
        <f t="shared" si="32"/>
        <v/>
      </c>
      <c r="E42" s="14" t="str">
        <f t="shared" ref="E42:E50" si="40">MID(D42,E$3,IF(ISERR(SEARCH(" ",D42,E$3)),1000,SEARCH(" ",D42,E$3))-E$3)</f>
        <v/>
      </c>
      <c r="F42" s="14" t="str">
        <f t="shared" ref="F42:F50" si="41">MID(D42,LEN(E42)+F$3,IF(ISERR(SEARCH(" ",D42,LEN(E42)+F$3)),1000,SEARCH(" ",D42,LEN(E42)+F$3)-LEN(E42)-F$3))</f>
        <v/>
      </c>
      <c r="G42" s="14" t="str">
        <f t="shared" ref="G42:G50" si="42">MID(D42,LEN(E42&amp;F42)+G$3,IF(ISERR(SEARCH(" ",D42,LEN(E42&amp;F42)+G$3)),1000,SEARCH(" ",D42,LEN(E42&amp;F42)+G$3)-LEN(E42&amp;F42)-G$3))</f>
        <v/>
      </c>
      <c r="H42" s="14" t="str">
        <f t="shared" ref="H42:H50" si="43">MID(D42,LEN(E42&amp;F42&amp;G42)+H$3,IF(ISERR(SEARCH(" ",D42,LEN(E42&amp;F42&amp;G42)+H$3)),1000,SEARCH(" ",D42,LEN(E42&amp;F42&amp;G42)+H$3)-LEN(E42&amp;F42&amp;G42)-H$3))</f>
        <v/>
      </c>
      <c r="I42" s="14" t="str">
        <f t="shared" ref="I42:I50" si="44">MID(D42,LEN(E42&amp;F42&amp;G42&amp;H42)+I$3,IF(ISERR(SEARCH(" ",D42,LEN(E42&amp;F42&amp;G42&amp;H42)+I$3)),1000,SEARCH(" ",D42,LEN(E42&amp;F42&amp;G42&amp;H42)+I$3)-LEN(E42&amp;F42&amp;G42&amp;H42)-I$3))</f>
        <v/>
      </c>
      <c r="J42" s="14" t="str">
        <f t="shared" ref="J42:J50" si="45">MID(D42,LEN(E42&amp;F42&amp;G42&amp;H42&amp;I42)+J$3,IF(ISERR(SEARCH(" ",D42,LEN(E42&amp;F42&amp;G42&amp;H42&amp;I42)+J$3)),1000,SEARCH(" ",D42,LEN(E42&amp;F42&amp;G42&amp;H42&amp;I42)+J$3)-LEN(E42&amp;F42&amp;G42&amp;H42&amp;I42)-J$3))</f>
        <v/>
      </c>
      <c r="K42" s="14" t="str">
        <f t="shared" ref="K42:K50" si="46">MID(D42,LEN(E42&amp;F42&amp;G42&amp;H42&amp;I42&amp;J42)+K$3,IF(ISERR(SEARCH(" ",D42,LEN(E42&amp;F42&amp;G42&amp;H42&amp;I42&amp;J42)+K$3)),1000,SEARCH(" ",D42,LEN(E42&amp;F42&amp;G42&amp;H42&amp;I42&amp;J42)+K$3)-LEN(E42&amp;F42&amp;G42&amp;H42&amp;I42&amp;J42)-K$3))</f>
        <v/>
      </c>
      <c r="L42" s="14" t="str">
        <f t="shared" ref="L42:L50" si="47">MID(D42,LEN(E42&amp;F42&amp;G42&amp;H42&amp;I42&amp;J42&amp;K42)+L$3,IF(ISERR(SEARCH(" ",D42,LEN(E42&amp;F42&amp;G42&amp;H42&amp;I42&amp;J42&amp;K42)+L$3)),1000,SEARCH(" ",D42,LEN(E42&amp;F42&amp;G42&amp;H42&amp;I42&amp;J42&amp;K42)+L$3)-LEN(E42&amp;F42&amp;G42&amp;H42&amp;I42&amp;J42&amp;K42)-L$3))</f>
        <v/>
      </c>
      <c r="M42" s="14" t="str">
        <f t="shared" ref="M42:M50" si="48">MID(D42,LEN(E42&amp;F42&amp;G42&amp;H42&amp;I42&amp;J42&amp;K42&amp;L42)+M$3,IF(ISERR(SEARCH(" ",D42,LEN(E42&amp;F42&amp;G42&amp;H42&amp;I42&amp;J42&amp;K42&amp;L42)+M$3)),1000,SEARCH(" ",D42,LEN(E42&amp;F42&amp;G42&amp;H42&amp;I42&amp;J42&amp;K42&amp;L42)+M$3)-LEN(E42&amp;F42&amp;G42&amp;H42&amp;I42&amp;J42&amp;K42&amp;L42)-M$3))</f>
        <v/>
      </c>
      <c r="N42" s="14" t="str">
        <f t="shared" ref="N42:N50" si="49">MID(D42,LEN(E42&amp;F42&amp;G42&amp;H42&amp;I42&amp;J42&amp;K42&amp;L42&amp;M42)+N$3,IF(ISERR(SEARCH(" ",D42,LEN(E42&amp;F42&amp;G42&amp;H42&amp;I42&amp;J42&amp;K42&amp;L42&amp;M42)+N$3)),1000,SEARCH(" ",D42,LEN(E42&amp;F42&amp;G42&amp;H42&amp;I42&amp;J42&amp;K42&amp;L42&amp;M42)+N$3)-LEN(E42&amp;F42&amp;G42&amp;H42&amp;I42&amp;J42&amp;K42&amp;L42&amp;M42)-N$3))</f>
        <v/>
      </c>
      <c r="O42" s="14" t="s">
        <v>11</v>
      </c>
      <c r="P42" s="14" t="s">
        <v>11</v>
      </c>
      <c r="Q42" s="14" t="s">
        <v>11</v>
      </c>
      <c r="R42" s="14" t="s">
        <v>13</v>
      </c>
      <c r="S42" s="14" t="s">
        <v>11</v>
      </c>
      <c r="T42" s="14" t="s">
        <v>11</v>
      </c>
      <c r="U42" s="14" t="s">
        <v>11</v>
      </c>
      <c r="V42" s="14" t="s">
        <v>11</v>
      </c>
      <c r="W42" s="14" t="s">
        <v>11</v>
      </c>
      <c r="X42" s="14" t="s">
        <v>11</v>
      </c>
      <c r="Y42" s="14" t="str">
        <f t="shared" si="33"/>
        <v/>
      </c>
      <c r="Z42" s="14" t="str">
        <f t="shared" ref="Z42:Z52" si="50">IF(OR(C42="E",C42="A"),Y42&amp;IF(T42="X",IF(J42&lt;&gt;"",IF(ISERROR(VLOOKUP(J42,ListaThesaurus,2,FALSE)),"***",J42),""),"")&amp;IF(U42="X",IF(K42&lt;&gt;"",IF(ISERROR(VLOOKUP(K42,ListaThesaurus,2,FALSE)),"***",K42),""),"")&amp;IF(V42="X",IF(L42&lt;&gt;"",IF(ISERROR(VLOOKUP(L42,ListaThesaurus,2,FALSE)),"***",L42),""),"")&amp;IF(W42="X",IF(M42&lt;&gt;"",IF(ISERROR(VLOOKUP(M42,ListaThesaurus,2,FALSE)),"***",M42),""),"")&amp;IF(X42="X",IF(N42&lt;&gt;"",IF(ISERROR(VLOOKUP(N42,ListaThesaurus,2,FALSE)),"***",N42),""),""),"")</f>
        <v/>
      </c>
      <c r="AA42" s="15">
        <f t="shared" ref="AA42:AA87" si="51">LEN(Z42)</f>
        <v>0</v>
      </c>
      <c r="AB42" s="14" t="s">
        <v>11</v>
      </c>
      <c r="AC42" s="14" t="s">
        <v>11</v>
      </c>
      <c r="AD42" s="14" t="s">
        <v>11</v>
      </c>
      <c r="AE42" s="14" t="s">
        <v>11</v>
      </c>
      <c r="AF42" s="14" t="s">
        <v>13</v>
      </c>
      <c r="AG42" s="14" t="s">
        <v>11</v>
      </c>
      <c r="AH42" s="14" t="s">
        <v>11</v>
      </c>
      <c r="AI42" s="14" t="s">
        <v>11</v>
      </c>
      <c r="AJ42" s="14" t="s">
        <v>11</v>
      </c>
      <c r="AK42" s="14" t="s">
        <v>11</v>
      </c>
      <c r="AL42" s="14" t="str">
        <f t="shared" si="35"/>
        <v>T</v>
      </c>
      <c r="AM42" s="14" t="str">
        <f t="shared" ref="AM42:AM52" si="52">AL42&amp;IF(AG42="X",IF(J42&lt;&gt;"",IF(OR(AB42="X",AC42="X",AD42="X",AE42="X",AF42="X"),"_","")&amp;IF(ISERROR(VLOOKUP(J42,ListaThesaurus,2,FALSE)),"***",VLOOKUP(J42,ListaThesaurus,2,FALSE)),""),"")&amp;IF(AH42="X",IF(K42&lt;&gt;"",IF(OR(AB42="X",AC42="X",AD42="X",AE42="X",AF42="X",AG42="X"),"_","")&amp;IF(ISERROR(VLOOKUP(K42,ListaThesaurus,2,FALSE)),"***",VLOOKUP(K42,ListaThesaurus,2,FALSE)),""),"")&amp;IF(AI42="X",IF(L42&lt;&gt;"",IF(OR(AB42="X",AC42="X",AD42="X",AE42="X",AF42="X",AG42="X",AH42="X"),"_","")&amp;IF(ISERROR(VLOOKUP(L42,ListaThesaurus,2,FALSE)),"***",VLOOKUP(L42,ListaThesaurus,2,FALSE)),""),"")&amp;IF(AJ42="X",IF(M42&lt;&gt;"",IF(OR(AB42="X",AC42="X",AD42="X",AE42="X",AF42="X",AG42="X",AH42="X",AI42="X"),"_","")&amp;IF(ISERROR(VLOOKUP(M42,ListaThesaurus,2,FALSE)),"***",VLOOKUP(M42,ListaThesaurus,2,FALSE)),""),"")&amp;IF(AK42="X",IF(N42&lt;&gt;"",IF(OR(AB42="X",AC42="X",AD42="X",AE42="X",AF42="X",AG42="X",AH42="X",AI42="X",AJ42="X"),"_","")&amp;IF(ISERROR(VLOOKUP(N42,ListaThesaurus,2,FALSE)),"***",VLOOKUP(N42,ListaThesaurus,2,FALSE)),""),"")</f>
        <v>T</v>
      </c>
      <c r="AN42" s="14" t="str">
        <f t="shared" si="37"/>
        <v/>
      </c>
      <c r="AO42" s="14" t="str">
        <f t="shared" ref="AO42:AO52" si="53">AN42&amp;IF(AG42="X",IF(J42&lt;&gt;"",IF(OR(AC42="X",AD42="X",AE42="X",AF42="X"),"_","")&amp;IF(ISERROR(VLOOKUP(J42,ListaThesaurus,2,FALSE)),"***",VLOOKUP(J42,ListaThesaurus,2,FALSE)),""),"")&amp;IF(AH42="X",IF(K42&lt;&gt;"",IF(OR(AC42="X",AD42="X",AE42="X",AF42="X",AG42="X"),"_","")&amp;IF(ISERROR(VLOOKUP(K42,ListaThesaurus,2,FALSE)),"***",VLOOKUP(K42,ListaThesaurus,2,FALSE)),""),"")&amp;IF(AI42="X",IF(L42&lt;&gt;"",IF(OR(AC42="X",AD42="X",AE42="X",AF42="X",AG42="X",AH42="X"),"_","")&amp;IF(ISERROR(VLOOKUP(L42,ListaThesaurus,2,FALSE)),"***",VLOOKUP(L42,ListaThesaurus,2,FALSE)),""),"")&amp;IF(AJ42="X",IF(M42&lt;&gt;"",IF(OR(AC42="X",AD42="X",AE42="X",AF42="X",AG42="X",AH42="X",AI42="X"),"_","")&amp;IF(ISERROR(VLOOKUP(M42,ListaThesaurus,2,FALSE)),"***",VLOOKUP(M42,ListaThesaurus,2,FALSE)),""),"")&amp;IF(AK42="X",IF(N42&lt;&gt;"",IF(OR(AC42="X",AD42="X",AE42="X",AF42="X",AG42="X",AH42="X",AI42="X",AJ42="X"),"_","")&amp;IF(ISERROR(VLOOKUP(N42,ListaThesaurus,2,FALSE)),"***",VLOOKUP(N42,ListaThesaurus,2,FALSE)),""),"")</f>
        <v/>
      </c>
      <c r="AP42" s="14" t="str">
        <f t="shared" ref="AP42:AP52" si="54">IF(C42="A",AO42,IF(C42="E",AM42,""))</f>
        <v/>
      </c>
      <c r="AQ42" s="14" t="str">
        <f t="shared" si="31"/>
        <v/>
      </c>
      <c r="AR42" s="15">
        <f t="shared" ref="AR42:AR87" si="55">LEN(AP42)</f>
        <v>0</v>
      </c>
      <c r="AT42" s="17">
        <f t="shared" si="19"/>
        <v>0</v>
      </c>
    </row>
    <row r="43" spans="2:46" x14ac:dyDescent="0.2">
      <c r="B43" s="16"/>
      <c r="C43" s="15" t="s">
        <v>53</v>
      </c>
      <c r="D43" s="30" t="str">
        <f t="shared" si="32"/>
        <v/>
      </c>
      <c r="E43" s="14" t="str">
        <f t="shared" si="40"/>
        <v/>
      </c>
      <c r="F43" s="14" t="str">
        <f t="shared" si="41"/>
        <v/>
      </c>
      <c r="G43" s="14" t="str">
        <f t="shared" si="42"/>
        <v/>
      </c>
      <c r="H43" s="14" t="str">
        <f t="shared" si="43"/>
        <v/>
      </c>
      <c r="I43" s="14" t="str">
        <f t="shared" si="44"/>
        <v/>
      </c>
      <c r="J43" s="14" t="str">
        <f t="shared" si="45"/>
        <v/>
      </c>
      <c r="K43" s="14" t="str">
        <f t="shared" si="46"/>
        <v/>
      </c>
      <c r="L43" s="14" t="str">
        <f t="shared" si="47"/>
        <v/>
      </c>
      <c r="M43" s="14" t="str">
        <f t="shared" si="48"/>
        <v/>
      </c>
      <c r="N43" s="14" t="str">
        <f t="shared" si="49"/>
        <v/>
      </c>
      <c r="O43" s="14" t="s">
        <v>11</v>
      </c>
      <c r="P43" s="14" t="s">
        <v>11</v>
      </c>
      <c r="Q43" s="14" t="s">
        <v>11</v>
      </c>
      <c r="R43" s="14" t="s">
        <v>13</v>
      </c>
      <c r="S43" s="14" t="s">
        <v>11</v>
      </c>
      <c r="T43" s="14" t="s">
        <v>11</v>
      </c>
      <c r="U43" s="14" t="s">
        <v>11</v>
      </c>
      <c r="V43" s="14" t="s">
        <v>11</v>
      </c>
      <c r="W43" s="14" t="s">
        <v>11</v>
      </c>
      <c r="X43" s="14" t="s">
        <v>11</v>
      </c>
      <c r="Y43" s="14" t="str">
        <f t="shared" si="33"/>
        <v/>
      </c>
      <c r="Z43" s="14" t="str">
        <f t="shared" si="50"/>
        <v/>
      </c>
      <c r="AA43" s="15">
        <f t="shared" si="51"/>
        <v>0</v>
      </c>
      <c r="AB43" s="14" t="s">
        <v>11</v>
      </c>
      <c r="AC43" s="14" t="s">
        <v>11</v>
      </c>
      <c r="AD43" s="14" t="s">
        <v>11</v>
      </c>
      <c r="AE43" s="14" t="s">
        <v>11</v>
      </c>
      <c r="AF43" s="14" t="s">
        <v>13</v>
      </c>
      <c r="AG43" s="14" t="s">
        <v>11</v>
      </c>
      <c r="AH43" s="14" t="s">
        <v>11</v>
      </c>
      <c r="AI43" s="14" t="s">
        <v>11</v>
      </c>
      <c r="AJ43" s="14" t="s">
        <v>11</v>
      </c>
      <c r="AK43" s="14" t="s">
        <v>11</v>
      </c>
      <c r="AL43" s="14" t="str">
        <f t="shared" si="35"/>
        <v>T</v>
      </c>
      <c r="AM43" s="14" t="str">
        <f t="shared" si="52"/>
        <v>T</v>
      </c>
      <c r="AN43" s="14" t="str">
        <f t="shared" si="37"/>
        <v/>
      </c>
      <c r="AO43" s="14" t="str">
        <f t="shared" si="53"/>
        <v/>
      </c>
      <c r="AP43" s="14" t="str">
        <f t="shared" si="54"/>
        <v/>
      </c>
      <c r="AQ43" s="14" t="str">
        <f t="shared" si="31"/>
        <v/>
      </c>
      <c r="AR43" s="15">
        <f t="shared" si="55"/>
        <v>0</v>
      </c>
      <c r="AT43" s="17">
        <f t="shared" si="19"/>
        <v>0</v>
      </c>
    </row>
    <row r="44" spans="2:46" x14ac:dyDescent="0.2">
      <c r="B44" s="16"/>
      <c r="C44" s="15" t="s">
        <v>53</v>
      </c>
      <c r="D44" s="30" t="str">
        <f t="shared" si="32"/>
        <v/>
      </c>
      <c r="E44" s="14" t="str">
        <f t="shared" si="40"/>
        <v/>
      </c>
      <c r="F44" s="14" t="str">
        <f t="shared" si="41"/>
        <v/>
      </c>
      <c r="G44" s="14" t="str">
        <f t="shared" si="42"/>
        <v/>
      </c>
      <c r="H44" s="14" t="str">
        <f t="shared" si="43"/>
        <v/>
      </c>
      <c r="I44" s="14" t="str">
        <f t="shared" si="44"/>
        <v/>
      </c>
      <c r="J44" s="14" t="str">
        <f t="shared" si="45"/>
        <v/>
      </c>
      <c r="K44" s="14" t="str">
        <f t="shared" si="46"/>
        <v/>
      </c>
      <c r="L44" s="14" t="str">
        <f t="shared" si="47"/>
        <v/>
      </c>
      <c r="M44" s="14" t="str">
        <f t="shared" si="48"/>
        <v/>
      </c>
      <c r="N44" s="14" t="str">
        <f t="shared" si="49"/>
        <v/>
      </c>
      <c r="O44" s="14" t="s">
        <v>11</v>
      </c>
      <c r="P44" s="14" t="s">
        <v>11</v>
      </c>
      <c r="Q44" s="14" t="s">
        <v>11</v>
      </c>
      <c r="R44" s="14" t="s">
        <v>13</v>
      </c>
      <c r="S44" s="14" t="s">
        <v>11</v>
      </c>
      <c r="T44" s="14" t="s">
        <v>11</v>
      </c>
      <c r="U44" s="14" t="s">
        <v>11</v>
      </c>
      <c r="V44" s="14" t="s">
        <v>11</v>
      </c>
      <c r="W44" s="14" t="s">
        <v>11</v>
      </c>
      <c r="X44" s="14" t="s">
        <v>11</v>
      </c>
      <c r="Y44" s="14" t="str">
        <f t="shared" si="33"/>
        <v/>
      </c>
      <c r="Z44" s="14" t="str">
        <f t="shared" si="50"/>
        <v/>
      </c>
      <c r="AA44" s="15">
        <f t="shared" si="51"/>
        <v>0</v>
      </c>
      <c r="AB44" s="14" t="s">
        <v>11</v>
      </c>
      <c r="AC44" s="14" t="s">
        <v>11</v>
      </c>
      <c r="AD44" s="14" t="s">
        <v>11</v>
      </c>
      <c r="AE44" s="14" t="s">
        <v>11</v>
      </c>
      <c r="AF44" s="14" t="s">
        <v>13</v>
      </c>
      <c r="AG44" s="14" t="s">
        <v>11</v>
      </c>
      <c r="AH44" s="14" t="s">
        <v>11</v>
      </c>
      <c r="AI44" s="14" t="s">
        <v>11</v>
      </c>
      <c r="AJ44" s="14" t="s">
        <v>11</v>
      </c>
      <c r="AK44" s="14" t="s">
        <v>11</v>
      </c>
      <c r="AL44" s="14" t="str">
        <f t="shared" si="35"/>
        <v>T</v>
      </c>
      <c r="AM44" s="14" t="str">
        <f t="shared" si="52"/>
        <v>T</v>
      </c>
      <c r="AN44" s="14" t="str">
        <f t="shared" si="37"/>
        <v/>
      </c>
      <c r="AO44" s="14" t="str">
        <f t="shared" si="53"/>
        <v/>
      </c>
      <c r="AP44" s="14" t="str">
        <f t="shared" si="54"/>
        <v/>
      </c>
      <c r="AQ44" s="14" t="str">
        <f t="shared" si="31"/>
        <v/>
      </c>
      <c r="AR44" s="15">
        <f t="shared" si="55"/>
        <v>0</v>
      </c>
      <c r="AT44" s="17">
        <f t="shared" si="19"/>
        <v>0</v>
      </c>
    </row>
    <row r="45" spans="2:46" x14ac:dyDescent="0.2">
      <c r="B45" s="16"/>
      <c r="C45" s="15" t="s">
        <v>53</v>
      </c>
      <c r="D45" s="30" t="str">
        <f t="shared" si="32"/>
        <v/>
      </c>
      <c r="E45" s="14" t="str">
        <f t="shared" si="40"/>
        <v/>
      </c>
      <c r="F45" s="14" t="str">
        <f t="shared" si="41"/>
        <v/>
      </c>
      <c r="G45" s="14" t="str">
        <f t="shared" si="42"/>
        <v/>
      </c>
      <c r="H45" s="14" t="str">
        <f t="shared" si="43"/>
        <v/>
      </c>
      <c r="I45" s="14" t="str">
        <f t="shared" si="44"/>
        <v/>
      </c>
      <c r="J45" s="14" t="str">
        <f t="shared" si="45"/>
        <v/>
      </c>
      <c r="K45" s="14" t="str">
        <f t="shared" si="46"/>
        <v/>
      </c>
      <c r="L45" s="14" t="str">
        <f t="shared" si="47"/>
        <v/>
      </c>
      <c r="M45" s="14" t="str">
        <f t="shared" si="48"/>
        <v/>
      </c>
      <c r="N45" s="14" t="str">
        <f t="shared" si="49"/>
        <v/>
      </c>
      <c r="O45" s="14" t="s">
        <v>11</v>
      </c>
      <c r="P45" s="14" t="s">
        <v>11</v>
      </c>
      <c r="Q45" s="14" t="s">
        <v>11</v>
      </c>
      <c r="R45" s="14" t="s">
        <v>13</v>
      </c>
      <c r="S45" s="14" t="s">
        <v>11</v>
      </c>
      <c r="T45" s="14" t="s">
        <v>11</v>
      </c>
      <c r="U45" s="14" t="s">
        <v>11</v>
      </c>
      <c r="V45" s="14" t="s">
        <v>11</v>
      </c>
      <c r="W45" s="14" t="s">
        <v>11</v>
      </c>
      <c r="X45" s="14" t="s">
        <v>11</v>
      </c>
      <c r="Y45" s="14" t="str">
        <f t="shared" si="33"/>
        <v/>
      </c>
      <c r="Z45" s="14" t="str">
        <f t="shared" si="50"/>
        <v/>
      </c>
      <c r="AA45" s="15">
        <f t="shared" si="51"/>
        <v>0</v>
      </c>
      <c r="AB45" s="14" t="s">
        <v>11</v>
      </c>
      <c r="AC45" s="14" t="s">
        <v>11</v>
      </c>
      <c r="AD45" s="14" t="s">
        <v>11</v>
      </c>
      <c r="AE45" s="14" t="s">
        <v>11</v>
      </c>
      <c r="AF45" s="14" t="s">
        <v>13</v>
      </c>
      <c r="AG45" s="14" t="s">
        <v>11</v>
      </c>
      <c r="AH45" s="14" t="s">
        <v>11</v>
      </c>
      <c r="AI45" s="14" t="s">
        <v>11</v>
      </c>
      <c r="AJ45" s="14" t="s">
        <v>11</v>
      </c>
      <c r="AK45" s="14" t="s">
        <v>11</v>
      </c>
      <c r="AL45" s="14" t="str">
        <f t="shared" si="35"/>
        <v>T</v>
      </c>
      <c r="AM45" s="14" t="str">
        <f t="shared" si="52"/>
        <v>T</v>
      </c>
      <c r="AN45" s="14" t="str">
        <f t="shared" si="37"/>
        <v/>
      </c>
      <c r="AO45" s="14" t="str">
        <f t="shared" si="53"/>
        <v/>
      </c>
      <c r="AP45" s="14" t="str">
        <f t="shared" si="54"/>
        <v/>
      </c>
      <c r="AQ45" s="14" t="str">
        <f t="shared" si="31"/>
        <v/>
      </c>
      <c r="AR45" s="15">
        <f t="shared" si="55"/>
        <v>0</v>
      </c>
      <c r="AT45" s="17">
        <f t="shared" si="19"/>
        <v>0</v>
      </c>
    </row>
    <row r="46" spans="2:46" x14ac:dyDescent="0.2">
      <c r="B46" s="16"/>
      <c r="C46" s="15" t="s">
        <v>53</v>
      </c>
      <c r="D46" s="30" t="str">
        <f t="shared" si="32"/>
        <v/>
      </c>
      <c r="E46" s="14" t="str">
        <f t="shared" si="40"/>
        <v/>
      </c>
      <c r="F46" s="14" t="str">
        <f t="shared" si="41"/>
        <v/>
      </c>
      <c r="G46" s="14" t="str">
        <f t="shared" si="42"/>
        <v/>
      </c>
      <c r="H46" s="14" t="str">
        <f t="shared" si="43"/>
        <v/>
      </c>
      <c r="I46" s="14" t="str">
        <f t="shared" si="44"/>
        <v/>
      </c>
      <c r="J46" s="14" t="str">
        <f t="shared" si="45"/>
        <v/>
      </c>
      <c r="K46" s="14" t="str">
        <f t="shared" si="46"/>
        <v/>
      </c>
      <c r="L46" s="14" t="str">
        <f t="shared" si="47"/>
        <v/>
      </c>
      <c r="M46" s="14" t="str">
        <f t="shared" si="48"/>
        <v/>
      </c>
      <c r="N46" s="14" t="str">
        <f t="shared" si="49"/>
        <v/>
      </c>
      <c r="O46" s="14" t="s">
        <v>11</v>
      </c>
      <c r="P46" s="14" t="s">
        <v>11</v>
      </c>
      <c r="Q46" s="14" t="s">
        <v>11</v>
      </c>
      <c r="R46" s="14" t="s">
        <v>13</v>
      </c>
      <c r="S46" s="14" t="s">
        <v>11</v>
      </c>
      <c r="T46" s="14" t="s">
        <v>11</v>
      </c>
      <c r="U46" s="14" t="s">
        <v>11</v>
      </c>
      <c r="V46" s="14" t="s">
        <v>11</v>
      </c>
      <c r="W46" s="14" t="s">
        <v>11</v>
      </c>
      <c r="X46" s="14" t="s">
        <v>11</v>
      </c>
      <c r="Y46" s="14" t="str">
        <f t="shared" si="33"/>
        <v/>
      </c>
      <c r="Z46" s="14" t="str">
        <f t="shared" si="50"/>
        <v/>
      </c>
      <c r="AA46" s="15">
        <f t="shared" si="51"/>
        <v>0</v>
      </c>
      <c r="AB46" s="14" t="s">
        <v>11</v>
      </c>
      <c r="AC46" s="14" t="s">
        <v>11</v>
      </c>
      <c r="AD46" s="14" t="s">
        <v>11</v>
      </c>
      <c r="AE46" s="14" t="s">
        <v>11</v>
      </c>
      <c r="AF46" s="14" t="s">
        <v>13</v>
      </c>
      <c r="AG46" s="14" t="s">
        <v>11</v>
      </c>
      <c r="AH46" s="14" t="s">
        <v>11</v>
      </c>
      <c r="AI46" s="14" t="s">
        <v>11</v>
      </c>
      <c r="AJ46" s="14" t="s">
        <v>11</v>
      </c>
      <c r="AK46" s="14" t="s">
        <v>11</v>
      </c>
      <c r="AL46" s="14" t="str">
        <f t="shared" si="35"/>
        <v>T</v>
      </c>
      <c r="AM46" s="14" t="str">
        <f t="shared" si="52"/>
        <v>T</v>
      </c>
      <c r="AN46" s="14" t="str">
        <f t="shared" si="37"/>
        <v/>
      </c>
      <c r="AO46" s="14" t="str">
        <f t="shared" si="53"/>
        <v/>
      </c>
      <c r="AP46" s="14" t="str">
        <f t="shared" si="54"/>
        <v/>
      </c>
      <c r="AQ46" s="14" t="str">
        <f t="shared" si="31"/>
        <v/>
      </c>
      <c r="AR46" s="15">
        <f t="shared" si="55"/>
        <v>0</v>
      </c>
      <c r="AT46" s="17">
        <f t="shared" si="19"/>
        <v>0</v>
      </c>
    </row>
    <row r="47" spans="2:46" x14ac:dyDescent="0.2">
      <c r="B47" s="16"/>
      <c r="C47" s="15" t="s">
        <v>53</v>
      </c>
      <c r="D47" s="30" t="str">
        <f t="shared" si="32"/>
        <v/>
      </c>
      <c r="E47" s="14" t="str">
        <f t="shared" si="40"/>
        <v/>
      </c>
      <c r="F47" s="14" t="str">
        <f t="shared" si="41"/>
        <v/>
      </c>
      <c r="G47" s="14" t="str">
        <f t="shared" si="42"/>
        <v/>
      </c>
      <c r="H47" s="14" t="str">
        <f t="shared" si="43"/>
        <v/>
      </c>
      <c r="I47" s="14" t="str">
        <f t="shared" si="44"/>
        <v/>
      </c>
      <c r="J47" s="14" t="str">
        <f t="shared" si="45"/>
        <v/>
      </c>
      <c r="K47" s="14" t="str">
        <f t="shared" si="46"/>
        <v/>
      </c>
      <c r="L47" s="14" t="str">
        <f t="shared" si="47"/>
        <v/>
      </c>
      <c r="M47" s="14" t="str">
        <f t="shared" si="48"/>
        <v/>
      </c>
      <c r="N47" s="14" t="str">
        <f t="shared" si="49"/>
        <v/>
      </c>
      <c r="O47" s="14" t="s">
        <v>11</v>
      </c>
      <c r="P47" s="14" t="s">
        <v>11</v>
      </c>
      <c r="Q47" s="14" t="s">
        <v>11</v>
      </c>
      <c r="R47" s="14" t="s">
        <v>13</v>
      </c>
      <c r="S47" s="14" t="s">
        <v>11</v>
      </c>
      <c r="T47" s="14" t="s">
        <v>11</v>
      </c>
      <c r="U47" s="14" t="s">
        <v>11</v>
      </c>
      <c r="V47" s="14" t="s">
        <v>11</v>
      </c>
      <c r="W47" s="14" t="s">
        <v>11</v>
      </c>
      <c r="X47" s="14" t="s">
        <v>11</v>
      </c>
      <c r="Y47" s="14" t="str">
        <f t="shared" si="33"/>
        <v/>
      </c>
      <c r="Z47" s="14" t="str">
        <f t="shared" si="50"/>
        <v/>
      </c>
      <c r="AA47" s="15">
        <f t="shared" si="51"/>
        <v>0</v>
      </c>
      <c r="AB47" s="14" t="s">
        <v>11</v>
      </c>
      <c r="AC47" s="14" t="s">
        <v>11</v>
      </c>
      <c r="AD47" s="14" t="s">
        <v>11</v>
      </c>
      <c r="AE47" s="14" t="s">
        <v>11</v>
      </c>
      <c r="AF47" s="14" t="s">
        <v>13</v>
      </c>
      <c r="AG47" s="14" t="s">
        <v>11</v>
      </c>
      <c r="AH47" s="14" t="s">
        <v>11</v>
      </c>
      <c r="AI47" s="14" t="s">
        <v>11</v>
      </c>
      <c r="AJ47" s="14" t="s">
        <v>11</v>
      </c>
      <c r="AK47" s="14" t="s">
        <v>11</v>
      </c>
      <c r="AL47" s="14" t="str">
        <f t="shared" si="35"/>
        <v>T</v>
      </c>
      <c r="AM47" s="14" t="str">
        <f t="shared" si="52"/>
        <v>T</v>
      </c>
      <c r="AN47" s="14" t="str">
        <f t="shared" si="37"/>
        <v/>
      </c>
      <c r="AO47" s="14" t="str">
        <f t="shared" si="53"/>
        <v/>
      </c>
      <c r="AP47" s="14" t="str">
        <f t="shared" si="54"/>
        <v/>
      </c>
      <c r="AQ47" s="14" t="str">
        <f t="shared" si="31"/>
        <v/>
      </c>
      <c r="AR47" s="15">
        <f t="shared" si="55"/>
        <v>0</v>
      </c>
      <c r="AT47" s="17">
        <f t="shared" si="19"/>
        <v>0</v>
      </c>
    </row>
    <row r="48" spans="2:46" x14ac:dyDescent="0.2">
      <c r="B48" s="16"/>
      <c r="C48" s="15" t="s">
        <v>53</v>
      </c>
      <c r="D48" s="30" t="str">
        <f t="shared" si="32"/>
        <v/>
      </c>
      <c r="E48" s="14" t="str">
        <f t="shared" si="40"/>
        <v/>
      </c>
      <c r="F48" s="14" t="str">
        <f t="shared" si="41"/>
        <v/>
      </c>
      <c r="G48" s="14" t="str">
        <f t="shared" si="42"/>
        <v/>
      </c>
      <c r="H48" s="14" t="str">
        <f t="shared" si="43"/>
        <v/>
      </c>
      <c r="I48" s="14" t="str">
        <f t="shared" si="44"/>
        <v/>
      </c>
      <c r="J48" s="14" t="str">
        <f t="shared" si="45"/>
        <v/>
      </c>
      <c r="K48" s="14" t="str">
        <f t="shared" si="46"/>
        <v/>
      </c>
      <c r="L48" s="14" t="str">
        <f t="shared" si="47"/>
        <v/>
      </c>
      <c r="M48" s="14" t="str">
        <f t="shared" si="48"/>
        <v/>
      </c>
      <c r="N48" s="14" t="str">
        <f t="shared" si="49"/>
        <v/>
      </c>
      <c r="O48" s="14" t="s">
        <v>11</v>
      </c>
      <c r="P48" s="14" t="s">
        <v>11</v>
      </c>
      <c r="Q48" s="14" t="s">
        <v>11</v>
      </c>
      <c r="R48" s="14" t="s">
        <v>13</v>
      </c>
      <c r="S48" s="14" t="s">
        <v>11</v>
      </c>
      <c r="T48" s="14" t="s">
        <v>11</v>
      </c>
      <c r="U48" s="14" t="s">
        <v>11</v>
      </c>
      <c r="V48" s="14" t="s">
        <v>11</v>
      </c>
      <c r="W48" s="14" t="s">
        <v>11</v>
      </c>
      <c r="X48" s="14" t="s">
        <v>11</v>
      </c>
      <c r="Y48" s="14" t="str">
        <f t="shared" si="33"/>
        <v/>
      </c>
      <c r="Z48" s="14" t="str">
        <f t="shared" si="50"/>
        <v/>
      </c>
      <c r="AA48" s="15">
        <f t="shared" si="51"/>
        <v>0</v>
      </c>
      <c r="AB48" s="14" t="s">
        <v>11</v>
      </c>
      <c r="AC48" s="14" t="s">
        <v>11</v>
      </c>
      <c r="AD48" s="14" t="s">
        <v>11</v>
      </c>
      <c r="AE48" s="14" t="s">
        <v>11</v>
      </c>
      <c r="AF48" s="14" t="s">
        <v>13</v>
      </c>
      <c r="AG48" s="14" t="s">
        <v>11</v>
      </c>
      <c r="AH48" s="14" t="s">
        <v>11</v>
      </c>
      <c r="AI48" s="14" t="s">
        <v>11</v>
      </c>
      <c r="AJ48" s="14" t="s">
        <v>11</v>
      </c>
      <c r="AK48" s="14" t="s">
        <v>11</v>
      </c>
      <c r="AL48" s="14" t="str">
        <f t="shared" si="35"/>
        <v>T</v>
      </c>
      <c r="AM48" s="14" t="str">
        <f t="shared" si="52"/>
        <v>T</v>
      </c>
      <c r="AN48" s="14" t="str">
        <f t="shared" si="37"/>
        <v/>
      </c>
      <c r="AO48" s="14" t="str">
        <f t="shared" si="53"/>
        <v/>
      </c>
      <c r="AP48" s="14" t="str">
        <f t="shared" si="54"/>
        <v/>
      </c>
      <c r="AQ48" s="14" t="str">
        <f t="shared" si="31"/>
        <v/>
      </c>
      <c r="AR48" s="15">
        <f t="shared" si="55"/>
        <v>0</v>
      </c>
      <c r="AT48" s="17">
        <f t="shared" si="19"/>
        <v>0</v>
      </c>
    </row>
    <row r="49" spans="2:46" x14ac:dyDescent="0.2">
      <c r="B49" s="16"/>
      <c r="C49" s="15" t="s">
        <v>53</v>
      </c>
      <c r="D49" s="30" t="str">
        <f t="shared" si="32"/>
        <v/>
      </c>
      <c r="E49" s="14" t="str">
        <f t="shared" si="40"/>
        <v/>
      </c>
      <c r="F49" s="14" t="str">
        <f t="shared" si="41"/>
        <v/>
      </c>
      <c r="G49" s="14" t="str">
        <f t="shared" si="42"/>
        <v/>
      </c>
      <c r="H49" s="14" t="str">
        <f t="shared" si="43"/>
        <v/>
      </c>
      <c r="I49" s="14" t="str">
        <f t="shared" si="44"/>
        <v/>
      </c>
      <c r="J49" s="14" t="str">
        <f t="shared" si="45"/>
        <v/>
      </c>
      <c r="K49" s="14" t="str">
        <f t="shared" si="46"/>
        <v/>
      </c>
      <c r="L49" s="14" t="str">
        <f t="shared" si="47"/>
        <v/>
      </c>
      <c r="M49" s="14" t="str">
        <f t="shared" si="48"/>
        <v/>
      </c>
      <c r="N49" s="14" t="str">
        <f t="shared" si="49"/>
        <v/>
      </c>
      <c r="O49" s="14" t="s">
        <v>11</v>
      </c>
      <c r="P49" s="14" t="s">
        <v>11</v>
      </c>
      <c r="Q49" s="14" t="s">
        <v>11</v>
      </c>
      <c r="R49" s="14" t="s">
        <v>13</v>
      </c>
      <c r="S49" s="14" t="s">
        <v>11</v>
      </c>
      <c r="T49" s="14" t="s">
        <v>11</v>
      </c>
      <c r="U49" s="14" t="s">
        <v>11</v>
      </c>
      <c r="V49" s="14" t="s">
        <v>11</v>
      </c>
      <c r="W49" s="14" t="s">
        <v>11</v>
      </c>
      <c r="X49" s="14" t="s">
        <v>11</v>
      </c>
      <c r="Y49" s="14" t="str">
        <f t="shared" si="33"/>
        <v/>
      </c>
      <c r="Z49" s="14" t="str">
        <f t="shared" si="50"/>
        <v/>
      </c>
      <c r="AA49" s="15">
        <f t="shared" si="51"/>
        <v>0</v>
      </c>
      <c r="AB49" s="14" t="s">
        <v>11</v>
      </c>
      <c r="AC49" s="14" t="s">
        <v>11</v>
      </c>
      <c r="AD49" s="14" t="s">
        <v>11</v>
      </c>
      <c r="AE49" s="14" t="s">
        <v>11</v>
      </c>
      <c r="AF49" s="14" t="s">
        <v>13</v>
      </c>
      <c r="AG49" s="14" t="s">
        <v>11</v>
      </c>
      <c r="AH49" s="14" t="s">
        <v>11</v>
      </c>
      <c r="AI49" s="14" t="s">
        <v>11</v>
      </c>
      <c r="AJ49" s="14" t="s">
        <v>11</v>
      </c>
      <c r="AK49" s="14" t="s">
        <v>11</v>
      </c>
      <c r="AL49" s="14" t="str">
        <f t="shared" si="35"/>
        <v>T</v>
      </c>
      <c r="AM49" s="14" t="str">
        <f t="shared" si="52"/>
        <v>T</v>
      </c>
      <c r="AN49" s="14" t="str">
        <f t="shared" si="37"/>
        <v/>
      </c>
      <c r="AO49" s="14" t="str">
        <f t="shared" si="53"/>
        <v/>
      </c>
      <c r="AP49" s="14" t="str">
        <f t="shared" si="54"/>
        <v/>
      </c>
      <c r="AQ49" s="14" t="str">
        <f t="shared" si="31"/>
        <v/>
      </c>
      <c r="AR49" s="15">
        <f t="shared" si="55"/>
        <v>0</v>
      </c>
      <c r="AT49" s="17">
        <f t="shared" si="19"/>
        <v>0</v>
      </c>
    </row>
    <row r="50" spans="2:46" x14ac:dyDescent="0.2">
      <c r="B50" s="16"/>
      <c r="C50" s="15" t="s">
        <v>53</v>
      </c>
      <c r="D50" s="30" t="str">
        <f t="shared" si="32"/>
        <v/>
      </c>
      <c r="E50" s="14" t="str">
        <f t="shared" si="40"/>
        <v/>
      </c>
      <c r="F50" s="14" t="str">
        <f t="shared" si="41"/>
        <v/>
      </c>
      <c r="G50" s="14" t="str">
        <f t="shared" si="42"/>
        <v/>
      </c>
      <c r="H50" s="14" t="str">
        <f t="shared" si="43"/>
        <v/>
      </c>
      <c r="I50" s="14" t="str">
        <f t="shared" si="44"/>
        <v/>
      </c>
      <c r="J50" s="14" t="str">
        <f t="shared" si="45"/>
        <v/>
      </c>
      <c r="K50" s="14" t="str">
        <f t="shared" si="46"/>
        <v/>
      </c>
      <c r="L50" s="14" t="str">
        <f t="shared" si="47"/>
        <v/>
      </c>
      <c r="M50" s="14" t="str">
        <f t="shared" si="48"/>
        <v/>
      </c>
      <c r="N50" s="14" t="str">
        <f t="shared" si="49"/>
        <v/>
      </c>
      <c r="O50" s="14" t="s">
        <v>11</v>
      </c>
      <c r="P50" s="14" t="s">
        <v>11</v>
      </c>
      <c r="Q50" s="14" t="s">
        <v>11</v>
      </c>
      <c r="R50" s="14" t="s">
        <v>13</v>
      </c>
      <c r="S50" s="14" t="s">
        <v>11</v>
      </c>
      <c r="T50" s="14" t="s">
        <v>11</v>
      </c>
      <c r="U50" s="14" t="s">
        <v>11</v>
      </c>
      <c r="V50" s="14" t="s">
        <v>11</v>
      </c>
      <c r="W50" s="14" t="s">
        <v>11</v>
      </c>
      <c r="X50" s="14" t="s">
        <v>11</v>
      </c>
      <c r="Y50" s="14" t="str">
        <f t="shared" si="33"/>
        <v/>
      </c>
      <c r="Z50" s="14" t="str">
        <f t="shared" si="50"/>
        <v/>
      </c>
      <c r="AA50" s="15">
        <f t="shared" si="51"/>
        <v>0</v>
      </c>
      <c r="AB50" s="14" t="s">
        <v>11</v>
      </c>
      <c r="AC50" s="14" t="s">
        <v>11</v>
      </c>
      <c r="AD50" s="14" t="s">
        <v>11</v>
      </c>
      <c r="AE50" s="14" t="s">
        <v>11</v>
      </c>
      <c r="AF50" s="14" t="s">
        <v>13</v>
      </c>
      <c r="AG50" s="14" t="s">
        <v>11</v>
      </c>
      <c r="AH50" s="14" t="s">
        <v>11</v>
      </c>
      <c r="AI50" s="14" t="s">
        <v>11</v>
      </c>
      <c r="AJ50" s="14" t="s">
        <v>11</v>
      </c>
      <c r="AK50" s="14" t="s">
        <v>11</v>
      </c>
      <c r="AL50" s="14" t="str">
        <f t="shared" si="35"/>
        <v>T</v>
      </c>
      <c r="AM50" s="14" t="str">
        <f t="shared" si="52"/>
        <v>T</v>
      </c>
      <c r="AN50" s="14" t="str">
        <f t="shared" si="37"/>
        <v/>
      </c>
      <c r="AO50" s="14" t="str">
        <f t="shared" si="53"/>
        <v/>
      </c>
      <c r="AP50" s="14" t="str">
        <f t="shared" si="54"/>
        <v/>
      </c>
      <c r="AQ50" s="14" t="str">
        <f t="shared" si="31"/>
        <v/>
      </c>
      <c r="AR50" s="15">
        <f t="shared" si="55"/>
        <v>0</v>
      </c>
      <c r="AT50" s="17">
        <f t="shared" si="19"/>
        <v>0</v>
      </c>
    </row>
    <row r="51" spans="2:46" x14ac:dyDescent="0.2">
      <c r="B51" s="16"/>
      <c r="C51" s="15" t="s">
        <v>53</v>
      </c>
      <c r="D51" s="30" t="str">
        <f t="shared" si="32"/>
        <v/>
      </c>
      <c r="E51" s="14" t="str">
        <f t="shared" ref="E51:E111" si="56">MID(D51,E$3,IF(ISERR(SEARCH(" ",D51,E$3)),1000,SEARCH(" ",D51,E$3))-E$3)</f>
        <v/>
      </c>
      <c r="F51" s="14" t="str">
        <f t="shared" ref="F51:F111" si="57">MID(D51,LEN(E51)+F$3,IF(ISERR(SEARCH(" ",D51,LEN(E51)+F$3)),1000,SEARCH(" ",D51,LEN(E51)+F$3)-LEN(E51)-F$3))</f>
        <v/>
      </c>
      <c r="G51" s="14" t="str">
        <f t="shared" ref="G51:G111" si="58">MID(D51,LEN(E51&amp;F51)+G$3,IF(ISERR(SEARCH(" ",D51,LEN(E51&amp;F51)+G$3)),1000,SEARCH(" ",D51,LEN(E51&amp;F51)+G$3)-LEN(E51&amp;F51)-G$3))</f>
        <v/>
      </c>
      <c r="H51" s="14" t="str">
        <f t="shared" ref="H51:H111" si="59">MID(D51,LEN(E51&amp;F51&amp;G51)+H$3,IF(ISERR(SEARCH(" ",D51,LEN(E51&amp;F51&amp;G51)+H$3)),1000,SEARCH(" ",D51,LEN(E51&amp;F51&amp;G51)+H$3)-LEN(E51&amp;F51&amp;G51)-H$3))</f>
        <v/>
      </c>
      <c r="I51" s="14" t="str">
        <f t="shared" ref="I51:I111" si="60">MID(D51,LEN(E51&amp;F51&amp;G51&amp;H51)+I$3,IF(ISERR(SEARCH(" ",D51,LEN(E51&amp;F51&amp;G51&amp;H51)+I$3)),1000,SEARCH(" ",D51,LEN(E51&amp;F51&amp;G51&amp;H51)+I$3)-LEN(E51&amp;F51&amp;G51&amp;H51)-I$3))</f>
        <v/>
      </c>
      <c r="J51" s="14" t="str">
        <f t="shared" ref="J51:J111" si="61">MID(D51,LEN(E51&amp;F51&amp;G51&amp;H51&amp;I51)+J$3,IF(ISERR(SEARCH(" ",D51,LEN(E51&amp;F51&amp;G51&amp;H51&amp;I51)+J$3)),1000,SEARCH(" ",D51,LEN(E51&amp;F51&amp;G51&amp;H51&amp;I51)+J$3)-LEN(E51&amp;F51&amp;G51&amp;H51&amp;I51)-J$3))</f>
        <v/>
      </c>
      <c r="K51" s="14" t="str">
        <f t="shared" ref="K51:K111" si="62">MID(D51,LEN(E51&amp;F51&amp;G51&amp;H51&amp;I51&amp;J51)+K$3,IF(ISERR(SEARCH(" ",D51,LEN(E51&amp;F51&amp;G51&amp;H51&amp;I51&amp;J51)+K$3)),1000,SEARCH(" ",D51,LEN(E51&amp;F51&amp;G51&amp;H51&amp;I51&amp;J51)+K$3)-LEN(E51&amp;F51&amp;G51&amp;H51&amp;I51&amp;J51)-K$3))</f>
        <v/>
      </c>
      <c r="L51" s="14" t="str">
        <f t="shared" ref="L51:L111" si="63">MID(D51,LEN(E51&amp;F51&amp;G51&amp;H51&amp;I51&amp;J51&amp;K51)+L$3,IF(ISERR(SEARCH(" ",D51,LEN(E51&amp;F51&amp;G51&amp;H51&amp;I51&amp;J51&amp;K51)+L$3)),1000,SEARCH(" ",D51,LEN(E51&amp;F51&amp;G51&amp;H51&amp;I51&amp;J51&amp;K51)+L$3)-LEN(E51&amp;F51&amp;G51&amp;H51&amp;I51&amp;J51&amp;K51)-L$3))</f>
        <v/>
      </c>
      <c r="M51" s="14" t="str">
        <f t="shared" ref="M51:M111" si="64">MID(D51,LEN(E51&amp;F51&amp;G51&amp;H51&amp;I51&amp;J51&amp;K51&amp;L51)+M$3,IF(ISERR(SEARCH(" ",D51,LEN(E51&amp;F51&amp;G51&amp;H51&amp;I51&amp;J51&amp;K51&amp;L51)+M$3)),1000,SEARCH(" ",D51,LEN(E51&amp;F51&amp;G51&amp;H51&amp;I51&amp;J51&amp;K51&amp;L51)+M$3)-LEN(E51&amp;F51&amp;G51&amp;H51&amp;I51&amp;J51&amp;K51&amp;L51)-M$3))</f>
        <v/>
      </c>
      <c r="N51" s="14" t="str">
        <f t="shared" ref="N51:N111" si="65">MID(D51,LEN(E51&amp;F51&amp;G51&amp;H51&amp;I51&amp;J51&amp;K51&amp;L51&amp;M51)+N$3,IF(ISERR(SEARCH(" ",D51,LEN(E51&amp;F51&amp;G51&amp;H51&amp;I51&amp;J51&amp;K51&amp;L51&amp;M51)+N$3)),1000,SEARCH(" ",D51,LEN(E51&amp;F51&amp;G51&amp;H51&amp;I51&amp;J51&amp;K51&amp;L51&amp;M51)+N$3)-LEN(E51&amp;F51&amp;G51&amp;H51&amp;I51&amp;J51&amp;K51&amp;L51&amp;M51)-N$3))</f>
        <v/>
      </c>
      <c r="O51" s="14" t="s">
        <v>11</v>
      </c>
      <c r="P51" s="14" t="s">
        <v>11</v>
      </c>
      <c r="Q51" s="14" t="s">
        <v>11</v>
      </c>
      <c r="R51" s="14" t="s">
        <v>13</v>
      </c>
      <c r="S51" s="14" t="s">
        <v>11</v>
      </c>
      <c r="T51" s="14" t="s">
        <v>11</v>
      </c>
      <c r="U51" s="14" t="s">
        <v>11</v>
      </c>
      <c r="V51" s="14" t="s">
        <v>11</v>
      </c>
      <c r="W51" s="14" t="s">
        <v>11</v>
      </c>
      <c r="X51" s="14" t="s">
        <v>11</v>
      </c>
      <c r="Y51" s="14" t="str">
        <f t="shared" si="33"/>
        <v/>
      </c>
      <c r="Z51" s="14" t="str">
        <f t="shared" si="50"/>
        <v/>
      </c>
      <c r="AA51" s="15">
        <f t="shared" si="51"/>
        <v>0</v>
      </c>
      <c r="AB51" s="14" t="s">
        <v>11</v>
      </c>
      <c r="AC51" s="14" t="s">
        <v>11</v>
      </c>
      <c r="AD51" s="14" t="s">
        <v>11</v>
      </c>
      <c r="AE51" s="14" t="s">
        <v>11</v>
      </c>
      <c r="AF51" s="14" t="s">
        <v>13</v>
      </c>
      <c r="AG51" s="14" t="s">
        <v>11</v>
      </c>
      <c r="AH51" s="14" t="s">
        <v>11</v>
      </c>
      <c r="AI51" s="14" t="s">
        <v>11</v>
      </c>
      <c r="AJ51" s="14" t="s">
        <v>11</v>
      </c>
      <c r="AK51" s="14" t="s">
        <v>11</v>
      </c>
      <c r="AL51" s="14" t="str">
        <f t="shared" si="35"/>
        <v>T</v>
      </c>
      <c r="AM51" s="14" t="str">
        <f t="shared" si="52"/>
        <v>T</v>
      </c>
      <c r="AN51" s="14" t="str">
        <f t="shared" si="37"/>
        <v/>
      </c>
      <c r="AO51" s="14" t="str">
        <f t="shared" si="53"/>
        <v/>
      </c>
      <c r="AP51" s="14" t="str">
        <f t="shared" si="54"/>
        <v/>
      </c>
      <c r="AQ51" s="14" t="str">
        <f t="shared" si="31"/>
        <v/>
      </c>
      <c r="AR51" s="15">
        <f t="shared" si="55"/>
        <v>0</v>
      </c>
      <c r="AT51" s="17">
        <f t="shared" si="19"/>
        <v>0</v>
      </c>
    </row>
    <row r="52" spans="2:46" x14ac:dyDescent="0.2">
      <c r="B52" s="16"/>
      <c r="C52" s="15" t="s">
        <v>53</v>
      </c>
      <c r="D52" s="30" t="str">
        <f t="shared" si="32"/>
        <v/>
      </c>
      <c r="E52" s="14" t="str">
        <f t="shared" si="56"/>
        <v/>
      </c>
      <c r="F52" s="14" t="str">
        <f t="shared" si="57"/>
        <v/>
      </c>
      <c r="G52" s="14" t="str">
        <f t="shared" si="58"/>
        <v/>
      </c>
      <c r="H52" s="14" t="str">
        <f t="shared" si="59"/>
        <v/>
      </c>
      <c r="I52" s="14" t="str">
        <f t="shared" si="60"/>
        <v/>
      </c>
      <c r="J52" s="14" t="str">
        <f t="shared" si="61"/>
        <v/>
      </c>
      <c r="K52" s="14" t="str">
        <f t="shared" si="62"/>
        <v/>
      </c>
      <c r="L52" s="14" t="str">
        <f t="shared" si="63"/>
        <v/>
      </c>
      <c r="M52" s="14" t="str">
        <f t="shared" si="64"/>
        <v/>
      </c>
      <c r="N52" s="14" t="str">
        <f t="shared" si="65"/>
        <v/>
      </c>
      <c r="O52" s="14" t="s">
        <v>11</v>
      </c>
      <c r="P52" s="14" t="s">
        <v>11</v>
      </c>
      <c r="Q52" s="14" t="s">
        <v>11</v>
      </c>
      <c r="R52" s="14" t="s">
        <v>13</v>
      </c>
      <c r="S52" s="14" t="s">
        <v>11</v>
      </c>
      <c r="T52" s="14" t="s">
        <v>11</v>
      </c>
      <c r="U52" s="14" t="s">
        <v>11</v>
      </c>
      <c r="V52" s="14" t="s">
        <v>11</v>
      </c>
      <c r="W52" s="14" t="s">
        <v>11</v>
      </c>
      <c r="X52" s="14" t="s">
        <v>11</v>
      </c>
      <c r="Y52" s="14" t="str">
        <f t="shared" si="33"/>
        <v/>
      </c>
      <c r="Z52" s="14" t="str">
        <f t="shared" si="50"/>
        <v/>
      </c>
      <c r="AA52" s="15">
        <f t="shared" si="51"/>
        <v>0</v>
      </c>
      <c r="AB52" s="14" t="s">
        <v>11</v>
      </c>
      <c r="AC52" s="14" t="s">
        <v>11</v>
      </c>
      <c r="AD52" s="14" t="s">
        <v>11</v>
      </c>
      <c r="AE52" s="14" t="s">
        <v>11</v>
      </c>
      <c r="AF52" s="14" t="s">
        <v>13</v>
      </c>
      <c r="AG52" s="14" t="s">
        <v>11</v>
      </c>
      <c r="AH52" s="14" t="s">
        <v>11</v>
      </c>
      <c r="AI52" s="14" t="s">
        <v>11</v>
      </c>
      <c r="AJ52" s="14" t="s">
        <v>11</v>
      </c>
      <c r="AK52" s="14" t="s">
        <v>11</v>
      </c>
      <c r="AL52" s="14" t="str">
        <f t="shared" si="35"/>
        <v>T</v>
      </c>
      <c r="AM52" s="14" t="str">
        <f t="shared" si="52"/>
        <v>T</v>
      </c>
      <c r="AN52" s="14" t="str">
        <f t="shared" si="37"/>
        <v/>
      </c>
      <c r="AO52" s="14" t="str">
        <f t="shared" si="53"/>
        <v/>
      </c>
      <c r="AP52" s="14" t="str">
        <f t="shared" si="54"/>
        <v/>
      </c>
      <c r="AQ52" s="14" t="str">
        <f t="shared" si="31"/>
        <v/>
      </c>
      <c r="AR52" s="15">
        <f t="shared" si="55"/>
        <v>0</v>
      </c>
      <c r="AT52" s="17">
        <f t="shared" si="19"/>
        <v>0</v>
      </c>
    </row>
    <row r="53" spans="2:46" x14ac:dyDescent="0.2">
      <c r="B53" s="16"/>
      <c r="C53" s="15" t="s">
        <v>53</v>
      </c>
      <c r="D53" s="30" t="str">
        <f t="shared" si="32"/>
        <v/>
      </c>
      <c r="E53" s="14" t="str">
        <f t="shared" si="56"/>
        <v/>
      </c>
      <c r="F53" s="14" t="str">
        <f t="shared" si="57"/>
        <v/>
      </c>
      <c r="G53" s="14" t="str">
        <f t="shared" si="58"/>
        <v/>
      </c>
      <c r="H53" s="14" t="str">
        <f t="shared" si="59"/>
        <v/>
      </c>
      <c r="I53" s="14" t="str">
        <f t="shared" si="60"/>
        <v/>
      </c>
      <c r="J53" s="14" t="str">
        <f t="shared" si="61"/>
        <v/>
      </c>
      <c r="K53" s="14" t="str">
        <f t="shared" si="62"/>
        <v/>
      </c>
      <c r="L53" s="14" t="str">
        <f t="shared" si="63"/>
        <v/>
      </c>
      <c r="M53" s="14" t="str">
        <f t="shared" si="64"/>
        <v/>
      </c>
      <c r="N53" s="14" t="str">
        <f t="shared" si="65"/>
        <v/>
      </c>
      <c r="O53" s="14" t="s">
        <v>11</v>
      </c>
      <c r="P53" s="14" t="s">
        <v>11</v>
      </c>
      <c r="Q53" s="14" t="s">
        <v>11</v>
      </c>
      <c r="R53" s="14" t="s">
        <v>13</v>
      </c>
      <c r="S53" s="14" t="s">
        <v>11</v>
      </c>
      <c r="T53" s="14" t="s">
        <v>11</v>
      </c>
      <c r="U53" s="14" t="s">
        <v>11</v>
      </c>
      <c r="V53" s="14" t="s">
        <v>11</v>
      </c>
      <c r="W53" s="14" t="s">
        <v>11</v>
      </c>
      <c r="X53" s="14" t="s">
        <v>11</v>
      </c>
      <c r="Y53" s="14" t="str">
        <f t="shared" si="33"/>
        <v/>
      </c>
      <c r="Z53" s="14" t="str">
        <f t="shared" ref="Z53:Z113" si="66">IF(OR(C53="E",C53="A"),Y53&amp;IF(T53="X",IF(J53&lt;&gt;"",IF(ISERROR(VLOOKUP(J53,ListaThesaurus,2,FALSE)),"***",J53),""),"")&amp;IF(U53="X",IF(K53&lt;&gt;"",IF(ISERROR(VLOOKUP(K53,ListaThesaurus,2,FALSE)),"***",K53),""),"")&amp;IF(V53="X",IF(L53&lt;&gt;"",IF(ISERROR(VLOOKUP(L53,ListaThesaurus,2,FALSE)),"***",L53),""),"")&amp;IF(W53="X",IF(M53&lt;&gt;"",IF(ISERROR(VLOOKUP(M53,ListaThesaurus,2,FALSE)),"***",M53),""),"")&amp;IF(X53="X",IF(N53&lt;&gt;"",IF(ISERROR(VLOOKUP(N53,ListaThesaurus,2,FALSE)),"***",N53),""),""),"")</f>
        <v/>
      </c>
      <c r="AA53" s="15">
        <f t="shared" si="51"/>
        <v>0</v>
      </c>
      <c r="AB53" s="14" t="s">
        <v>11</v>
      </c>
      <c r="AC53" s="14" t="s">
        <v>11</v>
      </c>
      <c r="AD53" s="14" t="s">
        <v>11</v>
      </c>
      <c r="AE53" s="14" t="s">
        <v>41</v>
      </c>
      <c r="AF53" s="14" t="s">
        <v>41</v>
      </c>
      <c r="AG53" s="14" t="s">
        <v>11</v>
      </c>
      <c r="AH53" s="14" t="s">
        <v>11</v>
      </c>
      <c r="AI53" s="14" t="s">
        <v>11</v>
      </c>
      <c r="AJ53" s="14" t="s">
        <v>11</v>
      </c>
      <c r="AK53" s="14" t="s">
        <v>11</v>
      </c>
      <c r="AL53" s="14" t="str">
        <f t="shared" si="35"/>
        <v>T</v>
      </c>
      <c r="AM53" s="14" t="str">
        <f t="shared" ref="AM53:AM113" si="67">AL53&amp;IF(AG53="X",IF(J53&lt;&gt;"",IF(OR(AB53="X",AC53="X",AD53="X",AE53="X",AF53="X"),"_","")&amp;IF(ISERROR(VLOOKUP(J53,ListaThesaurus,2,FALSE)),"***",VLOOKUP(J53,ListaThesaurus,2,FALSE)),""),"")&amp;IF(AH53="X",IF(K53&lt;&gt;"",IF(OR(AB53="X",AC53="X",AD53="X",AE53="X",AF53="X",AG53="X"),"_","")&amp;IF(ISERROR(VLOOKUP(K53,ListaThesaurus,2,FALSE)),"***",VLOOKUP(K53,ListaThesaurus,2,FALSE)),""),"")&amp;IF(AI53="X",IF(L53&lt;&gt;"",IF(OR(AB53="X",AC53="X",AD53="X",AE53="X",AF53="X",AG53="X",AH53="X"),"_","")&amp;IF(ISERROR(VLOOKUP(L53,ListaThesaurus,2,FALSE)),"***",VLOOKUP(L53,ListaThesaurus,2,FALSE)),""),"")&amp;IF(AJ53="X",IF(M53&lt;&gt;"",IF(OR(AB53="X",AC53="X",AD53="X",AE53="X",AF53="X",AG53="X",AH53="X",AI53="X"),"_","")&amp;IF(ISERROR(VLOOKUP(M53,ListaThesaurus,2,FALSE)),"***",VLOOKUP(M53,ListaThesaurus,2,FALSE)),""),"")&amp;IF(AK53="X",IF(N53&lt;&gt;"",IF(OR(AB53="X",AC53="X",AD53="X",AE53="X",AF53="X",AG53="X",AH53="X",AI53="X",AJ53="X"),"_","")&amp;IF(ISERROR(VLOOKUP(N53,ListaThesaurus,2,FALSE)),"***",VLOOKUP(N53,ListaThesaurus,2,FALSE)),""),"")</f>
        <v>T</v>
      </c>
      <c r="AN53" s="14" t="str">
        <f t="shared" si="37"/>
        <v/>
      </c>
      <c r="AO53" s="14" t="str">
        <f t="shared" ref="AO53:AO113" si="68">AN53&amp;IF(AG53="X",IF(J53&lt;&gt;"",IF(OR(AC53="X",AD53="X",AE53="X",AF53="X"),"_","")&amp;IF(ISERROR(VLOOKUP(J53,ListaThesaurus,2,FALSE)),"***",VLOOKUP(J53,ListaThesaurus,2,FALSE)),""),"")&amp;IF(AH53="X",IF(K53&lt;&gt;"",IF(OR(AC53="X",AD53="X",AE53="X",AF53="X",AG53="X"),"_","")&amp;IF(ISERROR(VLOOKUP(K53,ListaThesaurus,2,FALSE)),"***",VLOOKUP(K53,ListaThesaurus,2,FALSE)),""),"")&amp;IF(AI53="X",IF(L53&lt;&gt;"",IF(OR(AC53="X",AD53="X",AE53="X",AF53="X",AG53="X",AH53="X"),"_","")&amp;IF(ISERROR(VLOOKUP(L53,ListaThesaurus,2,FALSE)),"***",VLOOKUP(L53,ListaThesaurus,2,FALSE)),""),"")&amp;IF(AJ53="X",IF(M53&lt;&gt;"",IF(OR(AC53="X",AD53="X",AE53="X",AF53="X",AG53="X",AH53="X",AI53="X"),"_","")&amp;IF(ISERROR(VLOOKUP(M53,ListaThesaurus,2,FALSE)),"***",VLOOKUP(M53,ListaThesaurus,2,FALSE)),""),"")&amp;IF(AK53="X",IF(N53&lt;&gt;"",IF(OR(AC53="X",AD53="X",AE53="X",AF53="X",AG53="X",AH53="X",AI53="X",AJ53="X"),"_","")&amp;IF(ISERROR(VLOOKUP(N53,ListaThesaurus,2,FALSE)),"***",VLOOKUP(N53,ListaThesaurus,2,FALSE)),""),"")</f>
        <v/>
      </c>
      <c r="AP53" s="14" t="str">
        <f t="shared" ref="AP53:AP113" si="69">IF(C53="A",AO53,IF(C53="E",AM53,""))</f>
        <v/>
      </c>
      <c r="AQ53" s="14" t="str">
        <f t="shared" si="31"/>
        <v/>
      </c>
      <c r="AR53" s="15">
        <f t="shared" si="55"/>
        <v>0</v>
      </c>
      <c r="AT53" s="17">
        <f t="shared" si="19"/>
        <v>0</v>
      </c>
    </row>
    <row r="54" spans="2:46" x14ac:dyDescent="0.2">
      <c r="B54" s="16"/>
      <c r="C54" s="15" t="s">
        <v>53</v>
      </c>
      <c r="D54" s="30" t="str">
        <f t="shared" si="32"/>
        <v/>
      </c>
      <c r="E54" s="14" t="str">
        <f t="shared" si="56"/>
        <v/>
      </c>
      <c r="F54" s="14" t="str">
        <f t="shared" si="57"/>
        <v/>
      </c>
      <c r="G54" s="14" t="str">
        <f t="shared" si="58"/>
        <v/>
      </c>
      <c r="H54" s="14" t="str">
        <f t="shared" si="59"/>
        <v/>
      </c>
      <c r="I54" s="14" t="str">
        <f t="shared" si="60"/>
        <v/>
      </c>
      <c r="J54" s="14" t="str">
        <f t="shared" si="61"/>
        <v/>
      </c>
      <c r="K54" s="14" t="str">
        <f t="shared" si="62"/>
        <v/>
      </c>
      <c r="L54" s="14" t="str">
        <f t="shared" si="63"/>
        <v/>
      </c>
      <c r="M54" s="14" t="str">
        <f t="shared" si="64"/>
        <v/>
      </c>
      <c r="N54" s="14" t="str">
        <f t="shared" si="65"/>
        <v/>
      </c>
      <c r="O54" s="14" t="s">
        <v>11</v>
      </c>
      <c r="P54" s="14" t="s">
        <v>11</v>
      </c>
      <c r="Q54" s="14" t="s">
        <v>11</v>
      </c>
      <c r="R54" s="14" t="s">
        <v>13</v>
      </c>
      <c r="S54" s="14" t="s">
        <v>11</v>
      </c>
      <c r="T54" s="14" t="s">
        <v>11</v>
      </c>
      <c r="U54" s="14" t="s">
        <v>11</v>
      </c>
      <c r="V54" s="14" t="s">
        <v>11</v>
      </c>
      <c r="W54" s="14" t="s">
        <v>11</v>
      </c>
      <c r="X54" s="14" t="s">
        <v>11</v>
      </c>
      <c r="Y54" s="14" t="str">
        <f t="shared" si="33"/>
        <v/>
      </c>
      <c r="Z54" s="14" t="str">
        <f t="shared" si="66"/>
        <v/>
      </c>
      <c r="AA54" s="15">
        <f t="shared" si="51"/>
        <v>0</v>
      </c>
      <c r="AB54" s="14" t="s">
        <v>11</v>
      </c>
      <c r="AC54" s="14" t="s">
        <v>11</v>
      </c>
      <c r="AD54" s="14" t="s">
        <v>11</v>
      </c>
      <c r="AE54" s="14" t="s">
        <v>11</v>
      </c>
      <c r="AF54" s="14" t="s">
        <v>13</v>
      </c>
      <c r="AG54" s="14" t="s">
        <v>11</v>
      </c>
      <c r="AH54" s="14" t="s">
        <v>11</v>
      </c>
      <c r="AI54" s="14" t="s">
        <v>11</v>
      </c>
      <c r="AJ54" s="14" t="s">
        <v>11</v>
      </c>
      <c r="AK54" s="14" t="s">
        <v>11</v>
      </c>
      <c r="AL54" s="14" t="str">
        <f t="shared" si="35"/>
        <v>T</v>
      </c>
      <c r="AM54" s="14" t="str">
        <f t="shared" si="67"/>
        <v>T</v>
      </c>
      <c r="AN54" s="14" t="str">
        <f t="shared" si="37"/>
        <v/>
      </c>
      <c r="AO54" s="14" t="str">
        <f t="shared" si="68"/>
        <v/>
      </c>
      <c r="AP54" s="14" t="str">
        <f t="shared" si="69"/>
        <v/>
      </c>
      <c r="AQ54" s="14" t="str">
        <f t="shared" si="31"/>
        <v/>
      </c>
      <c r="AR54" s="15">
        <f t="shared" si="55"/>
        <v>0</v>
      </c>
      <c r="AT54" s="17">
        <f t="shared" si="19"/>
        <v>0</v>
      </c>
    </row>
    <row r="55" spans="2:46" x14ac:dyDescent="0.2">
      <c r="B55" s="16"/>
      <c r="C55" s="15" t="s">
        <v>53</v>
      </c>
      <c r="D55" s="30" t="str">
        <f t="shared" si="32"/>
        <v/>
      </c>
      <c r="E55" s="14" t="str">
        <f t="shared" si="56"/>
        <v/>
      </c>
      <c r="F55" s="14" t="str">
        <f t="shared" si="57"/>
        <v/>
      </c>
      <c r="G55" s="14" t="str">
        <f t="shared" si="58"/>
        <v/>
      </c>
      <c r="H55" s="14" t="str">
        <f t="shared" si="59"/>
        <v/>
      </c>
      <c r="I55" s="14" t="str">
        <f t="shared" si="60"/>
        <v/>
      </c>
      <c r="J55" s="14" t="str">
        <f t="shared" si="61"/>
        <v/>
      </c>
      <c r="K55" s="14" t="str">
        <f t="shared" si="62"/>
        <v/>
      </c>
      <c r="L55" s="14" t="str">
        <f t="shared" si="63"/>
        <v/>
      </c>
      <c r="M55" s="14" t="str">
        <f t="shared" si="64"/>
        <v/>
      </c>
      <c r="N55" s="14" t="str">
        <f t="shared" si="65"/>
        <v/>
      </c>
      <c r="O55" s="14" t="s">
        <v>11</v>
      </c>
      <c r="P55" s="14" t="s">
        <v>11</v>
      </c>
      <c r="Q55" s="14" t="s">
        <v>11</v>
      </c>
      <c r="R55" s="14" t="s">
        <v>13</v>
      </c>
      <c r="S55" s="14" t="s">
        <v>11</v>
      </c>
      <c r="T55" s="14" t="s">
        <v>11</v>
      </c>
      <c r="U55" s="14" t="s">
        <v>11</v>
      </c>
      <c r="V55" s="14" t="s">
        <v>11</v>
      </c>
      <c r="W55" s="14" t="s">
        <v>11</v>
      </c>
      <c r="X55" s="14" t="s">
        <v>11</v>
      </c>
      <c r="Y55" s="14" t="str">
        <f t="shared" si="33"/>
        <v/>
      </c>
      <c r="Z55" s="14" t="str">
        <f t="shared" si="66"/>
        <v/>
      </c>
      <c r="AA55" s="15">
        <f t="shared" si="51"/>
        <v>0</v>
      </c>
      <c r="AB55" s="14" t="s">
        <v>11</v>
      </c>
      <c r="AC55" s="14" t="s">
        <v>11</v>
      </c>
      <c r="AD55" s="14" t="s">
        <v>41</v>
      </c>
      <c r="AE55" s="14" t="s">
        <v>11</v>
      </c>
      <c r="AF55" s="14" t="s">
        <v>13</v>
      </c>
      <c r="AG55" s="14" t="s">
        <v>11</v>
      </c>
      <c r="AH55" s="14" t="s">
        <v>11</v>
      </c>
      <c r="AI55" s="14" t="s">
        <v>11</v>
      </c>
      <c r="AJ55" s="14" t="s">
        <v>11</v>
      </c>
      <c r="AK55" s="14" t="s">
        <v>11</v>
      </c>
      <c r="AL55" s="14" t="str">
        <f t="shared" si="35"/>
        <v>T</v>
      </c>
      <c r="AM55" s="14" t="str">
        <f t="shared" si="67"/>
        <v>T</v>
      </c>
      <c r="AN55" s="14" t="str">
        <f t="shared" si="37"/>
        <v/>
      </c>
      <c r="AO55" s="14" t="str">
        <f t="shared" si="68"/>
        <v/>
      </c>
      <c r="AP55" s="14" t="str">
        <f t="shared" si="69"/>
        <v/>
      </c>
      <c r="AQ55" s="14" t="str">
        <f t="shared" si="31"/>
        <v/>
      </c>
      <c r="AR55" s="15">
        <f t="shared" si="55"/>
        <v>0</v>
      </c>
      <c r="AT55" s="17">
        <f t="shared" si="19"/>
        <v>0</v>
      </c>
    </row>
    <row r="56" spans="2:46" x14ac:dyDescent="0.2">
      <c r="B56" s="16"/>
      <c r="C56" s="15" t="s">
        <v>53</v>
      </c>
      <c r="D56" s="30" t="str">
        <f t="shared" si="32"/>
        <v/>
      </c>
      <c r="E56" s="14" t="str">
        <f t="shared" si="56"/>
        <v/>
      </c>
      <c r="F56" s="14" t="str">
        <f t="shared" si="57"/>
        <v/>
      </c>
      <c r="G56" s="14" t="str">
        <f t="shared" si="58"/>
        <v/>
      </c>
      <c r="H56" s="14" t="str">
        <f t="shared" si="59"/>
        <v/>
      </c>
      <c r="I56" s="14" t="str">
        <f t="shared" si="60"/>
        <v/>
      </c>
      <c r="J56" s="14" t="str">
        <f t="shared" si="61"/>
        <v/>
      </c>
      <c r="K56" s="14" t="str">
        <f t="shared" si="62"/>
        <v/>
      </c>
      <c r="L56" s="14" t="str">
        <f t="shared" si="63"/>
        <v/>
      </c>
      <c r="M56" s="14" t="str">
        <f t="shared" si="64"/>
        <v/>
      </c>
      <c r="N56" s="14" t="str">
        <f t="shared" si="65"/>
        <v/>
      </c>
      <c r="O56" s="14" t="s">
        <v>11</v>
      </c>
      <c r="P56" s="14" t="s">
        <v>11</v>
      </c>
      <c r="Q56" s="14" t="s">
        <v>11</v>
      </c>
      <c r="R56" s="14" t="s">
        <v>13</v>
      </c>
      <c r="S56" s="14" t="s">
        <v>11</v>
      </c>
      <c r="T56" s="14" t="s">
        <v>11</v>
      </c>
      <c r="U56" s="14" t="s">
        <v>11</v>
      </c>
      <c r="V56" s="14" t="s">
        <v>11</v>
      </c>
      <c r="W56" s="14" t="s">
        <v>11</v>
      </c>
      <c r="X56" s="14" t="s">
        <v>11</v>
      </c>
      <c r="Y56" s="14" t="str">
        <f t="shared" si="33"/>
        <v/>
      </c>
      <c r="Z56" s="14" t="str">
        <f t="shared" si="66"/>
        <v/>
      </c>
      <c r="AA56" s="15">
        <f t="shared" si="51"/>
        <v>0</v>
      </c>
      <c r="AB56" s="14" t="s">
        <v>11</v>
      </c>
      <c r="AC56" s="14" t="s">
        <v>11</v>
      </c>
      <c r="AD56" s="14" t="s">
        <v>11</v>
      </c>
      <c r="AE56" s="14" t="s">
        <v>11</v>
      </c>
      <c r="AF56" s="14" t="s">
        <v>13</v>
      </c>
      <c r="AG56" s="14" t="s">
        <v>11</v>
      </c>
      <c r="AH56" s="14" t="s">
        <v>11</v>
      </c>
      <c r="AI56" s="14" t="s">
        <v>11</v>
      </c>
      <c r="AJ56" s="14" t="s">
        <v>11</v>
      </c>
      <c r="AK56" s="14" t="s">
        <v>11</v>
      </c>
      <c r="AL56" s="14" t="str">
        <f t="shared" si="35"/>
        <v>T</v>
      </c>
      <c r="AM56" s="14" t="str">
        <f t="shared" si="67"/>
        <v>T</v>
      </c>
      <c r="AN56" s="14" t="str">
        <f t="shared" si="37"/>
        <v/>
      </c>
      <c r="AO56" s="14" t="str">
        <f t="shared" si="68"/>
        <v/>
      </c>
      <c r="AP56" s="14" t="str">
        <f t="shared" si="69"/>
        <v/>
      </c>
      <c r="AQ56" s="14" t="str">
        <f t="shared" si="31"/>
        <v/>
      </c>
      <c r="AR56" s="15">
        <f t="shared" si="55"/>
        <v>0</v>
      </c>
      <c r="AT56" s="17">
        <f t="shared" si="19"/>
        <v>0</v>
      </c>
    </row>
    <row r="57" spans="2:46" x14ac:dyDescent="0.2">
      <c r="B57" s="16"/>
      <c r="C57" s="15" t="s">
        <v>53</v>
      </c>
      <c r="D57" s="30" t="str">
        <f t="shared" si="32"/>
        <v/>
      </c>
      <c r="E57" s="14" t="str">
        <f t="shared" si="56"/>
        <v/>
      </c>
      <c r="F57" s="14" t="str">
        <f t="shared" si="57"/>
        <v/>
      </c>
      <c r="G57" s="14" t="str">
        <f t="shared" si="58"/>
        <v/>
      </c>
      <c r="H57" s="14" t="str">
        <f t="shared" si="59"/>
        <v/>
      </c>
      <c r="I57" s="14" t="str">
        <f t="shared" si="60"/>
        <v/>
      </c>
      <c r="J57" s="14" t="str">
        <f t="shared" si="61"/>
        <v/>
      </c>
      <c r="K57" s="14" t="str">
        <f t="shared" si="62"/>
        <v/>
      </c>
      <c r="L57" s="14" t="str">
        <f t="shared" si="63"/>
        <v/>
      </c>
      <c r="M57" s="14" t="str">
        <f t="shared" si="64"/>
        <v/>
      </c>
      <c r="N57" s="14" t="str">
        <f t="shared" si="65"/>
        <v/>
      </c>
      <c r="O57" s="14" t="s">
        <v>11</v>
      </c>
      <c r="P57" s="14" t="s">
        <v>11</v>
      </c>
      <c r="Q57" s="14" t="s">
        <v>11</v>
      </c>
      <c r="R57" s="14" t="s">
        <v>13</v>
      </c>
      <c r="S57" s="14" t="s">
        <v>11</v>
      </c>
      <c r="T57" s="14" t="s">
        <v>11</v>
      </c>
      <c r="U57" s="14" t="s">
        <v>11</v>
      </c>
      <c r="V57" s="14" t="s">
        <v>11</v>
      </c>
      <c r="W57" s="14" t="s">
        <v>11</v>
      </c>
      <c r="X57" s="14" t="s">
        <v>11</v>
      </c>
      <c r="Y57" s="14" t="str">
        <f t="shared" si="33"/>
        <v/>
      </c>
      <c r="Z57" s="14" t="str">
        <f t="shared" si="66"/>
        <v/>
      </c>
      <c r="AA57" s="15">
        <f t="shared" si="51"/>
        <v>0</v>
      </c>
      <c r="AB57" s="14" t="s">
        <v>11</v>
      </c>
      <c r="AC57" s="14" t="s">
        <v>41</v>
      </c>
      <c r="AD57" s="14" t="s">
        <v>11</v>
      </c>
      <c r="AE57" s="14" t="s">
        <v>11</v>
      </c>
      <c r="AF57" s="14" t="s">
        <v>13</v>
      </c>
      <c r="AG57" s="14" t="s">
        <v>11</v>
      </c>
      <c r="AH57" s="14" t="s">
        <v>11</v>
      </c>
      <c r="AI57" s="14" t="s">
        <v>11</v>
      </c>
      <c r="AJ57" s="14" t="s">
        <v>11</v>
      </c>
      <c r="AK57" s="14" t="s">
        <v>11</v>
      </c>
      <c r="AL57" s="14" t="str">
        <f t="shared" si="35"/>
        <v>T</v>
      </c>
      <c r="AM57" s="14" t="str">
        <f t="shared" si="67"/>
        <v>T</v>
      </c>
      <c r="AN57" s="14" t="str">
        <f t="shared" si="37"/>
        <v/>
      </c>
      <c r="AO57" s="14" t="str">
        <f t="shared" si="68"/>
        <v/>
      </c>
      <c r="AP57" s="14" t="str">
        <f t="shared" si="69"/>
        <v/>
      </c>
      <c r="AQ57" s="14" t="str">
        <f t="shared" si="31"/>
        <v/>
      </c>
      <c r="AR57" s="15">
        <f t="shared" si="55"/>
        <v>0</v>
      </c>
      <c r="AT57" s="17">
        <f t="shared" si="19"/>
        <v>0</v>
      </c>
    </row>
    <row r="58" spans="2:46" x14ac:dyDescent="0.2">
      <c r="B58" s="16"/>
      <c r="C58" s="15" t="s">
        <v>53</v>
      </c>
      <c r="D58" s="30" t="str">
        <f t="shared" si="32"/>
        <v/>
      </c>
      <c r="E58" s="14" t="str">
        <f t="shared" si="56"/>
        <v/>
      </c>
      <c r="F58" s="14" t="str">
        <f t="shared" si="57"/>
        <v/>
      </c>
      <c r="G58" s="14" t="str">
        <f t="shared" si="58"/>
        <v/>
      </c>
      <c r="H58" s="14" t="str">
        <f t="shared" si="59"/>
        <v/>
      </c>
      <c r="I58" s="14" t="str">
        <f t="shared" si="60"/>
        <v/>
      </c>
      <c r="J58" s="14" t="str">
        <f t="shared" si="61"/>
        <v/>
      </c>
      <c r="K58" s="14" t="str">
        <f t="shared" si="62"/>
        <v/>
      </c>
      <c r="L58" s="14" t="str">
        <f t="shared" si="63"/>
        <v/>
      </c>
      <c r="M58" s="14" t="str">
        <f t="shared" si="64"/>
        <v/>
      </c>
      <c r="N58" s="14" t="str">
        <f t="shared" si="65"/>
        <v/>
      </c>
      <c r="O58" s="14" t="s">
        <v>11</v>
      </c>
      <c r="P58" s="14" t="s">
        <v>11</v>
      </c>
      <c r="Q58" s="14" t="s">
        <v>11</v>
      </c>
      <c r="R58" s="14" t="s">
        <v>13</v>
      </c>
      <c r="S58" s="14" t="s">
        <v>11</v>
      </c>
      <c r="T58" s="14" t="s">
        <v>11</v>
      </c>
      <c r="U58" s="14" t="s">
        <v>11</v>
      </c>
      <c r="V58" s="14" t="s">
        <v>11</v>
      </c>
      <c r="W58" s="14" t="s">
        <v>11</v>
      </c>
      <c r="X58" s="14" t="s">
        <v>11</v>
      </c>
      <c r="Y58" s="14" t="str">
        <f t="shared" si="33"/>
        <v/>
      </c>
      <c r="Z58" s="14" t="str">
        <f t="shared" si="66"/>
        <v/>
      </c>
      <c r="AA58" s="15">
        <f t="shared" si="51"/>
        <v>0</v>
      </c>
      <c r="AB58" s="14" t="s">
        <v>11</v>
      </c>
      <c r="AC58" s="14" t="s">
        <v>11</v>
      </c>
      <c r="AD58" s="14" t="s">
        <v>11</v>
      </c>
      <c r="AE58" s="14" t="s">
        <v>11</v>
      </c>
      <c r="AF58" s="14" t="s">
        <v>13</v>
      </c>
      <c r="AG58" s="14" t="s">
        <v>11</v>
      </c>
      <c r="AH58" s="14" t="s">
        <v>11</v>
      </c>
      <c r="AI58" s="14" t="s">
        <v>11</v>
      </c>
      <c r="AJ58" s="14" t="s">
        <v>11</v>
      </c>
      <c r="AK58" s="14" t="s">
        <v>11</v>
      </c>
      <c r="AL58" s="14" t="str">
        <f t="shared" si="35"/>
        <v>T</v>
      </c>
      <c r="AM58" s="14" t="str">
        <f t="shared" si="67"/>
        <v>T</v>
      </c>
      <c r="AN58" s="14" t="str">
        <f t="shared" si="37"/>
        <v/>
      </c>
      <c r="AO58" s="14" t="str">
        <f t="shared" si="68"/>
        <v/>
      </c>
      <c r="AP58" s="14" t="str">
        <f>IF(C58="A",AO58,IF(C58="E",AM58,""))</f>
        <v/>
      </c>
      <c r="AQ58" s="14" t="str">
        <f t="shared" si="31"/>
        <v/>
      </c>
      <c r="AR58" s="15">
        <f t="shared" si="55"/>
        <v>0</v>
      </c>
      <c r="AT58" s="17">
        <f t="shared" si="19"/>
        <v>0</v>
      </c>
    </row>
    <row r="59" spans="2:46" x14ac:dyDescent="0.2">
      <c r="B59" s="16"/>
      <c r="C59" s="15" t="s">
        <v>53</v>
      </c>
      <c r="D59" s="30" t="str">
        <f t="shared" si="32"/>
        <v/>
      </c>
      <c r="E59" s="14" t="str">
        <f t="shared" si="56"/>
        <v/>
      </c>
      <c r="F59" s="14" t="str">
        <f t="shared" si="57"/>
        <v/>
      </c>
      <c r="G59" s="14" t="str">
        <f t="shared" si="58"/>
        <v/>
      </c>
      <c r="H59" s="14" t="str">
        <f t="shared" si="59"/>
        <v/>
      </c>
      <c r="I59" s="14" t="str">
        <f t="shared" si="60"/>
        <v/>
      </c>
      <c r="J59" s="14" t="str">
        <f t="shared" si="61"/>
        <v/>
      </c>
      <c r="K59" s="14" t="str">
        <f t="shared" si="62"/>
        <v/>
      </c>
      <c r="L59" s="14" t="str">
        <f t="shared" si="63"/>
        <v/>
      </c>
      <c r="M59" s="14" t="str">
        <f t="shared" si="64"/>
        <v/>
      </c>
      <c r="N59" s="14" t="str">
        <f t="shared" si="65"/>
        <v/>
      </c>
      <c r="O59" s="14" t="s">
        <v>11</v>
      </c>
      <c r="P59" s="14" t="s">
        <v>11</v>
      </c>
      <c r="Q59" s="14" t="s">
        <v>11</v>
      </c>
      <c r="R59" s="14" t="s">
        <v>13</v>
      </c>
      <c r="S59" s="14" t="s">
        <v>11</v>
      </c>
      <c r="T59" s="14" t="s">
        <v>11</v>
      </c>
      <c r="U59" s="14" t="s">
        <v>11</v>
      </c>
      <c r="V59" s="14" t="s">
        <v>11</v>
      </c>
      <c r="W59" s="14" t="s">
        <v>11</v>
      </c>
      <c r="X59" s="14" t="s">
        <v>11</v>
      </c>
      <c r="Y59" s="14" t="str">
        <f t="shared" si="33"/>
        <v/>
      </c>
      <c r="Z59" s="14" t="str">
        <f t="shared" si="66"/>
        <v/>
      </c>
      <c r="AA59" s="15">
        <f t="shared" si="51"/>
        <v>0</v>
      </c>
      <c r="AB59" s="14" t="s">
        <v>11</v>
      </c>
      <c r="AC59" s="14" t="s">
        <v>11</v>
      </c>
      <c r="AD59" s="14" t="s">
        <v>11</v>
      </c>
      <c r="AE59" s="14" t="s">
        <v>11</v>
      </c>
      <c r="AF59" s="14" t="s">
        <v>13</v>
      </c>
      <c r="AG59" s="14" t="s">
        <v>11</v>
      </c>
      <c r="AH59" s="14" t="s">
        <v>11</v>
      </c>
      <c r="AI59" s="14" t="s">
        <v>11</v>
      </c>
      <c r="AJ59" s="14" t="s">
        <v>11</v>
      </c>
      <c r="AK59" s="14" t="s">
        <v>11</v>
      </c>
      <c r="AL59" s="14" t="str">
        <f t="shared" si="35"/>
        <v>T</v>
      </c>
      <c r="AM59" s="14" t="str">
        <f t="shared" si="67"/>
        <v>T</v>
      </c>
      <c r="AN59" s="14" t="str">
        <f t="shared" si="37"/>
        <v/>
      </c>
      <c r="AO59" s="14" t="str">
        <f t="shared" si="68"/>
        <v/>
      </c>
      <c r="AP59" s="14" t="str">
        <f t="shared" si="69"/>
        <v/>
      </c>
      <c r="AQ59" s="14" t="str">
        <f t="shared" si="31"/>
        <v/>
      </c>
      <c r="AR59" s="15">
        <f t="shared" si="55"/>
        <v>0</v>
      </c>
      <c r="AT59" s="17">
        <f t="shared" si="19"/>
        <v>0</v>
      </c>
    </row>
    <row r="60" spans="2:46" x14ac:dyDescent="0.2">
      <c r="B60" s="16"/>
      <c r="C60" s="15" t="s">
        <v>53</v>
      </c>
      <c r="D60" s="30" t="str">
        <f t="shared" si="32"/>
        <v/>
      </c>
      <c r="E60" s="14" t="str">
        <f t="shared" si="56"/>
        <v/>
      </c>
      <c r="F60" s="14" t="str">
        <f t="shared" si="57"/>
        <v/>
      </c>
      <c r="G60" s="14" t="str">
        <f t="shared" si="58"/>
        <v/>
      </c>
      <c r="H60" s="14" t="str">
        <f t="shared" si="59"/>
        <v/>
      </c>
      <c r="I60" s="14" t="str">
        <f t="shared" si="60"/>
        <v/>
      </c>
      <c r="J60" s="14" t="str">
        <f t="shared" si="61"/>
        <v/>
      </c>
      <c r="K60" s="14" t="str">
        <f t="shared" si="62"/>
        <v/>
      </c>
      <c r="L60" s="14" t="str">
        <f t="shared" si="63"/>
        <v/>
      </c>
      <c r="M60" s="14" t="str">
        <f t="shared" si="64"/>
        <v/>
      </c>
      <c r="N60" s="14" t="str">
        <f t="shared" si="65"/>
        <v/>
      </c>
      <c r="O60" s="14" t="s">
        <v>11</v>
      </c>
      <c r="P60" s="14" t="s">
        <v>11</v>
      </c>
      <c r="Q60" s="14" t="s">
        <v>11</v>
      </c>
      <c r="R60" s="14" t="s">
        <v>13</v>
      </c>
      <c r="S60" s="14" t="s">
        <v>11</v>
      </c>
      <c r="T60" s="14" t="s">
        <v>11</v>
      </c>
      <c r="U60" s="14" t="s">
        <v>11</v>
      </c>
      <c r="V60" s="14" t="s">
        <v>11</v>
      </c>
      <c r="W60" s="14" t="s">
        <v>11</v>
      </c>
      <c r="X60" s="14" t="s">
        <v>11</v>
      </c>
      <c r="Y60" s="14" t="str">
        <f t="shared" si="33"/>
        <v/>
      </c>
      <c r="Z60" s="14" t="str">
        <f t="shared" si="66"/>
        <v/>
      </c>
      <c r="AA60" s="15">
        <f t="shared" si="51"/>
        <v>0</v>
      </c>
      <c r="AB60" s="14" t="s">
        <v>11</v>
      </c>
      <c r="AC60" s="14" t="s">
        <v>11</v>
      </c>
      <c r="AD60" s="14" t="s">
        <v>11</v>
      </c>
      <c r="AE60" s="14" t="s">
        <v>11</v>
      </c>
      <c r="AF60" s="14" t="s">
        <v>13</v>
      </c>
      <c r="AG60" s="14" t="s">
        <v>11</v>
      </c>
      <c r="AH60" s="14" t="s">
        <v>11</v>
      </c>
      <c r="AI60" s="14" t="s">
        <v>11</v>
      </c>
      <c r="AJ60" s="14" t="s">
        <v>11</v>
      </c>
      <c r="AK60" s="14" t="s">
        <v>11</v>
      </c>
      <c r="AL60" s="14" t="str">
        <f t="shared" si="35"/>
        <v>T</v>
      </c>
      <c r="AM60" s="14" t="str">
        <f t="shared" si="67"/>
        <v>T</v>
      </c>
      <c r="AN60" s="14" t="str">
        <f t="shared" si="37"/>
        <v/>
      </c>
      <c r="AO60" s="14" t="str">
        <f t="shared" si="68"/>
        <v/>
      </c>
      <c r="AP60" s="14" t="str">
        <f t="shared" si="69"/>
        <v/>
      </c>
      <c r="AQ60" s="14" t="str">
        <f t="shared" si="31"/>
        <v/>
      </c>
      <c r="AR60" s="15">
        <f t="shared" si="55"/>
        <v>0</v>
      </c>
      <c r="AT60" s="17">
        <f t="shared" si="19"/>
        <v>0</v>
      </c>
    </row>
    <row r="61" spans="2:46" x14ac:dyDescent="0.2">
      <c r="B61" s="16"/>
      <c r="C61" s="15" t="s">
        <v>53</v>
      </c>
      <c r="D61" s="30" t="str">
        <f t="shared" si="32"/>
        <v/>
      </c>
      <c r="E61" s="14" t="str">
        <f t="shared" si="56"/>
        <v/>
      </c>
      <c r="F61" s="14" t="str">
        <f t="shared" si="57"/>
        <v/>
      </c>
      <c r="G61" s="14" t="str">
        <f t="shared" si="58"/>
        <v/>
      </c>
      <c r="H61" s="14" t="str">
        <f t="shared" si="59"/>
        <v/>
      </c>
      <c r="I61" s="14" t="str">
        <f t="shared" si="60"/>
        <v/>
      </c>
      <c r="J61" s="14" t="str">
        <f t="shared" si="61"/>
        <v/>
      </c>
      <c r="K61" s="14" t="str">
        <f t="shared" si="62"/>
        <v/>
      </c>
      <c r="L61" s="14" t="str">
        <f t="shared" si="63"/>
        <v/>
      </c>
      <c r="M61" s="14" t="str">
        <f t="shared" si="64"/>
        <v/>
      </c>
      <c r="N61" s="14" t="str">
        <f t="shared" si="65"/>
        <v/>
      </c>
      <c r="O61" s="14" t="s">
        <v>11</v>
      </c>
      <c r="P61" s="14" t="s">
        <v>11</v>
      </c>
      <c r="Q61" s="14" t="s">
        <v>11</v>
      </c>
      <c r="R61" s="14" t="s">
        <v>13</v>
      </c>
      <c r="S61" s="14" t="s">
        <v>11</v>
      </c>
      <c r="T61" s="14" t="s">
        <v>11</v>
      </c>
      <c r="U61" s="14" t="s">
        <v>11</v>
      </c>
      <c r="V61" s="14" t="s">
        <v>11</v>
      </c>
      <c r="W61" s="14" t="s">
        <v>11</v>
      </c>
      <c r="X61" s="14" t="s">
        <v>11</v>
      </c>
      <c r="Y61" s="14" t="str">
        <f t="shared" si="33"/>
        <v/>
      </c>
      <c r="Z61" s="14" t="str">
        <f t="shared" si="66"/>
        <v/>
      </c>
      <c r="AA61" s="15">
        <f t="shared" si="51"/>
        <v>0</v>
      </c>
      <c r="AB61" s="14" t="s">
        <v>11</v>
      </c>
      <c r="AC61" s="14" t="s">
        <v>11</v>
      </c>
      <c r="AD61" s="14" t="s">
        <v>11</v>
      </c>
      <c r="AE61" s="14" t="s">
        <v>11</v>
      </c>
      <c r="AF61" s="14" t="s">
        <v>13</v>
      </c>
      <c r="AG61" s="14" t="s">
        <v>11</v>
      </c>
      <c r="AH61" s="14" t="s">
        <v>11</v>
      </c>
      <c r="AI61" s="14" t="s">
        <v>11</v>
      </c>
      <c r="AJ61" s="14" t="s">
        <v>11</v>
      </c>
      <c r="AK61" s="14" t="s">
        <v>11</v>
      </c>
      <c r="AL61" s="14" t="str">
        <f t="shared" si="35"/>
        <v>T</v>
      </c>
      <c r="AM61" s="14" t="str">
        <f t="shared" si="67"/>
        <v>T</v>
      </c>
      <c r="AN61" s="14" t="str">
        <f t="shared" si="37"/>
        <v/>
      </c>
      <c r="AO61" s="14" t="str">
        <f t="shared" si="68"/>
        <v/>
      </c>
      <c r="AP61" s="14" t="str">
        <f t="shared" si="69"/>
        <v/>
      </c>
      <c r="AQ61" s="14" t="str">
        <f t="shared" si="31"/>
        <v/>
      </c>
      <c r="AR61" s="15">
        <f t="shared" si="55"/>
        <v>0</v>
      </c>
      <c r="AT61" s="17">
        <f t="shared" si="19"/>
        <v>0</v>
      </c>
    </row>
    <row r="62" spans="2:46" x14ac:dyDescent="0.2">
      <c r="B62" s="36"/>
      <c r="C62" s="15" t="s">
        <v>53</v>
      </c>
      <c r="D62" s="30" t="str">
        <f t="shared" si="32"/>
        <v/>
      </c>
      <c r="E62" s="14" t="str">
        <f t="shared" si="56"/>
        <v/>
      </c>
      <c r="F62" s="14" t="str">
        <f t="shared" si="57"/>
        <v/>
      </c>
      <c r="G62" s="14" t="str">
        <f t="shared" si="58"/>
        <v/>
      </c>
      <c r="H62" s="14" t="str">
        <f t="shared" si="59"/>
        <v/>
      </c>
      <c r="I62" s="14" t="str">
        <f t="shared" si="60"/>
        <v/>
      </c>
      <c r="J62" s="14" t="str">
        <f t="shared" si="61"/>
        <v/>
      </c>
      <c r="K62" s="14" t="str">
        <f t="shared" si="62"/>
        <v/>
      </c>
      <c r="L62" s="14" t="str">
        <f t="shared" si="63"/>
        <v/>
      </c>
      <c r="M62" s="14" t="str">
        <f t="shared" si="64"/>
        <v/>
      </c>
      <c r="N62" s="14" t="str">
        <f t="shared" si="65"/>
        <v/>
      </c>
      <c r="O62" s="14" t="s">
        <v>11</v>
      </c>
      <c r="P62" s="14" t="s">
        <v>11</v>
      </c>
      <c r="Q62" s="14" t="s">
        <v>11</v>
      </c>
      <c r="R62" s="14" t="s">
        <v>13</v>
      </c>
      <c r="S62" s="14" t="s">
        <v>11</v>
      </c>
      <c r="T62" s="14" t="s">
        <v>11</v>
      </c>
      <c r="U62" s="14" t="s">
        <v>11</v>
      </c>
      <c r="V62" s="14" t="s">
        <v>11</v>
      </c>
      <c r="W62" s="14" t="s">
        <v>11</v>
      </c>
      <c r="X62" s="14" t="s">
        <v>11</v>
      </c>
      <c r="Y62" s="14" t="str">
        <f t="shared" si="33"/>
        <v/>
      </c>
      <c r="Z62" s="14" t="str">
        <f t="shared" si="66"/>
        <v/>
      </c>
      <c r="AA62" s="15">
        <f t="shared" si="51"/>
        <v>0</v>
      </c>
      <c r="AB62" s="14" t="s">
        <v>11</v>
      </c>
      <c r="AC62" s="14" t="s">
        <v>41</v>
      </c>
      <c r="AD62" s="14" t="s">
        <v>41</v>
      </c>
      <c r="AE62" s="14" t="s">
        <v>11</v>
      </c>
      <c r="AF62" s="14" t="s">
        <v>13</v>
      </c>
      <c r="AG62" s="14" t="s">
        <v>11</v>
      </c>
      <c r="AH62" s="14" t="s">
        <v>11</v>
      </c>
      <c r="AI62" s="14" t="s">
        <v>11</v>
      </c>
      <c r="AJ62" s="14" t="s">
        <v>11</v>
      </c>
      <c r="AK62" s="14" t="s">
        <v>11</v>
      </c>
      <c r="AL62" s="14" t="str">
        <f t="shared" si="35"/>
        <v>T</v>
      </c>
      <c r="AM62" s="14" t="str">
        <f t="shared" si="67"/>
        <v>T</v>
      </c>
      <c r="AN62" s="14" t="str">
        <f t="shared" si="37"/>
        <v/>
      </c>
      <c r="AO62" s="14" t="str">
        <f t="shared" si="68"/>
        <v/>
      </c>
      <c r="AP62" s="14" t="str">
        <f t="shared" si="69"/>
        <v/>
      </c>
      <c r="AQ62" s="14" t="str">
        <f t="shared" si="31"/>
        <v/>
      </c>
      <c r="AR62" s="15">
        <f t="shared" si="55"/>
        <v>0</v>
      </c>
      <c r="AT62" s="17">
        <f t="shared" si="19"/>
        <v>0</v>
      </c>
    </row>
    <row r="63" spans="2:46" x14ac:dyDescent="0.2">
      <c r="B63" s="16"/>
      <c r="C63" s="15" t="s">
        <v>53</v>
      </c>
      <c r="D63" s="30" t="str">
        <f t="shared" si="32"/>
        <v/>
      </c>
      <c r="E63" s="14" t="str">
        <f t="shared" si="56"/>
        <v/>
      </c>
      <c r="F63" s="14" t="str">
        <f t="shared" si="57"/>
        <v/>
      </c>
      <c r="G63" s="14" t="str">
        <f t="shared" si="58"/>
        <v/>
      </c>
      <c r="H63" s="14" t="str">
        <f t="shared" si="59"/>
        <v/>
      </c>
      <c r="I63" s="14" t="str">
        <f t="shared" si="60"/>
        <v/>
      </c>
      <c r="J63" s="14" t="str">
        <f t="shared" si="61"/>
        <v/>
      </c>
      <c r="K63" s="14" t="str">
        <f t="shared" si="62"/>
        <v/>
      </c>
      <c r="L63" s="14" t="str">
        <f t="shared" si="63"/>
        <v/>
      </c>
      <c r="M63" s="14" t="str">
        <f t="shared" si="64"/>
        <v/>
      </c>
      <c r="N63" s="14" t="str">
        <f t="shared" si="65"/>
        <v/>
      </c>
      <c r="O63" s="14" t="s">
        <v>11</v>
      </c>
      <c r="P63" s="14" t="s">
        <v>11</v>
      </c>
      <c r="Q63" s="14" t="s">
        <v>11</v>
      </c>
      <c r="R63" s="14" t="s">
        <v>13</v>
      </c>
      <c r="S63" s="14" t="s">
        <v>11</v>
      </c>
      <c r="T63" s="14" t="s">
        <v>11</v>
      </c>
      <c r="U63" s="14" t="s">
        <v>11</v>
      </c>
      <c r="V63" s="14" t="s">
        <v>11</v>
      </c>
      <c r="W63" s="14" t="s">
        <v>11</v>
      </c>
      <c r="X63" s="14" t="s">
        <v>11</v>
      </c>
      <c r="Y63" s="14" t="str">
        <f t="shared" si="33"/>
        <v/>
      </c>
      <c r="Z63" s="14" t="str">
        <f t="shared" si="66"/>
        <v/>
      </c>
      <c r="AA63" s="15">
        <f t="shared" si="51"/>
        <v>0</v>
      </c>
      <c r="AB63" s="14" t="s">
        <v>11</v>
      </c>
      <c r="AC63" s="14" t="s">
        <v>11</v>
      </c>
      <c r="AD63" s="14" t="s">
        <v>11</v>
      </c>
      <c r="AE63" s="14" t="s">
        <v>11</v>
      </c>
      <c r="AF63" s="14" t="s">
        <v>13</v>
      </c>
      <c r="AG63" s="14" t="s">
        <v>11</v>
      </c>
      <c r="AH63" s="14" t="s">
        <v>11</v>
      </c>
      <c r="AI63" s="14" t="s">
        <v>11</v>
      </c>
      <c r="AJ63" s="14" t="s">
        <v>11</v>
      </c>
      <c r="AK63" s="14" t="s">
        <v>11</v>
      </c>
      <c r="AL63" s="14" t="str">
        <f t="shared" si="35"/>
        <v>T</v>
      </c>
      <c r="AM63" s="14" t="str">
        <f t="shared" si="67"/>
        <v>T</v>
      </c>
      <c r="AN63" s="14" t="str">
        <f t="shared" si="37"/>
        <v/>
      </c>
      <c r="AO63" s="14" t="str">
        <f t="shared" si="68"/>
        <v/>
      </c>
      <c r="AP63" s="14" t="str">
        <f t="shared" si="69"/>
        <v/>
      </c>
      <c r="AQ63" s="14" t="str">
        <f t="shared" si="31"/>
        <v/>
      </c>
      <c r="AR63" s="15">
        <f t="shared" si="55"/>
        <v>0</v>
      </c>
      <c r="AT63" s="17">
        <f t="shared" si="19"/>
        <v>0</v>
      </c>
    </row>
    <row r="64" spans="2:46" x14ac:dyDescent="0.2">
      <c r="B64" s="16"/>
      <c r="C64" s="15" t="s">
        <v>53</v>
      </c>
      <c r="D64" s="30" t="str">
        <f t="shared" si="32"/>
        <v/>
      </c>
      <c r="E64" s="14" t="str">
        <f t="shared" si="56"/>
        <v/>
      </c>
      <c r="F64" s="14" t="str">
        <f t="shared" si="57"/>
        <v/>
      </c>
      <c r="G64" s="14" t="str">
        <f t="shared" si="58"/>
        <v/>
      </c>
      <c r="H64" s="14" t="str">
        <f t="shared" si="59"/>
        <v/>
      </c>
      <c r="I64" s="14" t="str">
        <f t="shared" si="60"/>
        <v/>
      </c>
      <c r="J64" s="14" t="str">
        <f t="shared" si="61"/>
        <v/>
      </c>
      <c r="K64" s="14" t="str">
        <f t="shared" si="62"/>
        <v/>
      </c>
      <c r="L64" s="14" t="str">
        <f t="shared" si="63"/>
        <v/>
      </c>
      <c r="M64" s="14" t="str">
        <f t="shared" si="64"/>
        <v/>
      </c>
      <c r="N64" s="14" t="str">
        <f t="shared" si="65"/>
        <v/>
      </c>
      <c r="O64" s="14" t="s">
        <v>11</v>
      </c>
      <c r="P64" s="14" t="s">
        <v>11</v>
      </c>
      <c r="Q64" s="14" t="s">
        <v>11</v>
      </c>
      <c r="R64" s="14" t="s">
        <v>13</v>
      </c>
      <c r="S64" s="14" t="s">
        <v>11</v>
      </c>
      <c r="T64" s="14" t="s">
        <v>11</v>
      </c>
      <c r="U64" s="14" t="s">
        <v>11</v>
      </c>
      <c r="V64" s="14" t="s">
        <v>11</v>
      </c>
      <c r="W64" s="14" t="s">
        <v>11</v>
      </c>
      <c r="X64" s="14" t="s">
        <v>11</v>
      </c>
      <c r="Y64" s="14" t="str">
        <f t="shared" si="33"/>
        <v/>
      </c>
      <c r="Z64" s="14" t="str">
        <f t="shared" si="66"/>
        <v/>
      </c>
      <c r="AA64" s="15">
        <f t="shared" si="51"/>
        <v>0</v>
      </c>
      <c r="AB64" s="14" t="s">
        <v>11</v>
      </c>
      <c r="AC64" s="14" t="s">
        <v>11</v>
      </c>
      <c r="AD64" s="14" t="s">
        <v>11</v>
      </c>
      <c r="AE64" s="14" t="s">
        <v>11</v>
      </c>
      <c r="AF64" s="14" t="s">
        <v>13</v>
      </c>
      <c r="AG64" s="14" t="s">
        <v>11</v>
      </c>
      <c r="AH64" s="14" t="s">
        <v>11</v>
      </c>
      <c r="AI64" s="14" t="s">
        <v>11</v>
      </c>
      <c r="AJ64" s="14" t="s">
        <v>11</v>
      </c>
      <c r="AK64" s="14" t="s">
        <v>11</v>
      </c>
      <c r="AL64" s="14" t="str">
        <f t="shared" si="35"/>
        <v>T</v>
      </c>
      <c r="AM64" s="14" t="str">
        <f t="shared" si="67"/>
        <v>T</v>
      </c>
      <c r="AN64" s="14" t="str">
        <f t="shared" si="37"/>
        <v/>
      </c>
      <c r="AO64" s="14" t="str">
        <f t="shared" si="68"/>
        <v/>
      </c>
      <c r="AP64" s="14" t="str">
        <f t="shared" si="69"/>
        <v/>
      </c>
      <c r="AQ64" s="14" t="str">
        <f t="shared" si="31"/>
        <v/>
      </c>
      <c r="AR64" s="15">
        <f t="shared" si="55"/>
        <v>0</v>
      </c>
      <c r="AT64" s="17">
        <f t="shared" si="19"/>
        <v>0</v>
      </c>
    </row>
    <row r="65" spans="2:46" x14ac:dyDescent="0.2">
      <c r="B65" s="16"/>
      <c r="C65" s="15" t="s">
        <v>53</v>
      </c>
      <c r="D65" s="30" t="str">
        <f t="shared" si="32"/>
        <v/>
      </c>
      <c r="E65" s="14" t="str">
        <f t="shared" si="56"/>
        <v/>
      </c>
      <c r="F65" s="14" t="str">
        <f t="shared" si="57"/>
        <v/>
      </c>
      <c r="G65" s="14" t="str">
        <f t="shared" si="58"/>
        <v/>
      </c>
      <c r="H65" s="14" t="str">
        <f t="shared" si="59"/>
        <v/>
      </c>
      <c r="I65" s="14" t="str">
        <f t="shared" si="60"/>
        <v/>
      </c>
      <c r="J65" s="14" t="str">
        <f t="shared" si="61"/>
        <v/>
      </c>
      <c r="K65" s="14" t="str">
        <f t="shared" si="62"/>
        <v/>
      </c>
      <c r="L65" s="14" t="str">
        <f t="shared" si="63"/>
        <v/>
      </c>
      <c r="M65" s="14" t="str">
        <f t="shared" si="64"/>
        <v/>
      </c>
      <c r="N65" s="14" t="str">
        <f t="shared" si="65"/>
        <v/>
      </c>
      <c r="O65" s="14" t="s">
        <v>11</v>
      </c>
      <c r="P65" s="14" t="s">
        <v>11</v>
      </c>
      <c r="Q65" s="14" t="s">
        <v>11</v>
      </c>
      <c r="R65" s="14" t="s">
        <v>13</v>
      </c>
      <c r="S65" s="14" t="s">
        <v>11</v>
      </c>
      <c r="T65" s="14" t="s">
        <v>11</v>
      </c>
      <c r="U65" s="14" t="s">
        <v>11</v>
      </c>
      <c r="V65" s="14" t="s">
        <v>11</v>
      </c>
      <c r="W65" s="14" t="s">
        <v>11</v>
      </c>
      <c r="X65" s="14" t="s">
        <v>11</v>
      </c>
      <c r="Y65" s="14" t="str">
        <f t="shared" si="33"/>
        <v/>
      </c>
      <c r="Z65" s="14" t="str">
        <f t="shared" si="66"/>
        <v/>
      </c>
      <c r="AA65" s="15">
        <f t="shared" si="51"/>
        <v>0</v>
      </c>
      <c r="AB65" s="14" t="s">
        <v>11</v>
      </c>
      <c r="AC65" s="14" t="s">
        <v>11</v>
      </c>
      <c r="AD65" s="14" t="s">
        <v>11</v>
      </c>
      <c r="AE65" s="14" t="s">
        <v>11</v>
      </c>
      <c r="AF65" s="14" t="s">
        <v>13</v>
      </c>
      <c r="AG65" s="14" t="s">
        <v>11</v>
      </c>
      <c r="AH65" s="14" t="s">
        <v>11</v>
      </c>
      <c r="AI65" s="14" t="s">
        <v>11</v>
      </c>
      <c r="AJ65" s="14" t="s">
        <v>11</v>
      </c>
      <c r="AK65" s="14" t="s">
        <v>11</v>
      </c>
      <c r="AL65" s="14" t="str">
        <f t="shared" si="35"/>
        <v>T</v>
      </c>
      <c r="AM65" s="14" t="str">
        <f t="shared" si="67"/>
        <v>T</v>
      </c>
      <c r="AN65" s="14" t="str">
        <f t="shared" si="37"/>
        <v/>
      </c>
      <c r="AO65" s="14" t="str">
        <f t="shared" si="68"/>
        <v/>
      </c>
      <c r="AP65" s="14" t="str">
        <f t="shared" si="69"/>
        <v/>
      </c>
      <c r="AQ65" s="14" t="str">
        <f t="shared" si="31"/>
        <v/>
      </c>
      <c r="AR65" s="15">
        <f t="shared" si="55"/>
        <v>0</v>
      </c>
      <c r="AT65" s="17">
        <f t="shared" si="19"/>
        <v>0</v>
      </c>
    </row>
    <row r="66" spans="2:46" x14ac:dyDescent="0.2">
      <c r="B66" s="16"/>
      <c r="C66" s="15" t="s">
        <v>53</v>
      </c>
      <c r="D66" s="30" t="str">
        <f t="shared" si="32"/>
        <v/>
      </c>
      <c r="E66" s="14" t="str">
        <f t="shared" si="56"/>
        <v/>
      </c>
      <c r="F66" s="14" t="str">
        <f t="shared" si="57"/>
        <v/>
      </c>
      <c r="G66" s="14" t="str">
        <f t="shared" si="58"/>
        <v/>
      </c>
      <c r="H66" s="14" t="str">
        <f t="shared" si="59"/>
        <v/>
      </c>
      <c r="I66" s="14" t="str">
        <f t="shared" si="60"/>
        <v/>
      </c>
      <c r="J66" s="14" t="str">
        <f t="shared" si="61"/>
        <v/>
      </c>
      <c r="K66" s="14" t="str">
        <f t="shared" si="62"/>
        <v/>
      </c>
      <c r="L66" s="14" t="str">
        <f t="shared" si="63"/>
        <v/>
      </c>
      <c r="M66" s="14" t="str">
        <f t="shared" si="64"/>
        <v/>
      </c>
      <c r="N66" s="14" t="str">
        <f t="shared" si="65"/>
        <v/>
      </c>
      <c r="O66" s="14" t="s">
        <v>11</v>
      </c>
      <c r="P66" s="14" t="s">
        <v>11</v>
      </c>
      <c r="Q66" s="14" t="s">
        <v>11</v>
      </c>
      <c r="R66" s="14" t="s">
        <v>13</v>
      </c>
      <c r="S66" s="14" t="s">
        <v>11</v>
      </c>
      <c r="T66" s="14" t="s">
        <v>11</v>
      </c>
      <c r="U66" s="14" t="s">
        <v>11</v>
      </c>
      <c r="V66" s="14" t="s">
        <v>11</v>
      </c>
      <c r="W66" s="14" t="s">
        <v>11</v>
      </c>
      <c r="X66" s="14" t="s">
        <v>11</v>
      </c>
      <c r="Y66" s="14" t="str">
        <f t="shared" si="33"/>
        <v/>
      </c>
      <c r="Z66" s="14" t="str">
        <f t="shared" si="66"/>
        <v/>
      </c>
      <c r="AA66" s="15">
        <f t="shared" si="51"/>
        <v>0</v>
      </c>
      <c r="AB66" s="14" t="s">
        <v>11</v>
      </c>
      <c r="AC66" s="14" t="s">
        <v>11</v>
      </c>
      <c r="AD66" s="14" t="s">
        <v>11</v>
      </c>
      <c r="AE66" s="14" t="s">
        <v>11</v>
      </c>
      <c r="AF66" s="14" t="s">
        <v>13</v>
      </c>
      <c r="AG66" s="14" t="s">
        <v>11</v>
      </c>
      <c r="AH66" s="14" t="s">
        <v>11</v>
      </c>
      <c r="AI66" s="14" t="s">
        <v>11</v>
      </c>
      <c r="AJ66" s="14" t="s">
        <v>11</v>
      </c>
      <c r="AK66" s="14" t="s">
        <v>11</v>
      </c>
      <c r="AL66" s="14" t="str">
        <f t="shared" si="35"/>
        <v>T</v>
      </c>
      <c r="AM66" s="14" t="str">
        <f t="shared" si="67"/>
        <v>T</v>
      </c>
      <c r="AN66" s="14" t="str">
        <f t="shared" si="37"/>
        <v/>
      </c>
      <c r="AO66" s="14" t="str">
        <f t="shared" si="68"/>
        <v/>
      </c>
      <c r="AP66" s="14" t="str">
        <f t="shared" si="69"/>
        <v/>
      </c>
      <c r="AQ66" s="14" t="str">
        <f t="shared" si="31"/>
        <v/>
      </c>
      <c r="AR66" s="15">
        <f t="shared" si="55"/>
        <v>0</v>
      </c>
      <c r="AT66" s="17">
        <f t="shared" si="19"/>
        <v>0</v>
      </c>
    </row>
    <row r="67" spans="2:46" x14ac:dyDescent="0.2">
      <c r="B67" s="16"/>
      <c r="C67" s="15" t="s">
        <v>53</v>
      </c>
      <c r="D67" s="30" t="str">
        <f t="shared" si="32"/>
        <v/>
      </c>
      <c r="E67" s="14" t="str">
        <f t="shared" si="56"/>
        <v/>
      </c>
      <c r="F67" s="14" t="str">
        <f t="shared" si="57"/>
        <v/>
      </c>
      <c r="G67" s="14" t="str">
        <f t="shared" si="58"/>
        <v/>
      </c>
      <c r="H67" s="14" t="str">
        <f t="shared" si="59"/>
        <v/>
      </c>
      <c r="I67" s="14" t="str">
        <f t="shared" si="60"/>
        <v/>
      </c>
      <c r="J67" s="14" t="str">
        <f t="shared" si="61"/>
        <v/>
      </c>
      <c r="K67" s="14" t="str">
        <f t="shared" si="62"/>
        <v/>
      </c>
      <c r="L67" s="14" t="str">
        <f t="shared" si="63"/>
        <v/>
      </c>
      <c r="M67" s="14" t="str">
        <f t="shared" si="64"/>
        <v/>
      </c>
      <c r="N67" s="14" t="str">
        <f t="shared" si="65"/>
        <v/>
      </c>
      <c r="O67" s="14" t="s">
        <v>11</v>
      </c>
      <c r="P67" s="14" t="s">
        <v>11</v>
      </c>
      <c r="Q67" s="14" t="s">
        <v>11</v>
      </c>
      <c r="R67" s="14" t="s">
        <v>13</v>
      </c>
      <c r="S67" s="14" t="s">
        <v>11</v>
      </c>
      <c r="T67" s="14" t="s">
        <v>11</v>
      </c>
      <c r="U67" s="14" t="s">
        <v>11</v>
      </c>
      <c r="V67" s="14" t="s">
        <v>11</v>
      </c>
      <c r="W67" s="14" t="s">
        <v>11</v>
      </c>
      <c r="X67" s="14" t="s">
        <v>11</v>
      </c>
      <c r="Y67" s="14" t="str">
        <f t="shared" si="33"/>
        <v/>
      </c>
      <c r="Z67" s="14" t="str">
        <f t="shared" si="66"/>
        <v/>
      </c>
      <c r="AA67" s="15">
        <f t="shared" si="51"/>
        <v>0</v>
      </c>
      <c r="AB67" s="14" t="s">
        <v>11</v>
      </c>
      <c r="AC67" s="14" t="s">
        <v>11</v>
      </c>
      <c r="AD67" s="14" t="s">
        <v>11</v>
      </c>
      <c r="AE67" s="14" t="s">
        <v>11</v>
      </c>
      <c r="AF67" s="14" t="s">
        <v>13</v>
      </c>
      <c r="AG67" s="14" t="s">
        <v>11</v>
      </c>
      <c r="AH67" s="14" t="s">
        <v>11</v>
      </c>
      <c r="AI67" s="14" t="s">
        <v>11</v>
      </c>
      <c r="AJ67" s="14" t="s">
        <v>11</v>
      </c>
      <c r="AK67" s="14" t="s">
        <v>11</v>
      </c>
      <c r="AL67" s="14" t="str">
        <f t="shared" si="35"/>
        <v>T</v>
      </c>
      <c r="AM67" s="14" t="str">
        <f t="shared" si="67"/>
        <v>T</v>
      </c>
      <c r="AN67" s="14" t="str">
        <f t="shared" si="37"/>
        <v/>
      </c>
      <c r="AO67" s="14" t="str">
        <f t="shared" si="68"/>
        <v/>
      </c>
      <c r="AP67" s="14" t="str">
        <f t="shared" si="69"/>
        <v/>
      </c>
      <c r="AQ67" s="14" t="str">
        <f t="shared" si="31"/>
        <v/>
      </c>
      <c r="AR67" s="15">
        <f t="shared" si="55"/>
        <v>0</v>
      </c>
      <c r="AT67" s="17">
        <f t="shared" si="19"/>
        <v>0</v>
      </c>
    </row>
    <row r="68" spans="2:46" x14ac:dyDescent="0.2">
      <c r="B68" s="16"/>
      <c r="C68" s="15" t="s">
        <v>53</v>
      </c>
      <c r="D68" s="30" t="str">
        <f t="shared" si="32"/>
        <v/>
      </c>
      <c r="E68" s="14" t="str">
        <f t="shared" si="56"/>
        <v/>
      </c>
      <c r="F68" s="14" t="str">
        <f t="shared" si="57"/>
        <v/>
      </c>
      <c r="G68" s="14" t="str">
        <f t="shared" si="58"/>
        <v/>
      </c>
      <c r="H68" s="14" t="str">
        <f t="shared" si="59"/>
        <v/>
      </c>
      <c r="I68" s="14" t="str">
        <f t="shared" si="60"/>
        <v/>
      </c>
      <c r="J68" s="14" t="str">
        <f t="shared" si="61"/>
        <v/>
      </c>
      <c r="K68" s="14" t="str">
        <f t="shared" si="62"/>
        <v/>
      </c>
      <c r="L68" s="14" t="str">
        <f t="shared" si="63"/>
        <v/>
      </c>
      <c r="M68" s="14" t="str">
        <f t="shared" si="64"/>
        <v/>
      </c>
      <c r="N68" s="14" t="str">
        <f t="shared" si="65"/>
        <v/>
      </c>
      <c r="O68" s="14" t="s">
        <v>11</v>
      </c>
      <c r="P68" s="14" t="s">
        <v>11</v>
      </c>
      <c r="Q68" s="14" t="s">
        <v>11</v>
      </c>
      <c r="R68" s="14" t="s">
        <v>13</v>
      </c>
      <c r="S68" s="14" t="s">
        <v>11</v>
      </c>
      <c r="T68" s="14" t="s">
        <v>11</v>
      </c>
      <c r="U68" s="14" t="s">
        <v>11</v>
      </c>
      <c r="V68" s="14" t="s">
        <v>11</v>
      </c>
      <c r="W68" s="14" t="s">
        <v>11</v>
      </c>
      <c r="X68" s="14" t="s">
        <v>11</v>
      </c>
      <c r="Y68" s="14" t="str">
        <f t="shared" si="33"/>
        <v/>
      </c>
      <c r="Z68" s="14" t="str">
        <f t="shared" si="66"/>
        <v/>
      </c>
      <c r="AA68" s="15">
        <f t="shared" si="51"/>
        <v>0</v>
      </c>
      <c r="AB68" s="14" t="s">
        <v>11</v>
      </c>
      <c r="AC68" s="14" t="s">
        <v>41</v>
      </c>
      <c r="AD68" s="14" t="s">
        <v>11</v>
      </c>
      <c r="AE68" s="14" t="s">
        <v>11</v>
      </c>
      <c r="AF68" s="14" t="s">
        <v>13</v>
      </c>
      <c r="AG68" s="14" t="s">
        <v>11</v>
      </c>
      <c r="AH68" s="14" t="s">
        <v>11</v>
      </c>
      <c r="AI68" s="14" t="s">
        <v>11</v>
      </c>
      <c r="AJ68" s="14" t="s">
        <v>11</v>
      </c>
      <c r="AK68" s="14" t="s">
        <v>11</v>
      </c>
      <c r="AL68" s="14" t="str">
        <f t="shared" si="35"/>
        <v>T</v>
      </c>
      <c r="AM68" s="14" t="str">
        <f t="shared" si="67"/>
        <v>T</v>
      </c>
      <c r="AN68" s="14" t="str">
        <f t="shared" si="37"/>
        <v/>
      </c>
      <c r="AO68" s="14" t="str">
        <f t="shared" si="68"/>
        <v/>
      </c>
      <c r="AP68" s="14" t="str">
        <f t="shared" si="69"/>
        <v/>
      </c>
      <c r="AQ68" s="14" t="str">
        <f t="shared" si="31"/>
        <v/>
      </c>
      <c r="AR68" s="15">
        <f t="shared" si="55"/>
        <v>0</v>
      </c>
      <c r="AT68" s="17">
        <f t="shared" ref="AT68:AT127" si="70">COUNTIF($AP$4:$AP$6,AP68)</f>
        <v>0</v>
      </c>
    </row>
    <row r="69" spans="2:46" x14ac:dyDescent="0.2">
      <c r="B69" s="16"/>
      <c r="C69" s="15" t="s">
        <v>53</v>
      </c>
      <c r="D69" s="30" t="str">
        <f t="shared" si="32"/>
        <v/>
      </c>
      <c r="E69" s="14" t="str">
        <f t="shared" si="56"/>
        <v/>
      </c>
      <c r="F69" s="14" t="str">
        <f t="shared" si="57"/>
        <v/>
      </c>
      <c r="G69" s="14" t="str">
        <f t="shared" si="58"/>
        <v/>
      </c>
      <c r="H69" s="14" t="str">
        <f t="shared" si="59"/>
        <v/>
      </c>
      <c r="I69" s="14" t="str">
        <f t="shared" si="60"/>
        <v/>
      </c>
      <c r="J69" s="14" t="str">
        <f t="shared" si="61"/>
        <v/>
      </c>
      <c r="K69" s="14" t="str">
        <f t="shared" si="62"/>
        <v/>
      </c>
      <c r="L69" s="14" t="str">
        <f t="shared" si="63"/>
        <v/>
      </c>
      <c r="M69" s="14" t="str">
        <f t="shared" si="64"/>
        <v/>
      </c>
      <c r="N69" s="14" t="str">
        <f t="shared" si="65"/>
        <v/>
      </c>
      <c r="O69" s="14" t="s">
        <v>11</v>
      </c>
      <c r="P69" s="14" t="s">
        <v>11</v>
      </c>
      <c r="Q69" s="14" t="s">
        <v>11</v>
      </c>
      <c r="R69" s="14" t="s">
        <v>13</v>
      </c>
      <c r="S69" s="14" t="s">
        <v>11</v>
      </c>
      <c r="T69" s="14" t="s">
        <v>11</v>
      </c>
      <c r="U69" s="14" t="s">
        <v>11</v>
      </c>
      <c r="V69" s="14" t="s">
        <v>11</v>
      </c>
      <c r="W69" s="14" t="s">
        <v>11</v>
      </c>
      <c r="X69" s="14" t="s">
        <v>11</v>
      </c>
      <c r="Y69" s="14" t="str">
        <f t="shared" si="33"/>
        <v/>
      </c>
      <c r="Z69" s="14" t="str">
        <f t="shared" si="66"/>
        <v/>
      </c>
      <c r="AA69" s="15">
        <f t="shared" si="51"/>
        <v>0</v>
      </c>
      <c r="AB69" s="14" t="s">
        <v>11</v>
      </c>
      <c r="AC69" s="14" t="s">
        <v>11</v>
      </c>
      <c r="AD69" s="14" t="s">
        <v>11</v>
      </c>
      <c r="AE69" s="14" t="s">
        <v>11</v>
      </c>
      <c r="AF69" s="14" t="s">
        <v>13</v>
      </c>
      <c r="AG69" s="14" t="s">
        <v>11</v>
      </c>
      <c r="AH69" s="14" t="s">
        <v>11</v>
      </c>
      <c r="AI69" s="14" t="s">
        <v>11</v>
      </c>
      <c r="AJ69" s="14" t="s">
        <v>11</v>
      </c>
      <c r="AK69" s="14" t="s">
        <v>11</v>
      </c>
      <c r="AL69" s="14" t="str">
        <f t="shared" si="35"/>
        <v>T</v>
      </c>
      <c r="AM69" s="14" t="str">
        <f t="shared" si="67"/>
        <v>T</v>
      </c>
      <c r="AN69" s="14" t="str">
        <f t="shared" si="37"/>
        <v/>
      </c>
      <c r="AO69" s="14" t="str">
        <f t="shared" si="68"/>
        <v/>
      </c>
      <c r="AP69" s="14" t="str">
        <f t="shared" si="69"/>
        <v/>
      </c>
      <c r="AQ69" s="14" t="str">
        <f t="shared" si="31"/>
        <v/>
      </c>
      <c r="AR69" s="15">
        <f t="shared" si="55"/>
        <v>0</v>
      </c>
      <c r="AT69" s="17">
        <f t="shared" si="70"/>
        <v>0</v>
      </c>
    </row>
    <row r="70" spans="2:46" x14ac:dyDescent="0.2">
      <c r="B70" s="16"/>
      <c r="C70" s="15" t="s">
        <v>53</v>
      </c>
      <c r="D70" s="30" t="str">
        <f t="shared" si="32"/>
        <v/>
      </c>
      <c r="E70" s="14" t="str">
        <f t="shared" si="56"/>
        <v/>
      </c>
      <c r="F70" s="14" t="str">
        <f t="shared" si="57"/>
        <v/>
      </c>
      <c r="G70" s="14" t="str">
        <f t="shared" si="58"/>
        <v/>
      </c>
      <c r="H70" s="14" t="str">
        <f t="shared" si="59"/>
        <v/>
      </c>
      <c r="I70" s="14" t="str">
        <f t="shared" si="60"/>
        <v/>
      </c>
      <c r="J70" s="14" t="str">
        <f t="shared" si="61"/>
        <v/>
      </c>
      <c r="K70" s="14" t="str">
        <f t="shared" si="62"/>
        <v/>
      </c>
      <c r="L70" s="14" t="str">
        <f t="shared" si="63"/>
        <v/>
      </c>
      <c r="M70" s="14" t="str">
        <f t="shared" si="64"/>
        <v/>
      </c>
      <c r="N70" s="14" t="str">
        <f t="shared" si="65"/>
        <v/>
      </c>
      <c r="O70" s="14" t="s">
        <v>11</v>
      </c>
      <c r="P70" s="14" t="s">
        <v>11</v>
      </c>
      <c r="Q70" s="14" t="s">
        <v>11</v>
      </c>
      <c r="R70" s="14" t="s">
        <v>13</v>
      </c>
      <c r="S70" s="14" t="s">
        <v>11</v>
      </c>
      <c r="T70" s="14" t="s">
        <v>11</v>
      </c>
      <c r="U70" s="14" t="s">
        <v>11</v>
      </c>
      <c r="V70" s="14" t="s">
        <v>11</v>
      </c>
      <c r="W70" s="14" t="s">
        <v>11</v>
      </c>
      <c r="X70" s="14" t="s">
        <v>11</v>
      </c>
      <c r="Y70" s="14" t="str">
        <f t="shared" si="33"/>
        <v/>
      </c>
      <c r="Z70" s="14" t="str">
        <f t="shared" si="66"/>
        <v/>
      </c>
      <c r="AA70" s="15">
        <f t="shared" si="51"/>
        <v>0</v>
      </c>
      <c r="AB70" s="14" t="s">
        <v>11</v>
      </c>
      <c r="AC70" s="14" t="s">
        <v>11</v>
      </c>
      <c r="AD70" s="14" t="s">
        <v>11</v>
      </c>
      <c r="AE70" s="14" t="s">
        <v>11</v>
      </c>
      <c r="AF70" s="14" t="s">
        <v>13</v>
      </c>
      <c r="AG70" s="14" t="s">
        <v>11</v>
      </c>
      <c r="AH70" s="14" t="s">
        <v>11</v>
      </c>
      <c r="AI70" s="14" t="s">
        <v>11</v>
      </c>
      <c r="AJ70" s="14" t="s">
        <v>11</v>
      </c>
      <c r="AK70" s="14" t="s">
        <v>11</v>
      </c>
      <c r="AL70" s="14" t="str">
        <f t="shared" si="35"/>
        <v>T</v>
      </c>
      <c r="AM70" s="14" t="str">
        <f t="shared" si="67"/>
        <v>T</v>
      </c>
      <c r="AN70" s="14" t="str">
        <f t="shared" si="37"/>
        <v/>
      </c>
      <c r="AO70" s="14" t="str">
        <f t="shared" si="68"/>
        <v/>
      </c>
      <c r="AP70" s="14" t="str">
        <f t="shared" si="69"/>
        <v/>
      </c>
      <c r="AQ70" s="14" t="str">
        <f t="shared" si="31"/>
        <v/>
      </c>
      <c r="AR70" s="15">
        <f t="shared" si="55"/>
        <v>0</v>
      </c>
      <c r="AT70" s="17">
        <f t="shared" si="70"/>
        <v>0</v>
      </c>
    </row>
    <row r="71" spans="2:46" x14ac:dyDescent="0.2">
      <c r="B71" s="16"/>
      <c r="C71" s="15" t="s">
        <v>53</v>
      </c>
      <c r="D71" s="30" t="str">
        <f t="shared" si="32"/>
        <v/>
      </c>
      <c r="E71" s="14" t="str">
        <f t="shared" si="56"/>
        <v/>
      </c>
      <c r="F71" s="14" t="str">
        <f t="shared" si="57"/>
        <v/>
      </c>
      <c r="G71" s="14" t="str">
        <f t="shared" si="58"/>
        <v/>
      </c>
      <c r="H71" s="14" t="str">
        <f t="shared" si="59"/>
        <v/>
      </c>
      <c r="I71" s="14" t="str">
        <f t="shared" si="60"/>
        <v/>
      </c>
      <c r="J71" s="14" t="str">
        <f t="shared" si="61"/>
        <v/>
      </c>
      <c r="K71" s="14" t="str">
        <f t="shared" si="62"/>
        <v/>
      </c>
      <c r="L71" s="14" t="str">
        <f t="shared" si="63"/>
        <v/>
      </c>
      <c r="M71" s="14" t="str">
        <f t="shared" si="64"/>
        <v/>
      </c>
      <c r="N71" s="14" t="str">
        <f t="shared" si="65"/>
        <v/>
      </c>
      <c r="O71" s="14" t="s">
        <v>11</v>
      </c>
      <c r="P71" s="14" t="s">
        <v>11</v>
      </c>
      <c r="Q71" s="14" t="s">
        <v>11</v>
      </c>
      <c r="R71" s="14" t="s">
        <v>13</v>
      </c>
      <c r="S71" s="14" t="s">
        <v>11</v>
      </c>
      <c r="T71" s="14" t="s">
        <v>11</v>
      </c>
      <c r="U71" s="14" t="s">
        <v>11</v>
      </c>
      <c r="V71" s="14" t="s">
        <v>11</v>
      </c>
      <c r="W71" s="14" t="s">
        <v>11</v>
      </c>
      <c r="X71" s="14" t="s">
        <v>11</v>
      </c>
      <c r="Y71" s="14" t="str">
        <f t="shared" si="33"/>
        <v/>
      </c>
      <c r="Z71" s="14" t="str">
        <f t="shared" si="66"/>
        <v/>
      </c>
      <c r="AA71" s="15">
        <f t="shared" si="51"/>
        <v>0</v>
      </c>
      <c r="AB71" s="14" t="s">
        <v>11</v>
      </c>
      <c r="AC71" s="14" t="s">
        <v>11</v>
      </c>
      <c r="AD71" s="14" t="s">
        <v>11</v>
      </c>
      <c r="AE71" s="14" t="s">
        <v>11</v>
      </c>
      <c r="AF71" s="14" t="s">
        <v>13</v>
      </c>
      <c r="AG71" s="14" t="s">
        <v>11</v>
      </c>
      <c r="AH71" s="14" t="s">
        <v>11</v>
      </c>
      <c r="AI71" s="14" t="s">
        <v>11</v>
      </c>
      <c r="AJ71" s="14" t="s">
        <v>11</v>
      </c>
      <c r="AK71" s="14" t="s">
        <v>11</v>
      </c>
      <c r="AL71" s="14" t="str">
        <f t="shared" si="35"/>
        <v>T</v>
      </c>
      <c r="AM71" s="14" t="str">
        <f t="shared" si="67"/>
        <v>T</v>
      </c>
      <c r="AN71" s="14" t="str">
        <f t="shared" si="37"/>
        <v/>
      </c>
      <c r="AO71" s="14" t="str">
        <f t="shared" si="68"/>
        <v/>
      </c>
      <c r="AP71" s="14" t="str">
        <f t="shared" si="69"/>
        <v/>
      </c>
      <c r="AQ71" s="14" t="str">
        <f t="shared" si="31"/>
        <v/>
      </c>
      <c r="AR71" s="15">
        <f t="shared" si="55"/>
        <v>0</v>
      </c>
      <c r="AT71" s="17">
        <f t="shared" si="70"/>
        <v>0</v>
      </c>
    </row>
    <row r="72" spans="2:46" x14ac:dyDescent="0.2">
      <c r="B72" s="16"/>
      <c r="C72" s="15" t="s">
        <v>53</v>
      </c>
      <c r="D72" s="30" t="str">
        <f t="shared" si="32"/>
        <v/>
      </c>
      <c r="E72" s="14" t="str">
        <f t="shared" si="56"/>
        <v/>
      </c>
      <c r="F72" s="14" t="str">
        <f t="shared" si="57"/>
        <v/>
      </c>
      <c r="G72" s="14" t="str">
        <f t="shared" si="58"/>
        <v/>
      </c>
      <c r="H72" s="14" t="str">
        <f t="shared" si="59"/>
        <v/>
      </c>
      <c r="I72" s="14" t="str">
        <f t="shared" si="60"/>
        <v/>
      </c>
      <c r="J72" s="14" t="str">
        <f t="shared" si="61"/>
        <v/>
      </c>
      <c r="K72" s="14" t="str">
        <f t="shared" si="62"/>
        <v/>
      </c>
      <c r="L72" s="14" t="str">
        <f t="shared" si="63"/>
        <v/>
      </c>
      <c r="M72" s="14" t="str">
        <f t="shared" si="64"/>
        <v/>
      </c>
      <c r="N72" s="14" t="str">
        <f t="shared" si="65"/>
        <v/>
      </c>
      <c r="O72" s="14" t="s">
        <v>11</v>
      </c>
      <c r="P72" s="14" t="s">
        <v>11</v>
      </c>
      <c r="Q72" s="14" t="s">
        <v>11</v>
      </c>
      <c r="R72" s="14" t="s">
        <v>13</v>
      </c>
      <c r="S72" s="14" t="s">
        <v>11</v>
      </c>
      <c r="T72" s="14" t="s">
        <v>11</v>
      </c>
      <c r="U72" s="14" t="s">
        <v>11</v>
      </c>
      <c r="V72" s="14" t="s">
        <v>11</v>
      </c>
      <c r="W72" s="14" t="s">
        <v>11</v>
      </c>
      <c r="X72" s="14" t="s">
        <v>11</v>
      </c>
      <c r="Y72" s="14" t="str">
        <f t="shared" si="33"/>
        <v/>
      </c>
      <c r="Z72" s="14" t="str">
        <f t="shared" si="66"/>
        <v/>
      </c>
      <c r="AA72" s="15">
        <f t="shared" si="51"/>
        <v>0</v>
      </c>
      <c r="AB72" s="14" t="s">
        <v>11</v>
      </c>
      <c r="AC72" s="14" t="s">
        <v>11</v>
      </c>
      <c r="AD72" s="14" t="s">
        <v>11</v>
      </c>
      <c r="AE72" s="14" t="s">
        <v>11</v>
      </c>
      <c r="AF72" s="14" t="s">
        <v>13</v>
      </c>
      <c r="AG72" s="14" t="s">
        <v>11</v>
      </c>
      <c r="AH72" s="14" t="s">
        <v>11</v>
      </c>
      <c r="AI72" s="14" t="s">
        <v>11</v>
      </c>
      <c r="AJ72" s="14" t="s">
        <v>11</v>
      </c>
      <c r="AK72" s="14" t="s">
        <v>11</v>
      </c>
      <c r="AL72" s="14" t="str">
        <f t="shared" si="35"/>
        <v>T</v>
      </c>
      <c r="AM72" s="14" t="str">
        <f t="shared" si="67"/>
        <v>T</v>
      </c>
      <c r="AN72" s="14" t="str">
        <f t="shared" si="37"/>
        <v/>
      </c>
      <c r="AO72" s="14" t="str">
        <f t="shared" si="68"/>
        <v/>
      </c>
      <c r="AP72" s="14" t="str">
        <f t="shared" si="69"/>
        <v/>
      </c>
      <c r="AQ72" s="14" t="str">
        <f t="shared" ref="AQ72:AQ135" si="71">LOWER(AP72)</f>
        <v/>
      </c>
      <c r="AR72" s="15">
        <f t="shared" si="55"/>
        <v>0</v>
      </c>
      <c r="AT72" s="17">
        <f t="shared" si="70"/>
        <v>0</v>
      </c>
    </row>
    <row r="73" spans="2:46" x14ac:dyDescent="0.2">
      <c r="B73" s="16"/>
      <c r="C73" s="15" t="s">
        <v>53</v>
      </c>
      <c r="D73" s="30" t="str">
        <f t="shared" si="32"/>
        <v/>
      </c>
      <c r="E73" s="14" t="str">
        <f t="shared" si="56"/>
        <v/>
      </c>
      <c r="F73" s="14" t="str">
        <f t="shared" si="57"/>
        <v/>
      </c>
      <c r="G73" s="14" t="str">
        <f t="shared" si="58"/>
        <v/>
      </c>
      <c r="H73" s="14" t="str">
        <f t="shared" si="59"/>
        <v/>
      </c>
      <c r="I73" s="14" t="str">
        <f t="shared" si="60"/>
        <v/>
      </c>
      <c r="J73" s="14" t="str">
        <f t="shared" si="61"/>
        <v/>
      </c>
      <c r="K73" s="14" t="str">
        <f t="shared" si="62"/>
        <v/>
      </c>
      <c r="L73" s="14" t="str">
        <f t="shared" si="63"/>
        <v/>
      </c>
      <c r="M73" s="14" t="str">
        <f t="shared" si="64"/>
        <v/>
      </c>
      <c r="N73" s="14" t="str">
        <f t="shared" si="65"/>
        <v/>
      </c>
      <c r="O73" s="14" t="s">
        <v>11</v>
      </c>
      <c r="P73" s="14" t="s">
        <v>11</v>
      </c>
      <c r="Q73" s="14" t="s">
        <v>11</v>
      </c>
      <c r="R73" s="14" t="s">
        <v>13</v>
      </c>
      <c r="S73" s="14" t="s">
        <v>11</v>
      </c>
      <c r="T73" s="14" t="s">
        <v>11</v>
      </c>
      <c r="U73" s="14" t="s">
        <v>11</v>
      </c>
      <c r="V73" s="14" t="s">
        <v>11</v>
      </c>
      <c r="W73" s="14" t="s">
        <v>11</v>
      </c>
      <c r="X73" s="14" t="s">
        <v>11</v>
      </c>
      <c r="Y73" s="14" t="str">
        <f t="shared" si="33"/>
        <v/>
      </c>
      <c r="Z73" s="14" t="str">
        <f t="shared" si="66"/>
        <v/>
      </c>
      <c r="AA73" s="15">
        <f t="shared" si="51"/>
        <v>0</v>
      </c>
      <c r="AB73" s="14" t="s">
        <v>11</v>
      </c>
      <c r="AC73" s="14" t="s">
        <v>11</v>
      </c>
      <c r="AD73" s="14" t="s">
        <v>11</v>
      </c>
      <c r="AE73" s="14" t="s">
        <v>11</v>
      </c>
      <c r="AF73" s="14" t="s">
        <v>13</v>
      </c>
      <c r="AG73" s="14" t="s">
        <v>11</v>
      </c>
      <c r="AH73" s="14" t="s">
        <v>11</v>
      </c>
      <c r="AI73" s="14" t="s">
        <v>11</v>
      </c>
      <c r="AJ73" s="14" t="s">
        <v>11</v>
      </c>
      <c r="AK73" s="14" t="s">
        <v>11</v>
      </c>
      <c r="AL73" s="14" t="str">
        <f t="shared" si="35"/>
        <v>T</v>
      </c>
      <c r="AM73" s="14" t="str">
        <f t="shared" si="67"/>
        <v>T</v>
      </c>
      <c r="AN73" s="14" t="str">
        <f t="shared" si="37"/>
        <v/>
      </c>
      <c r="AO73" s="14" t="str">
        <f t="shared" si="68"/>
        <v/>
      </c>
      <c r="AP73" s="14" t="str">
        <f t="shared" si="69"/>
        <v/>
      </c>
      <c r="AQ73" s="14" t="str">
        <f t="shared" si="71"/>
        <v/>
      </c>
      <c r="AR73" s="15">
        <f t="shared" si="55"/>
        <v>0</v>
      </c>
      <c r="AT73" s="17">
        <f t="shared" si="70"/>
        <v>0</v>
      </c>
    </row>
    <row r="74" spans="2:46" x14ac:dyDescent="0.2">
      <c r="B74" s="16"/>
      <c r="C74" s="15" t="s">
        <v>53</v>
      </c>
      <c r="D74" s="30" t="str">
        <f t="shared" si="32"/>
        <v/>
      </c>
      <c r="E74" s="14" t="str">
        <f t="shared" si="56"/>
        <v/>
      </c>
      <c r="F74" s="14" t="str">
        <f t="shared" si="57"/>
        <v/>
      </c>
      <c r="G74" s="14" t="str">
        <f t="shared" si="58"/>
        <v/>
      </c>
      <c r="H74" s="14" t="str">
        <f t="shared" si="59"/>
        <v/>
      </c>
      <c r="I74" s="14" t="str">
        <f t="shared" si="60"/>
        <v/>
      </c>
      <c r="J74" s="14" t="str">
        <f t="shared" si="61"/>
        <v/>
      </c>
      <c r="K74" s="14" t="str">
        <f t="shared" si="62"/>
        <v/>
      </c>
      <c r="L74" s="14" t="str">
        <f t="shared" si="63"/>
        <v/>
      </c>
      <c r="M74" s="14" t="str">
        <f t="shared" si="64"/>
        <v/>
      </c>
      <c r="N74" s="14" t="str">
        <f t="shared" si="65"/>
        <v/>
      </c>
      <c r="O74" s="14" t="s">
        <v>11</v>
      </c>
      <c r="P74" s="14" t="s">
        <v>11</v>
      </c>
      <c r="Q74" s="14" t="s">
        <v>11</v>
      </c>
      <c r="R74" s="14" t="s">
        <v>13</v>
      </c>
      <c r="S74" s="14" t="s">
        <v>11</v>
      </c>
      <c r="T74" s="14" t="s">
        <v>11</v>
      </c>
      <c r="U74" s="14" t="s">
        <v>11</v>
      </c>
      <c r="V74" s="14" t="s">
        <v>11</v>
      </c>
      <c r="W74" s="14" t="s">
        <v>11</v>
      </c>
      <c r="X74" s="14" t="s">
        <v>11</v>
      </c>
      <c r="Y74" s="14" t="str">
        <f t="shared" si="33"/>
        <v/>
      </c>
      <c r="Z74" s="14" t="str">
        <f t="shared" si="66"/>
        <v/>
      </c>
      <c r="AA74" s="15">
        <f t="shared" si="51"/>
        <v>0</v>
      </c>
      <c r="AB74" s="14" t="s">
        <v>11</v>
      </c>
      <c r="AC74" s="14" t="s">
        <v>11</v>
      </c>
      <c r="AD74" s="14" t="s">
        <v>11</v>
      </c>
      <c r="AE74" s="14" t="s">
        <v>11</v>
      </c>
      <c r="AF74" s="14" t="s">
        <v>13</v>
      </c>
      <c r="AG74" s="14" t="s">
        <v>11</v>
      </c>
      <c r="AH74" s="14" t="s">
        <v>11</v>
      </c>
      <c r="AI74" s="14" t="s">
        <v>11</v>
      </c>
      <c r="AJ74" s="14" t="s">
        <v>11</v>
      </c>
      <c r="AK74" s="14" t="s">
        <v>11</v>
      </c>
      <c r="AL74" s="14" t="str">
        <f t="shared" si="35"/>
        <v>T</v>
      </c>
      <c r="AM74" s="14" t="str">
        <f t="shared" si="67"/>
        <v>T</v>
      </c>
      <c r="AN74" s="14" t="str">
        <f t="shared" si="37"/>
        <v/>
      </c>
      <c r="AO74" s="14" t="str">
        <f t="shared" si="68"/>
        <v/>
      </c>
      <c r="AP74" s="14" t="str">
        <f t="shared" si="69"/>
        <v/>
      </c>
      <c r="AQ74" s="14" t="str">
        <f t="shared" si="71"/>
        <v/>
      </c>
      <c r="AR74" s="15">
        <f t="shared" si="55"/>
        <v>0</v>
      </c>
      <c r="AT74" s="17">
        <f t="shared" si="70"/>
        <v>0</v>
      </c>
    </row>
    <row r="75" spans="2:46" x14ac:dyDescent="0.2">
      <c r="B75" s="16"/>
      <c r="C75" s="15" t="s">
        <v>53</v>
      </c>
      <c r="D75" s="30" t="str">
        <f t="shared" si="32"/>
        <v/>
      </c>
      <c r="E75" s="14" t="str">
        <f t="shared" si="56"/>
        <v/>
      </c>
      <c r="F75" s="14" t="str">
        <f t="shared" si="57"/>
        <v/>
      </c>
      <c r="G75" s="14" t="str">
        <f t="shared" si="58"/>
        <v/>
      </c>
      <c r="H75" s="14" t="str">
        <f t="shared" si="59"/>
        <v/>
      </c>
      <c r="I75" s="14" t="str">
        <f t="shared" si="60"/>
        <v/>
      </c>
      <c r="J75" s="14" t="str">
        <f t="shared" si="61"/>
        <v/>
      </c>
      <c r="K75" s="14" t="str">
        <f t="shared" si="62"/>
        <v/>
      </c>
      <c r="L75" s="14" t="str">
        <f t="shared" si="63"/>
        <v/>
      </c>
      <c r="M75" s="14" t="str">
        <f t="shared" si="64"/>
        <v/>
      </c>
      <c r="N75" s="14" t="str">
        <f t="shared" si="65"/>
        <v/>
      </c>
      <c r="O75" s="14" t="s">
        <v>11</v>
      </c>
      <c r="P75" s="14" t="s">
        <v>11</v>
      </c>
      <c r="Q75" s="14" t="s">
        <v>11</v>
      </c>
      <c r="R75" s="14" t="s">
        <v>13</v>
      </c>
      <c r="S75" s="14" t="s">
        <v>11</v>
      </c>
      <c r="T75" s="14" t="s">
        <v>11</v>
      </c>
      <c r="U75" s="14" t="s">
        <v>11</v>
      </c>
      <c r="V75" s="14" t="s">
        <v>11</v>
      </c>
      <c r="W75" s="14" t="s">
        <v>11</v>
      </c>
      <c r="X75" s="14" t="s">
        <v>11</v>
      </c>
      <c r="Y75" s="14" t="str">
        <f t="shared" si="33"/>
        <v/>
      </c>
      <c r="Z75" s="14" t="str">
        <f t="shared" si="66"/>
        <v/>
      </c>
      <c r="AA75" s="15">
        <f t="shared" si="51"/>
        <v>0</v>
      </c>
      <c r="AB75" s="14" t="s">
        <v>11</v>
      </c>
      <c r="AC75" s="14" t="s">
        <v>11</v>
      </c>
      <c r="AD75" s="14" t="s">
        <v>11</v>
      </c>
      <c r="AE75" s="14" t="s">
        <v>11</v>
      </c>
      <c r="AF75" s="14" t="s">
        <v>13</v>
      </c>
      <c r="AG75" s="14" t="s">
        <v>11</v>
      </c>
      <c r="AH75" s="14" t="s">
        <v>11</v>
      </c>
      <c r="AI75" s="14" t="s">
        <v>11</v>
      </c>
      <c r="AJ75" s="14" t="s">
        <v>11</v>
      </c>
      <c r="AK75" s="14" t="s">
        <v>11</v>
      </c>
      <c r="AL75" s="14" t="str">
        <f t="shared" si="35"/>
        <v>T</v>
      </c>
      <c r="AM75" s="14" t="str">
        <f t="shared" si="67"/>
        <v>T</v>
      </c>
      <c r="AN75" s="14" t="str">
        <f t="shared" si="37"/>
        <v/>
      </c>
      <c r="AO75" s="14" t="str">
        <f t="shared" si="68"/>
        <v/>
      </c>
      <c r="AP75" s="14" t="str">
        <f t="shared" si="69"/>
        <v/>
      </c>
      <c r="AQ75" s="14" t="str">
        <f t="shared" si="71"/>
        <v/>
      </c>
      <c r="AR75" s="15">
        <f t="shared" si="55"/>
        <v>0</v>
      </c>
      <c r="AT75" s="17">
        <f t="shared" si="70"/>
        <v>0</v>
      </c>
    </row>
    <row r="76" spans="2:46" x14ac:dyDescent="0.2">
      <c r="B76" s="16"/>
      <c r="C76" s="15" t="s">
        <v>53</v>
      </c>
      <c r="D76" s="30" t="str">
        <f t="shared" si="32"/>
        <v/>
      </c>
      <c r="E76" s="14" t="str">
        <f t="shared" si="56"/>
        <v/>
      </c>
      <c r="F76" s="14" t="str">
        <f t="shared" si="57"/>
        <v/>
      </c>
      <c r="G76" s="14" t="str">
        <f t="shared" si="58"/>
        <v/>
      </c>
      <c r="H76" s="14" t="str">
        <f t="shared" si="59"/>
        <v/>
      </c>
      <c r="I76" s="14" t="str">
        <f t="shared" si="60"/>
        <v/>
      </c>
      <c r="J76" s="14" t="str">
        <f t="shared" si="61"/>
        <v/>
      </c>
      <c r="K76" s="14" t="str">
        <f t="shared" si="62"/>
        <v/>
      </c>
      <c r="L76" s="14" t="str">
        <f t="shared" si="63"/>
        <v/>
      </c>
      <c r="M76" s="14" t="str">
        <f t="shared" si="64"/>
        <v/>
      </c>
      <c r="N76" s="14" t="str">
        <f t="shared" si="65"/>
        <v/>
      </c>
      <c r="O76" s="14" t="s">
        <v>11</v>
      </c>
      <c r="P76" s="14" t="s">
        <v>11</v>
      </c>
      <c r="Q76" s="14" t="s">
        <v>11</v>
      </c>
      <c r="R76" s="14" t="s">
        <v>13</v>
      </c>
      <c r="S76" s="14" t="s">
        <v>11</v>
      </c>
      <c r="T76" s="14" t="s">
        <v>11</v>
      </c>
      <c r="U76" s="14" t="s">
        <v>11</v>
      </c>
      <c r="V76" s="14" t="s">
        <v>11</v>
      </c>
      <c r="W76" s="14" t="s">
        <v>11</v>
      </c>
      <c r="X76" s="14" t="s">
        <v>11</v>
      </c>
      <c r="Y76" s="14" t="str">
        <f t="shared" si="33"/>
        <v/>
      </c>
      <c r="Z76" s="14" t="str">
        <f t="shared" si="66"/>
        <v/>
      </c>
      <c r="AA76" s="15">
        <f t="shared" si="51"/>
        <v>0</v>
      </c>
      <c r="AB76" s="14" t="s">
        <v>11</v>
      </c>
      <c r="AC76" s="14" t="s">
        <v>11</v>
      </c>
      <c r="AD76" s="14" t="s">
        <v>11</v>
      </c>
      <c r="AE76" s="14" t="s">
        <v>11</v>
      </c>
      <c r="AF76" s="14" t="s">
        <v>13</v>
      </c>
      <c r="AG76" s="14" t="s">
        <v>11</v>
      </c>
      <c r="AH76" s="14" t="s">
        <v>11</v>
      </c>
      <c r="AI76" s="14" t="s">
        <v>11</v>
      </c>
      <c r="AJ76" s="14" t="s">
        <v>11</v>
      </c>
      <c r="AK76" s="14" t="s">
        <v>11</v>
      </c>
      <c r="AL76" s="14" t="str">
        <f t="shared" si="35"/>
        <v>T</v>
      </c>
      <c r="AM76" s="14" t="str">
        <f t="shared" si="67"/>
        <v>T</v>
      </c>
      <c r="AN76" s="14" t="str">
        <f t="shared" si="37"/>
        <v/>
      </c>
      <c r="AO76" s="14" t="str">
        <f t="shared" si="68"/>
        <v/>
      </c>
      <c r="AP76" s="14" t="str">
        <f t="shared" si="69"/>
        <v/>
      </c>
      <c r="AQ76" s="14" t="str">
        <f t="shared" si="71"/>
        <v/>
      </c>
      <c r="AR76" s="15">
        <f t="shared" si="55"/>
        <v>0</v>
      </c>
      <c r="AT76" s="17">
        <f t="shared" si="70"/>
        <v>0</v>
      </c>
    </row>
    <row r="77" spans="2:46" x14ac:dyDescent="0.2">
      <c r="B77" s="16"/>
      <c r="C77" s="15" t="s">
        <v>53</v>
      </c>
      <c r="D77" s="30" t="str">
        <f t="shared" si="32"/>
        <v/>
      </c>
      <c r="E77" s="14" t="str">
        <f t="shared" si="56"/>
        <v/>
      </c>
      <c r="F77" s="14" t="str">
        <f t="shared" si="57"/>
        <v/>
      </c>
      <c r="G77" s="14" t="str">
        <f t="shared" si="58"/>
        <v/>
      </c>
      <c r="H77" s="14" t="str">
        <f t="shared" si="59"/>
        <v/>
      </c>
      <c r="I77" s="14" t="str">
        <f t="shared" si="60"/>
        <v/>
      </c>
      <c r="J77" s="14" t="str">
        <f t="shared" si="61"/>
        <v/>
      </c>
      <c r="K77" s="14" t="str">
        <f t="shared" si="62"/>
        <v/>
      </c>
      <c r="L77" s="14" t="str">
        <f t="shared" si="63"/>
        <v/>
      </c>
      <c r="M77" s="14" t="str">
        <f t="shared" si="64"/>
        <v/>
      </c>
      <c r="N77" s="14" t="str">
        <f t="shared" si="65"/>
        <v/>
      </c>
      <c r="O77" s="14" t="s">
        <v>11</v>
      </c>
      <c r="P77" s="14" t="s">
        <v>11</v>
      </c>
      <c r="Q77" s="14" t="s">
        <v>11</v>
      </c>
      <c r="R77" s="14" t="s">
        <v>13</v>
      </c>
      <c r="S77" s="14" t="s">
        <v>11</v>
      </c>
      <c r="T77" s="14" t="s">
        <v>11</v>
      </c>
      <c r="U77" s="14" t="s">
        <v>11</v>
      </c>
      <c r="V77" s="14" t="s">
        <v>11</v>
      </c>
      <c r="W77" s="14" t="s">
        <v>11</v>
      </c>
      <c r="X77" s="14" t="s">
        <v>11</v>
      </c>
      <c r="Y77" s="14" t="str">
        <f t="shared" si="33"/>
        <v/>
      </c>
      <c r="Z77" s="14" t="str">
        <f t="shared" si="66"/>
        <v/>
      </c>
      <c r="AA77" s="15">
        <f t="shared" si="51"/>
        <v>0</v>
      </c>
      <c r="AB77" s="14" t="s">
        <v>11</v>
      </c>
      <c r="AC77" s="14" t="s">
        <v>11</v>
      </c>
      <c r="AD77" s="14" t="s">
        <v>11</v>
      </c>
      <c r="AE77" s="14" t="s">
        <v>11</v>
      </c>
      <c r="AF77" s="14" t="s">
        <v>13</v>
      </c>
      <c r="AG77" s="14" t="s">
        <v>11</v>
      </c>
      <c r="AH77" s="14" t="s">
        <v>11</v>
      </c>
      <c r="AI77" s="14" t="s">
        <v>11</v>
      </c>
      <c r="AJ77" s="14" t="s">
        <v>11</v>
      </c>
      <c r="AK77" s="14" t="s">
        <v>11</v>
      </c>
      <c r="AL77" s="14" t="str">
        <f t="shared" si="35"/>
        <v>T</v>
      </c>
      <c r="AM77" s="14" t="str">
        <f t="shared" si="67"/>
        <v>T</v>
      </c>
      <c r="AN77" s="14" t="str">
        <f t="shared" si="37"/>
        <v/>
      </c>
      <c r="AO77" s="14" t="str">
        <f t="shared" si="68"/>
        <v/>
      </c>
      <c r="AP77" s="14" t="str">
        <f t="shared" si="69"/>
        <v/>
      </c>
      <c r="AQ77" s="14" t="str">
        <f t="shared" si="71"/>
        <v/>
      </c>
      <c r="AR77" s="15">
        <f t="shared" si="55"/>
        <v>0</v>
      </c>
      <c r="AT77" s="17">
        <f t="shared" si="70"/>
        <v>0</v>
      </c>
    </row>
    <row r="78" spans="2:46" x14ac:dyDescent="0.2">
      <c r="B78" s="16"/>
      <c r="C78" s="15" t="s">
        <v>53</v>
      </c>
      <c r="D78" s="30" t="str">
        <f t="shared" si="32"/>
        <v/>
      </c>
      <c r="E78" s="14" t="str">
        <f t="shared" si="56"/>
        <v/>
      </c>
      <c r="F78" s="14" t="str">
        <f t="shared" si="57"/>
        <v/>
      </c>
      <c r="G78" s="14" t="str">
        <f t="shared" si="58"/>
        <v/>
      </c>
      <c r="H78" s="14" t="str">
        <f t="shared" si="59"/>
        <v/>
      </c>
      <c r="I78" s="14" t="str">
        <f t="shared" si="60"/>
        <v/>
      </c>
      <c r="J78" s="14" t="str">
        <f t="shared" si="61"/>
        <v/>
      </c>
      <c r="K78" s="14" t="str">
        <f t="shared" si="62"/>
        <v/>
      </c>
      <c r="L78" s="14" t="str">
        <f t="shared" si="63"/>
        <v/>
      </c>
      <c r="M78" s="14" t="str">
        <f t="shared" si="64"/>
        <v/>
      </c>
      <c r="N78" s="14" t="str">
        <f t="shared" si="65"/>
        <v/>
      </c>
      <c r="O78" s="14" t="s">
        <v>11</v>
      </c>
      <c r="P78" s="14" t="s">
        <v>11</v>
      </c>
      <c r="Q78" s="14" t="s">
        <v>11</v>
      </c>
      <c r="R78" s="14" t="s">
        <v>13</v>
      </c>
      <c r="S78" s="14" t="s">
        <v>11</v>
      </c>
      <c r="T78" s="14" t="s">
        <v>11</v>
      </c>
      <c r="U78" s="14" t="s">
        <v>11</v>
      </c>
      <c r="V78" s="14" t="s">
        <v>11</v>
      </c>
      <c r="W78" s="14" t="s">
        <v>11</v>
      </c>
      <c r="X78" s="14" t="s">
        <v>11</v>
      </c>
      <c r="Y78" s="14" t="str">
        <f t="shared" si="33"/>
        <v/>
      </c>
      <c r="Z78" s="14" t="str">
        <f t="shared" si="66"/>
        <v/>
      </c>
      <c r="AA78" s="15">
        <f t="shared" si="51"/>
        <v>0</v>
      </c>
      <c r="AB78" s="14" t="s">
        <v>11</v>
      </c>
      <c r="AC78" s="14" t="s">
        <v>11</v>
      </c>
      <c r="AD78" s="14" t="s">
        <v>11</v>
      </c>
      <c r="AE78" s="14" t="s">
        <v>11</v>
      </c>
      <c r="AF78" s="14" t="s">
        <v>13</v>
      </c>
      <c r="AG78" s="14" t="s">
        <v>11</v>
      </c>
      <c r="AH78" s="14" t="s">
        <v>11</v>
      </c>
      <c r="AI78" s="14" t="s">
        <v>11</v>
      </c>
      <c r="AJ78" s="14" t="s">
        <v>11</v>
      </c>
      <c r="AK78" s="14" t="s">
        <v>11</v>
      </c>
      <c r="AL78" s="14" t="str">
        <f t="shared" si="35"/>
        <v>T</v>
      </c>
      <c r="AM78" s="14" t="str">
        <f t="shared" si="67"/>
        <v>T</v>
      </c>
      <c r="AN78" s="14" t="str">
        <f t="shared" si="37"/>
        <v/>
      </c>
      <c r="AO78" s="14" t="str">
        <f t="shared" si="68"/>
        <v/>
      </c>
      <c r="AP78" s="14" t="str">
        <f t="shared" si="69"/>
        <v/>
      </c>
      <c r="AQ78" s="14" t="str">
        <f t="shared" si="71"/>
        <v/>
      </c>
      <c r="AR78" s="15">
        <f t="shared" si="55"/>
        <v>0</v>
      </c>
      <c r="AT78" s="17">
        <f t="shared" si="70"/>
        <v>0</v>
      </c>
    </row>
    <row r="79" spans="2:46" x14ac:dyDescent="0.2">
      <c r="B79" s="16"/>
      <c r="C79" s="15" t="s">
        <v>53</v>
      </c>
      <c r="D79" s="30" t="str">
        <f t="shared" si="32"/>
        <v/>
      </c>
      <c r="E79" s="14" t="str">
        <f t="shared" si="56"/>
        <v/>
      </c>
      <c r="F79" s="14" t="str">
        <f t="shared" si="57"/>
        <v/>
      </c>
      <c r="G79" s="14" t="str">
        <f t="shared" si="58"/>
        <v/>
      </c>
      <c r="H79" s="14" t="str">
        <f t="shared" si="59"/>
        <v/>
      </c>
      <c r="I79" s="14" t="str">
        <f t="shared" si="60"/>
        <v/>
      </c>
      <c r="J79" s="14" t="str">
        <f t="shared" si="61"/>
        <v/>
      </c>
      <c r="K79" s="14" t="str">
        <f t="shared" si="62"/>
        <v/>
      </c>
      <c r="L79" s="14" t="str">
        <f t="shared" si="63"/>
        <v/>
      </c>
      <c r="M79" s="14" t="str">
        <f t="shared" si="64"/>
        <v/>
      </c>
      <c r="N79" s="14" t="str">
        <f t="shared" si="65"/>
        <v/>
      </c>
      <c r="O79" s="14" t="s">
        <v>11</v>
      </c>
      <c r="P79" s="14" t="s">
        <v>11</v>
      </c>
      <c r="Q79" s="14" t="s">
        <v>11</v>
      </c>
      <c r="R79" s="14" t="s">
        <v>13</v>
      </c>
      <c r="S79" s="14" t="s">
        <v>11</v>
      </c>
      <c r="T79" s="14" t="s">
        <v>11</v>
      </c>
      <c r="U79" s="14" t="s">
        <v>11</v>
      </c>
      <c r="V79" s="14" t="s">
        <v>11</v>
      </c>
      <c r="W79" s="14" t="s">
        <v>11</v>
      </c>
      <c r="X79" s="14" t="s">
        <v>11</v>
      </c>
      <c r="Y79" s="14" t="str">
        <f t="shared" si="33"/>
        <v/>
      </c>
      <c r="Z79" s="14" t="str">
        <f t="shared" si="66"/>
        <v/>
      </c>
      <c r="AA79" s="15">
        <f t="shared" si="51"/>
        <v>0</v>
      </c>
      <c r="AB79" s="14" t="s">
        <v>11</v>
      </c>
      <c r="AC79" s="14" t="s">
        <v>11</v>
      </c>
      <c r="AD79" s="14" t="s">
        <v>11</v>
      </c>
      <c r="AE79" s="14" t="s">
        <v>11</v>
      </c>
      <c r="AF79" s="14" t="s">
        <v>13</v>
      </c>
      <c r="AG79" s="14" t="s">
        <v>11</v>
      </c>
      <c r="AH79" s="14" t="s">
        <v>11</v>
      </c>
      <c r="AI79" s="14" t="s">
        <v>11</v>
      </c>
      <c r="AJ79" s="14" t="s">
        <v>11</v>
      </c>
      <c r="AK79" s="14" t="s">
        <v>11</v>
      </c>
      <c r="AL79" s="14" t="str">
        <f t="shared" si="35"/>
        <v>T</v>
      </c>
      <c r="AM79" s="14" t="str">
        <f t="shared" si="67"/>
        <v>T</v>
      </c>
      <c r="AN79" s="14" t="str">
        <f t="shared" si="37"/>
        <v/>
      </c>
      <c r="AO79" s="14" t="str">
        <f t="shared" si="68"/>
        <v/>
      </c>
      <c r="AP79" s="14" t="str">
        <f t="shared" si="69"/>
        <v/>
      </c>
      <c r="AQ79" s="14" t="str">
        <f t="shared" si="71"/>
        <v/>
      </c>
      <c r="AR79" s="15">
        <f t="shared" si="55"/>
        <v>0</v>
      </c>
      <c r="AT79" s="17">
        <f t="shared" si="70"/>
        <v>0</v>
      </c>
    </row>
    <row r="80" spans="2:46" x14ac:dyDescent="0.2">
      <c r="B80" s="16"/>
      <c r="C80" s="15" t="s">
        <v>53</v>
      </c>
      <c r="D80" s="30" t="str">
        <f t="shared" si="32"/>
        <v/>
      </c>
      <c r="E80" s="14" t="str">
        <f t="shared" si="56"/>
        <v/>
      </c>
      <c r="F80" s="14" t="str">
        <f t="shared" si="57"/>
        <v/>
      </c>
      <c r="G80" s="14" t="str">
        <f t="shared" si="58"/>
        <v/>
      </c>
      <c r="H80" s="14" t="str">
        <f t="shared" si="59"/>
        <v/>
      </c>
      <c r="I80" s="14" t="str">
        <f t="shared" si="60"/>
        <v/>
      </c>
      <c r="J80" s="14" t="str">
        <f t="shared" si="61"/>
        <v/>
      </c>
      <c r="K80" s="14" t="str">
        <f t="shared" si="62"/>
        <v/>
      </c>
      <c r="L80" s="14" t="str">
        <f t="shared" si="63"/>
        <v/>
      </c>
      <c r="M80" s="14" t="str">
        <f t="shared" si="64"/>
        <v/>
      </c>
      <c r="N80" s="14" t="str">
        <f t="shared" si="65"/>
        <v/>
      </c>
      <c r="O80" s="14" t="s">
        <v>11</v>
      </c>
      <c r="P80" s="14" t="s">
        <v>11</v>
      </c>
      <c r="Q80" s="14" t="s">
        <v>11</v>
      </c>
      <c r="R80" s="14" t="s">
        <v>13</v>
      </c>
      <c r="S80" s="14" t="s">
        <v>11</v>
      </c>
      <c r="T80" s="14" t="s">
        <v>11</v>
      </c>
      <c r="U80" s="14" t="s">
        <v>11</v>
      </c>
      <c r="V80" s="14" t="s">
        <v>11</v>
      </c>
      <c r="W80" s="14" t="s">
        <v>11</v>
      </c>
      <c r="X80" s="14" t="s">
        <v>11</v>
      </c>
      <c r="Y80" s="14" t="str">
        <f t="shared" si="33"/>
        <v/>
      </c>
      <c r="Z80" s="14" t="str">
        <f t="shared" si="66"/>
        <v/>
      </c>
      <c r="AA80" s="15">
        <f t="shared" si="51"/>
        <v>0</v>
      </c>
      <c r="AB80" s="14" t="s">
        <v>11</v>
      </c>
      <c r="AC80" s="14" t="s">
        <v>11</v>
      </c>
      <c r="AD80" s="14" t="s">
        <v>11</v>
      </c>
      <c r="AE80" s="14" t="s">
        <v>11</v>
      </c>
      <c r="AF80" s="14" t="s">
        <v>13</v>
      </c>
      <c r="AG80" s="14" t="s">
        <v>11</v>
      </c>
      <c r="AH80" s="14" t="s">
        <v>11</v>
      </c>
      <c r="AI80" s="14" t="s">
        <v>11</v>
      </c>
      <c r="AJ80" s="14" t="s">
        <v>11</v>
      </c>
      <c r="AK80" s="14" t="s">
        <v>11</v>
      </c>
      <c r="AL80" s="14" t="str">
        <f t="shared" si="35"/>
        <v>T</v>
      </c>
      <c r="AM80" s="14" t="str">
        <f t="shared" si="67"/>
        <v>T</v>
      </c>
      <c r="AN80" s="14" t="str">
        <f t="shared" si="37"/>
        <v/>
      </c>
      <c r="AO80" s="14" t="str">
        <f t="shared" si="68"/>
        <v/>
      </c>
      <c r="AP80" s="14" t="str">
        <f t="shared" si="69"/>
        <v/>
      </c>
      <c r="AQ80" s="14" t="str">
        <f t="shared" si="71"/>
        <v/>
      </c>
      <c r="AR80" s="15">
        <f t="shared" si="55"/>
        <v>0</v>
      </c>
      <c r="AT80" s="17">
        <f t="shared" si="70"/>
        <v>0</v>
      </c>
    </row>
    <row r="81" spans="2:46" x14ac:dyDescent="0.2">
      <c r="B81" s="16"/>
      <c r="C81" s="15" t="s">
        <v>53</v>
      </c>
      <c r="D81" s="30" t="str">
        <f t="shared" si="32"/>
        <v/>
      </c>
      <c r="E81" s="14" t="str">
        <f t="shared" si="56"/>
        <v/>
      </c>
      <c r="F81" s="14" t="str">
        <f t="shared" si="57"/>
        <v/>
      </c>
      <c r="G81" s="14" t="str">
        <f t="shared" si="58"/>
        <v/>
      </c>
      <c r="H81" s="14" t="str">
        <f t="shared" si="59"/>
        <v/>
      </c>
      <c r="I81" s="14" t="str">
        <f t="shared" si="60"/>
        <v/>
      </c>
      <c r="J81" s="14" t="str">
        <f t="shared" si="61"/>
        <v/>
      </c>
      <c r="K81" s="14" t="str">
        <f t="shared" si="62"/>
        <v/>
      </c>
      <c r="L81" s="14" t="str">
        <f t="shared" si="63"/>
        <v/>
      </c>
      <c r="M81" s="14" t="str">
        <f t="shared" si="64"/>
        <v/>
      </c>
      <c r="N81" s="14" t="str">
        <f t="shared" si="65"/>
        <v/>
      </c>
      <c r="O81" s="14" t="s">
        <v>11</v>
      </c>
      <c r="P81" s="14" t="s">
        <v>11</v>
      </c>
      <c r="Q81" s="14" t="s">
        <v>11</v>
      </c>
      <c r="R81" s="14" t="s">
        <v>13</v>
      </c>
      <c r="S81" s="14" t="s">
        <v>11</v>
      </c>
      <c r="T81" s="14" t="s">
        <v>11</v>
      </c>
      <c r="U81" s="14" t="s">
        <v>11</v>
      </c>
      <c r="V81" s="14" t="s">
        <v>11</v>
      </c>
      <c r="W81" s="14" t="s">
        <v>11</v>
      </c>
      <c r="X81" s="14" t="s">
        <v>11</v>
      </c>
      <c r="Y81" s="14" t="str">
        <f t="shared" si="33"/>
        <v/>
      </c>
      <c r="Z81" s="14" t="str">
        <f t="shared" si="66"/>
        <v/>
      </c>
      <c r="AA81" s="15">
        <f t="shared" si="51"/>
        <v>0</v>
      </c>
      <c r="AB81" s="14" t="s">
        <v>11</v>
      </c>
      <c r="AC81" s="14" t="s">
        <v>11</v>
      </c>
      <c r="AD81" s="14" t="s">
        <v>11</v>
      </c>
      <c r="AE81" s="14" t="s">
        <v>11</v>
      </c>
      <c r="AF81" s="14" t="s">
        <v>13</v>
      </c>
      <c r="AG81" s="14" t="s">
        <v>11</v>
      </c>
      <c r="AH81" s="14" t="s">
        <v>11</v>
      </c>
      <c r="AI81" s="14" t="s">
        <v>11</v>
      </c>
      <c r="AJ81" s="14" t="s">
        <v>11</v>
      </c>
      <c r="AK81" s="14" t="s">
        <v>11</v>
      </c>
      <c r="AL81" s="14" t="str">
        <f t="shared" si="35"/>
        <v>T</v>
      </c>
      <c r="AM81" s="14" t="str">
        <f t="shared" si="67"/>
        <v>T</v>
      </c>
      <c r="AN81" s="14" t="str">
        <f t="shared" si="37"/>
        <v/>
      </c>
      <c r="AO81" s="14" t="str">
        <f t="shared" si="68"/>
        <v/>
      </c>
      <c r="AP81" s="14" t="str">
        <f t="shared" si="69"/>
        <v/>
      </c>
      <c r="AQ81" s="14" t="str">
        <f t="shared" si="71"/>
        <v/>
      </c>
      <c r="AR81" s="15">
        <f t="shared" si="55"/>
        <v>0</v>
      </c>
      <c r="AT81" s="17">
        <f t="shared" si="70"/>
        <v>0</v>
      </c>
    </row>
    <row r="82" spans="2:46" x14ac:dyDescent="0.2">
      <c r="B82" s="16"/>
      <c r="C82" s="15" t="s">
        <v>53</v>
      </c>
      <c r="D82" s="30" t="str">
        <f t="shared" si="32"/>
        <v/>
      </c>
      <c r="E82" s="14" t="str">
        <f t="shared" si="56"/>
        <v/>
      </c>
      <c r="F82" s="14" t="str">
        <f t="shared" si="57"/>
        <v/>
      </c>
      <c r="G82" s="14" t="str">
        <f t="shared" si="58"/>
        <v/>
      </c>
      <c r="H82" s="14" t="str">
        <f t="shared" si="59"/>
        <v/>
      </c>
      <c r="I82" s="14" t="str">
        <f t="shared" si="60"/>
        <v/>
      </c>
      <c r="J82" s="14" t="str">
        <f t="shared" si="61"/>
        <v/>
      </c>
      <c r="K82" s="14" t="str">
        <f t="shared" si="62"/>
        <v/>
      </c>
      <c r="L82" s="14" t="str">
        <f t="shared" si="63"/>
        <v/>
      </c>
      <c r="M82" s="14" t="str">
        <f t="shared" si="64"/>
        <v/>
      </c>
      <c r="N82" s="14" t="str">
        <f t="shared" si="65"/>
        <v/>
      </c>
      <c r="O82" s="14" t="s">
        <v>11</v>
      </c>
      <c r="P82" s="14" t="s">
        <v>11</v>
      </c>
      <c r="Q82" s="14" t="s">
        <v>11</v>
      </c>
      <c r="R82" s="14" t="s">
        <v>13</v>
      </c>
      <c r="S82" s="14" t="s">
        <v>11</v>
      </c>
      <c r="T82" s="14" t="s">
        <v>11</v>
      </c>
      <c r="U82" s="14" t="s">
        <v>11</v>
      </c>
      <c r="V82" s="14" t="s">
        <v>11</v>
      </c>
      <c r="W82" s="14" t="s">
        <v>11</v>
      </c>
      <c r="X82" s="14" t="s">
        <v>11</v>
      </c>
      <c r="Y82" s="14" t="str">
        <f t="shared" si="33"/>
        <v/>
      </c>
      <c r="Z82" s="14" t="str">
        <f t="shared" si="66"/>
        <v/>
      </c>
      <c r="AA82" s="15">
        <f t="shared" si="51"/>
        <v>0</v>
      </c>
      <c r="AB82" s="14" t="s">
        <v>11</v>
      </c>
      <c r="AC82" s="14" t="s">
        <v>11</v>
      </c>
      <c r="AD82" s="14" t="s">
        <v>11</v>
      </c>
      <c r="AE82" s="14" t="s">
        <v>11</v>
      </c>
      <c r="AF82" s="14" t="s">
        <v>13</v>
      </c>
      <c r="AG82" s="14" t="s">
        <v>11</v>
      </c>
      <c r="AH82" s="14" t="s">
        <v>11</v>
      </c>
      <c r="AI82" s="14" t="s">
        <v>11</v>
      </c>
      <c r="AJ82" s="14" t="s">
        <v>11</v>
      </c>
      <c r="AK82" s="14" t="s">
        <v>11</v>
      </c>
      <c r="AL82" s="14" t="str">
        <f t="shared" si="35"/>
        <v>T</v>
      </c>
      <c r="AM82" s="14" t="str">
        <f t="shared" si="67"/>
        <v>T</v>
      </c>
      <c r="AN82" s="14" t="str">
        <f t="shared" si="37"/>
        <v/>
      </c>
      <c r="AO82" s="14" t="str">
        <f t="shared" si="68"/>
        <v/>
      </c>
      <c r="AP82" s="14" t="str">
        <f t="shared" si="69"/>
        <v/>
      </c>
      <c r="AQ82" s="14" t="str">
        <f t="shared" si="71"/>
        <v/>
      </c>
      <c r="AR82" s="15">
        <f t="shared" si="55"/>
        <v>0</v>
      </c>
      <c r="AT82" s="17">
        <f t="shared" si="70"/>
        <v>0</v>
      </c>
    </row>
    <row r="83" spans="2:46" x14ac:dyDescent="0.2">
      <c r="B83" s="16"/>
      <c r="C83" s="15" t="s">
        <v>53</v>
      </c>
      <c r="D83" s="30" t="str">
        <f t="shared" si="32"/>
        <v/>
      </c>
      <c r="E83" s="14" t="str">
        <f t="shared" si="56"/>
        <v/>
      </c>
      <c r="F83" s="14" t="str">
        <f t="shared" si="57"/>
        <v/>
      </c>
      <c r="G83" s="14" t="str">
        <f t="shared" si="58"/>
        <v/>
      </c>
      <c r="H83" s="14" t="str">
        <f t="shared" si="59"/>
        <v/>
      </c>
      <c r="I83" s="14" t="str">
        <f t="shared" si="60"/>
        <v/>
      </c>
      <c r="J83" s="14" t="str">
        <f t="shared" si="61"/>
        <v/>
      </c>
      <c r="K83" s="14" t="str">
        <f t="shared" si="62"/>
        <v/>
      </c>
      <c r="L83" s="14" t="str">
        <f t="shared" si="63"/>
        <v/>
      </c>
      <c r="M83" s="14" t="str">
        <f t="shared" si="64"/>
        <v/>
      </c>
      <c r="N83" s="14" t="str">
        <f t="shared" si="65"/>
        <v/>
      </c>
      <c r="O83" s="14" t="s">
        <v>11</v>
      </c>
      <c r="P83" s="14" t="s">
        <v>11</v>
      </c>
      <c r="Q83" s="14" t="s">
        <v>11</v>
      </c>
      <c r="R83" s="14" t="s">
        <v>13</v>
      </c>
      <c r="S83" s="14" t="s">
        <v>11</v>
      </c>
      <c r="T83" s="14" t="s">
        <v>11</v>
      </c>
      <c r="U83" s="14" t="s">
        <v>11</v>
      </c>
      <c r="V83" s="14" t="s">
        <v>11</v>
      </c>
      <c r="W83" s="14" t="s">
        <v>11</v>
      </c>
      <c r="X83" s="14" t="s">
        <v>11</v>
      </c>
      <c r="Y83" s="14" t="str">
        <f t="shared" si="33"/>
        <v/>
      </c>
      <c r="Z83" s="14" t="str">
        <f t="shared" si="66"/>
        <v/>
      </c>
      <c r="AA83" s="15">
        <f t="shared" si="51"/>
        <v>0</v>
      </c>
      <c r="AB83" s="14" t="s">
        <v>11</v>
      </c>
      <c r="AC83" s="14" t="s">
        <v>11</v>
      </c>
      <c r="AD83" s="14" t="s">
        <v>11</v>
      </c>
      <c r="AE83" s="14" t="s">
        <v>41</v>
      </c>
      <c r="AF83" s="14" t="s">
        <v>13</v>
      </c>
      <c r="AG83" s="14" t="s">
        <v>11</v>
      </c>
      <c r="AH83" s="14" t="s">
        <v>11</v>
      </c>
      <c r="AI83" s="14" t="s">
        <v>11</v>
      </c>
      <c r="AJ83" s="14" t="s">
        <v>11</v>
      </c>
      <c r="AK83" s="14" t="s">
        <v>11</v>
      </c>
      <c r="AL83" s="14" t="str">
        <f t="shared" si="35"/>
        <v>T</v>
      </c>
      <c r="AM83" s="14" t="str">
        <f t="shared" si="67"/>
        <v>T</v>
      </c>
      <c r="AN83" s="14" t="str">
        <f t="shared" si="37"/>
        <v/>
      </c>
      <c r="AO83" s="14" t="str">
        <f t="shared" si="68"/>
        <v/>
      </c>
      <c r="AP83" s="14" t="str">
        <f t="shared" si="69"/>
        <v/>
      </c>
      <c r="AQ83" s="14" t="str">
        <f t="shared" si="71"/>
        <v/>
      </c>
      <c r="AR83" s="15">
        <f t="shared" si="55"/>
        <v>0</v>
      </c>
      <c r="AT83" s="17">
        <f t="shared" si="70"/>
        <v>0</v>
      </c>
    </row>
    <row r="84" spans="2:46" x14ac:dyDescent="0.2">
      <c r="B84" s="16"/>
      <c r="C84" s="15" t="s">
        <v>53</v>
      </c>
      <c r="D84" s="30" t="str">
        <f t="shared" si="32"/>
        <v/>
      </c>
      <c r="E84" s="14" t="str">
        <f t="shared" si="56"/>
        <v/>
      </c>
      <c r="F84" s="14" t="str">
        <f t="shared" si="57"/>
        <v/>
      </c>
      <c r="G84" s="14" t="str">
        <f t="shared" si="58"/>
        <v/>
      </c>
      <c r="H84" s="14" t="str">
        <f t="shared" si="59"/>
        <v/>
      </c>
      <c r="I84" s="14" t="str">
        <f t="shared" si="60"/>
        <v/>
      </c>
      <c r="J84" s="14" t="str">
        <f t="shared" si="61"/>
        <v/>
      </c>
      <c r="K84" s="14" t="str">
        <f t="shared" si="62"/>
        <v/>
      </c>
      <c r="L84" s="14" t="str">
        <f t="shared" si="63"/>
        <v/>
      </c>
      <c r="M84" s="14" t="str">
        <f t="shared" si="64"/>
        <v/>
      </c>
      <c r="N84" s="14" t="str">
        <f t="shared" si="65"/>
        <v/>
      </c>
      <c r="O84" s="14" t="s">
        <v>11</v>
      </c>
      <c r="P84" s="14" t="s">
        <v>11</v>
      </c>
      <c r="Q84" s="14" t="s">
        <v>11</v>
      </c>
      <c r="R84" s="14" t="s">
        <v>13</v>
      </c>
      <c r="S84" s="14" t="s">
        <v>11</v>
      </c>
      <c r="T84" s="14" t="s">
        <v>11</v>
      </c>
      <c r="U84" s="14" t="s">
        <v>11</v>
      </c>
      <c r="V84" s="14" t="s">
        <v>11</v>
      </c>
      <c r="W84" s="14" t="s">
        <v>11</v>
      </c>
      <c r="X84" s="14" t="s">
        <v>11</v>
      </c>
      <c r="Y84" s="14" t="str">
        <f t="shared" si="33"/>
        <v/>
      </c>
      <c r="Z84" s="14" t="str">
        <f t="shared" si="66"/>
        <v/>
      </c>
      <c r="AA84" s="15">
        <f t="shared" si="51"/>
        <v>0</v>
      </c>
      <c r="AB84" s="14" t="s">
        <v>11</v>
      </c>
      <c r="AC84" s="14" t="s">
        <v>11</v>
      </c>
      <c r="AD84" s="14" t="s">
        <v>11</v>
      </c>
      <c r="AE84" s="14" t="s">
        <v>11</v>
      </c>
      <c r="AF84" s="14" t="s">
        <v>13</v>
      </c>
      <c r="AG84" s="14" t="s">
        <v>11</v>
      </c>
      <c r="AH84" s="14" t="s">
        <v>11</v>
      </c>
      <c r="AI84" s="14" t="s">
        <v>11</v>
      </c>
      <c r="AJ84" s="14" t="s">
        <v>11</v>
      </c>
      <c r="AK84" s="14" t="s">
        <v>11</v>
      </c>
      <c r="AL84" s="14" t="str">
        <f t="shared" si="35"/>
        <v>T</v>
      </c>
      <c r="AM84" s="14" t="str">
        <f t="shared" si="67"/>
        <v>T</v>
      </c>
      <c r="AN84" s="14" t="str">
        <f t="shared" si="37"/>
        <v/>
      </c>
      <c r="AO84" s="14" t="str">
        <f t="shared" si="68"/>
        <v/>
      </c>
      <c r="AP84" s="14" t="str">
        <f t="shared" si="69"/>
        <v/>
      </c>
      <c r="AQ84" s="14" t="str">
        <f t="shared" si="71"/>
        <v/>
      </c>
      <c r="AR84" s="15">
        <f t="shared" si="55"/>
        <v>0</v>
      </c>
      <c r="AT84" s="17">
        <f t="shared" si="70"/>
        <v>0</v>
      </c>
    </row>
    <row r="85" spans="2:46" x14ac:dyDescent="0.2">
      <c r="B85" s="16"/>
      <c r="C85" s="15" t="s">
        <v>53</v>
      </c>
      <c r="D85" s="30" t="str">
        <f t="shared" si="32"/>
        <v/>
      </c>
      <c r="E85" s="14" t="str">
        <f t="shared" si="56"/>
        <v/>
      </c>
      <c r="F85" s="14" t="str">
        <f t="shared" si="57"/>
        <v/>
      </c>
      <c r="G85" s="14" t="str">
        <f t="shared" si="58"/>
        <v/>
      </c>
      <c r="H85" s="14" t="str">
        <f t="shared" si="59"/>
        <v/>
      </c>
      <c r="I85" s="14" t="str">
        <f t="shared" si="60"/>
        <v/>
      </c>
      <c r="J85" s="14" t="str">
        <f t="shared" si="61"/>
        <v/>
      </c>
      <c r="K85" s="14" t="str">
        <f t="shared" si="62"/>
        <v/>
      </c>
      <c r="L85" s="14" t="str">
        <f t="shared" si="63"/>
        <v/>
      </c>
      <c r="M85" s="14" t="str">
        <f t="shared" si="64"/>
        <v/>
      </c>
      <c r="N85" s="14" t="str">
        <f t="shared" si="65"/>
        <v/>
      </c>
      <c r="O85" s="14" t="s">
        <v>11</v>
      </c>
      <c r="P85" s="14" t="s">
        <v>11</v>
      </c>
      <c r="Q85" s="14" t="s">
        <v>11</v>
      </c>
      <c r="R85" s="14" t="s">
        <v>13</v>
      </c>
      <c r="S85" s="14" t="s">
        <v>11</v>
      </c>
      <c r="T85" s="14" t="s">
        <v>11</v>
      </c>
      <c r="U85" s="14" t="s">
        <v>11</v>
      </c>
      <c r="V85" s="14" t="s">
        <v>11</v>
      </c>
      <c r="W85" s="14" t="s">
        <v>11</v>
      </c>
      <c r="X85" s="14" t="s">
        <v>11</v>
      </c>
      <c r="Y85" s="14" t="str">
        <f t="shared" si="33"/>
        <v/>
      </c>
      <c r="Z85" s="14" t="str">
        <f t="shared" si="66"/>
        <v/>
      </c>
      <c r="AA85" s="15">
        <f t="shared" si="51"/>
        <v>0</v>
      </c>
      <c r="AB85" s="14" t="s">
        <v>11</v>
      </c>
      <c r="AC85" s="14" t="s">
        <v>11</v>
      </c>
      <c r="AD85" s="14" t="s">
        <v>11</v>
      </c>
      <c r="AE85" s="14" t="s">
        <v>11</v>
      </c>
      <c r="AF85" s="14" t="s">
        <v>13</v>
      </c>
      <c r="AG85" s="14" t="s">
        <v>11</v>
      </c>
      <c r="AH85" s="14" t="s">
        <v>11</v>
      </c>
      <c r="AI85" s="14" t="s">
        <v>11</v>
      </c>
      <c r="AJ85" s="14" t="s">
        <v>11</v>
      </c>
      <c r="AK85" s="14" t="s">
        <v>11</v>
      </c>
      <c r="AL85" s="14" t="str">
        <f t="shared" si="35"/>
        <v>T</v>
      </c>
      <c r="AM85" s="14" t="str">
        <f t="shared" si="67"/>
        <v>T</v>
      </c>
      <c r="AN85" s="14" t="str">
        <f t="shared" si="37"/>
        <v/>
      </c>
      <c r="AO85" s="14" t="str">
        <f t="shared" si="68"/>
        <v/>
      </c>
      <c r="AP85" s="14" t="str">
        <f t="shared" si="69"/>
        <v/>
      </c>
      <c r="AQ85" s="14" t="str">
        <f t="shared" si="71"/>
        <v/>
      </c>
      <c r="AR85" s="15">
        <f t="shared" si="55"/>
        <v>0</v>
      </c>
      <c r="AT85" s="17">
        <f t="shared" si="70"/>
        <v>0</v>
      </c>
    </row>
    <row r="86" spans="2:46" x14ac:dyDescent="0.2">
      <c r="B86" s="16"/>
      <c r="C86" s="15" t="s">
        <v>53</v>
      </c>
      <c r="D86" s="30" t="str">
        <f t="shared" si="32"/>
        <v/>
      </c>
      <c r="E86" s="14" t="str">
        <f t="shared" si="56"/>
        <v/>
      </c>
      <c r="F86" s="14" t="str">
        <f t="shared" si="57"/>
        <v/>
      </c>
      <c r="G86" s="14" t="str">
        <f t="shared" si="58"/>
        <v/>
      </c>
      <c r="H86" s="14" t="str">
        <f t="shared" si="59"/>
        <v/>
      </c>
      <c r="I86" s="14" t="str">
        <f t="shared" si="60"/>
        <v/>
      </c>
      <c r="J86" s="14" t="str">
        <f t="shared" si="61"/>
        <v/>
      </c>
      <c r="K86" s="14" t="str">
        <f t="shared" si="62"/>
        <v/>
      </c>
      <c r="L86" s="14" t="str">
        <f t="shared" si="63"/>
        <v/>
      </c>
      <c r="M86" s="14" t="str">
        <f t="shared" si="64"/>
        <v/>
      </c>
      <c r="N86" s="14" t="str">
        <f t="shared" si="65"/>
        <v/>
      </c>
      <c r="O86" s="14" t="s">
        <v>11</v>
      </c>
      <c r="P86" s="14" t="s">
        <v>11</v>
      </c>
      <c r="Q86" s="14" t="s">
        <v>11</v>
      </c>
      <c r="R86" s="14" t="s">
        <v>13</v>
      </c>
      <c r="S86" s="14" t="s">
        <v>11</v>
      </c>
      <c r="T86" s="14" t="s">
        <v>11</v>
      </c>
      <c r="U86" s="14" t="s">
        <v>11</v>
      </c>
      <c r="V86" s="14" t="s">
        <v>11</v>
      </c>
      <c r="W86" s="14" t="s">
        <v>11</v>
      </c>
      <c r="X86" s="14" t="s">
        <v>11</v>
      </c>
      <c r="Y86" s="14" t="str">
        <f t="shared" si="33"/>
        <v/>
      </c>
      <c r="Z86" s="14" t="str">
        <f t="shared" si="66"/>
        <v/>
      </c>
      <c r="AA86" s="15">
        <f t="shared" si="51"/>
        <v>0</v>
      </c>
      <c r="AB86" s="14" t="s">
        <v>11</v>
      </c>
      <c r="AC86" s="14" t="s">
        <v>11</v>
      </c>
      <c r="AD86" s="14" t="s">
        <v>11</v>
      </c>
      <c r="AE86" s="14" t="s">
        <v>11</v>
      </c>
      <c r="AF86" s="14" t="s">
        <v>13</v>
      </c>
      <c r="AG86" s="14" t="s">
        <v>11</v>
      </c>
      <c r="AH86" s="14" t="s">
        <v>11</v>
      </c>
      <c r="AI86" s="14" t="s">
        <v>11</v>
      </c>
      <c r="AJ86" s="14" t="s">
        <v>11</v>
      </c>
      <c r="AK86" s="14" t="s">
        <v>11</v>
      </c>
      <c r="AL86" s="14" t="str">
        <f t="shared" si="35"/>
        <v>T</v>
      </c>
      <c r="AM86" s="14" t="str">
        <f t="shared" si="67"/>
        <v>T</v>
      </c>
      <c r="AN86" s="14" t="str">
        <f t="shared" si="37"/>
        <v/>
      </c>
      <c r="AO86" s="14" t="str">
        <f t="shared" si="68"/>
        <v/>
      </c>
      <c r="AP86" s="14" t="str">
        <f t="shared" si="69"/>
        <v/>
      </c>
      <c r="AQ86" s="14" t="str">
        <f t="shared" si="71"/>
        <v/>
      </c>
      <c r="AR86" s="15">
        <f t="shared" si="55"/>
        <v>0</v>
      </c>
      <c r="AT86" s="17">
        <f t="shared" si="70"/>
        <v>0</v>
      </c>
    </row>
    <row r="87" spans="2:46" x14ac:dyDescent="0.2">
      <c r="B87" s="16"/>
      <c r="C87" s="15" t="s">
        <v>53</v>
      </c>
      <c r="D87" s="30" t="str">
        <f t="shared" si="32"/>
        <v/>
      </c>
      <c r="E87" s="14" t="str">
        <f t="shared" si="56"/>
        <v/>
      </c>
      <c r="F87" s="14" t="str">
        <f t="shared" si="57"/>
        <v/>
      </c>
      <c r="G87" s="14" t="str">
        <f t="shared" si="58"/>
        <v/>
      </c>
      <c r="H87" s="14" t="str">
        <f t="shared" si="59"/>
        <v/>
      </c>
      <c r="I87" s="14" t="str">
        <f t="shared" si="60"/>
        <v/>
      </c>
      <c r="J87" s="14" t="str">
        <f t="shared" si="61"/>
        <v/>
      </c>
      <c r="K87" s="14" t="str">
        <f t="shared" si="62"/>
        <v/>
      </c>
      <c r="L87" s="14" t="str">
        <f t="shared" si="63"/>
        <v/>
      </c>
      <c r="M87" s="14" t="str">
        <f t="shared" si="64"/>
        <v/>
      </c>
      <c r="N87" s="14" t="str">
        <f t="shared" si="65"/>
        <v/>
      </c>
      <c r="O87" s="14" t="s">
        <v>11</v>
      </c>
      <c r="P87" s="14" t="s">
        <v>11</v>
      </c>
      <c r="Q87" s="14" t="s">
        <v>11</v>
      </c>
      <c r="R87" s="14" t="s">
        <v>13</v>
      </c>
      <c r="S87" s="14" t="s">
        <v>11</v>
      </c>
      <c r="T87" s="14" t="s">
        <v>11</v>
      </c>
      <c r="U87" s="14" t="s">
        <v>11</v>
      </c>
      <c r="V87" s="14" t="s">
        <v>11</v>
      </c>
      <c r="W87" s="14" t="s">
        <v>11</v>
      </c>
      <c r="X87" s="14" t="s">
        <v>11</v>
      </c>
      <c r="Y87" s="14" t="str">
        <f t="shared" si="33"/>
        <v/>
      </c>
      <c r="Z87" s="14" t="str">
        <f t="shared" si="66"/>
        <v/>
      </c>
      <c r="AA87" s="15">
        <f t="shared" si="51"/>
        <v>0</v>
      </c>
      <c r="AB87" s="14" t="s">
        <v>11</v>
      </c>
      <c r="AC87" s="14" t="s">
        <v>11</v>
      </c>
      <c r="AD87" s="14" t="s">
        <v>11</v>
      </c>
      <c r="AE87" s="14" t="s">
        <v>11</v>
      </c>
      <c r="AF87" s="14" t="s">
        <v>13</v>
      </c>
      <c r="AG87" s="14" t="s">
        <v>11</v>
      </c>
      <c r="AH87" s="14" t="s">
        <v>11</v>
      </c>
      <c r="AI87" s="14" t="s">
        <v>11</v>
      </c>
      <c r="AJ87" s="14" t="s">
        <v>11</v>
      </c>
      <c r="AK87" s="14" t="s">
        <v>11</v>
      </c>
      <c r="AL87" s="14" t="str">
        <f>"T_"&amp;IF(AB87="X",IF(E87&lt;&gt;"",IF(ISERROR(VLOOKUP(E87,ListaThesaurus,2,FALSE)),"***",VLOOKUP(E87,ListaThesaurus,2,FALSE)),""),"")&amp;IF(AC87="X",IF(F87&lt;&gt;"",IF(AB87="X","_","")&amp;IF(ISERROR(VLOOKUP(F87,ListaThesaurus,2,FALSE)),"***",VLOOKUP(F87,ListaThesaurus,2,FALSE)),""),"")&amp;IF(AD87="X",IF(G87&lt;&gt;"",IF(OR(AB87="X",AC87="X"),"_","")&amp;IF(ISERROR(VLOOKUP(G87,ListaThesaurus,2,FALSE)),"***",VLOOKUP(G87,ListaThesaurus,2,FALSE)),""),"")&amp;IF(AE87="X",IF(H87&lt;&gt;"",IF(OR(AB87="X",AC87="X",AD87="X"),"_","")&amp;IF(ISERROR(VLOOKUP(H87,ListaThesaurus,2,FALSE)),"***",VLOOKUP(H87,ListaThesaurus,2,FALSE)),""),"")&amp;IF(AF87="X",IF(I87&lt;&gt;"",IF(OR(AB87="X",AC87="X",AD87="X",AE87="X"),"_","")&amp;IF(ISERROR(VLOOKUP(I87,ListaThesaurus,2,FALSE)),"***",VLOOKUP(I87,ListaThesaurus,2,FALSE)),""),"")</f>
        <v>T_</v>
      </c>
      <c r="AM87" s="14" t="str">
        <f t="shared" si="67"/>
        <v>T_</v>
      </c>
      <c r="AN87" s="14" t="str">
        <f t="shared" si="37"/>
        <v/>
      </c>
      <c r="AO87" s="14" t="str">
        <f t="shared" si="68"/>
        <v/>
      </c>
      <c r="AP87" s="14" t="str">
        <f t="shared" si="69"/>
        <v/>
      </c>
      <c r="AQ87" s="14" t="str">
        <f t="shared" si="71"/>
        <v/>
      </c>
      <c r="AR87" s="15">
        <f t="shared" si="55"/>
        <v>0</v>
      </c>
      <c r="AT87" s="17">
        <f t="shared" si="70"/>
        <v>0</v>
      </c>
    </row>
    <row r="88" spans="2:46" x14ac:dyDescent="0.2">
      <c r="B88" s="16"/>
      <c r="C88" s="15" t="s">
        <v>53</v>
      </c>
      <c r="D88" s="30" t="str">
        <f t="shared" si="32"/>
        <v/>
      </c>
      <c r="E88" s="14" t="str">
        <f t="shared" si="56"/>
        <v/>
      </c>
      <c r="F88" s="14" t="str">
        <f t="shared" si="57"/>
        <v/>
      </c>
      <c r="G88" s="14" t="str">
        <f t="shared" si="58"/>
        <v/>
      </c>
      <c r="H88" s="14" t="str">
        <f t="shared" si="59"/>
        <v/>
      </c>
      <c r="I88" s="14" t="str">
        <f t="shared" si="60"/>
        <v/>
      </c>
      <c r="J88" s="14" t="str">
        <f t="shared" si="61"/>
        <v/>
      </c>
      <c r="K88" s="14" t="str">
        <f t="shared" si="62"/>
        <v/>
      </c>
      <c r="L88" s="14" t="str">
        <f t="shared" si="63"/>
        <v/>
      </c>
      <c r="M88" s="14" t="str">
        <f t="shared" si="64"/>
        <v/>
      </c>
      <c r="N88" s="14" t="str">
        <f>MID(D88,LEN(E88&amp;F88&amp;G88&amp;H88&amp;I88&amp;J88&amp;K88&amp;L88&amp;M88)+N$3,IF(ISERR(SEARCH(" ",D88,LEN(E88&amp;F88&amp;G88&amp;H88&amp;I88&amp;J88&amp;K88&amp;L88&amp;M88)+N$3)),1000,SEARCH(" ",D88,LEN(E88&amp;F88&amp;G88&amp;H88&amp;I88&amp;J88&amp;K88&amp;L88&amp;M88)+N$3)-LEN(E88&amp;F88&amp;G88&amp;H88&amp;I88&amp;J88&amp;K88&amp;L88&amp;M88)-N$3))</f>
        <v/>
      </c>
      <c r="O88" s="14" t="s">
        <v>11</v>
      </c>
      <c r="P88" s="14" t="s">
        <v>11</v>
      </c>
      <c r="Q88" s="14" t="s">
        <v>11</v>
      </c>
      <c r="R88" s="14" t="s">
        <v>13</v>
      </c>
      <c r="S88" s="14" t="s">
        <v>11</v>
      </c>
      <c r="T88" s="14" t="s">
        <v>11</v>
      </c>
      <c r="U88" s="14" t="s">
        <v>11</v>
      </c>
      <c r="V88" s="14" t="s">
        <v>11</v>
      </c>
      <c r="W88" s="14" t="s">
        <v>11</v>
      </c>
      <c r="X88" s="14" t="s">
        <v>11</v>
      </c>
      <c r="Y88" s="14" t="str">
        <f t="shared" si="33"/>
        <v/>
      </c>
      <c r="Z88" s="14" t="str">
        <f t="shared" si="66"/>
        <v/>
      </c>
      <c r="AA88" s="15">
        <f t="shared" ref="AA88:AA125" si="72">LEN(Z88)</f>
        <v>0</v>
      </c>
      <c r="AB88" s="14" t="s">
        <v>11</v>
      </c>
      <c r="AC88" s="14" t="s">
        <v>11</v>
      </c>
      <c r="AD88" s="14" t="s">
        <v>11</v>
      </c>
      <c r="AE88" s="14" t="s">
        <v>11</v>
      </c>
      <c r="AF88" s="14" t="s">
        <v>13</v>
      </c>
      <c r="AG88" s="14" t="s">
        <v>11</v>
      </c>
      <c r="AH88" s="14" t="s">
        <v>11</v>
      </c>
      <c r="AI88" s="14" t="s">
        <v>11</v>
      </c>
      <c r="AJ88" s="14" t="s">
        <v>11</v>
      </c>
      <c r="AK88" s="14" t="s">
        <v>11</v>
      </c>
      <c r="AL88" s="14" t="str">
        <f>"T"&amp;IF(AB88="X",IF(E88&lt;&gt;"",IF(ISERROR(VLOOKUP(E88,ListaThesaurus,2,FALSE)),"***",VLOOKUP(E88,ListaThesaurus,2,FALSE)),""),"")&amp;IF(AC88="X",IF(F88&lt;&gt;"",IF(AB88="X","_","")&amp;IF(ISERROR(VLOOKUP(F88,ListaThesaurus,2,FALSE)),"***",VLOOKUP(F88,ListaThesaurus,2,FALSE)),""),"")&amp;IF(AD88="X",IF(G88&lt;&gt;"",IF(OR(AB88="X",AC88="X"),"_","")&amp;IF(ISERROR(VLOOKUP(G88,ListaThesaurus,2,FALSE)),"***",VLOOKUP(G88,ListaThesaurus,2,FALSE)),""),"")&amp;IF(AE88="X",IF(H88&lt;&gt;"",IF(OR(AB88="X",AC88="X",AD88="X"),"_","")&amp;IF(ISERROR(VLOOKUP(H88,ListaThesaurus,2,FALSE)),"***",VLOOKUP(H88,ListaThesaurus,2,FALSE)),""),"")&amp;IF(AF88="X",IF(I88&lt;&gt;"",IF(OR(AB88="X",AC88="X",AD88="X",AE88="X"),"_","")&amp;IF(ISERROR(VLOOKUP(I88,ListaThesaurus,2,FALSE)),"***",VLOOKUP(I88,ListaThesaurus,2,FALSE)),""),"")</f>
        <v>T</v>
      </c>
      <c r="AM88" s="14" t="str">
        <f t="shared" si="67"/>
        <v>T</v>
      </c>
      <c r="AN88" s="14" t="str">
        <f t="shared" si="37"/>
        <v/>
      </c>
      <c r="AO88" s="14" t="str">
        <f t="shared" si="68"/>
        <v/>
      </c>
      <c r="AP88" s="14" t="str">
        <f t="shared" si="69"/>
        <v/>
      </c>
      <c r="AQ88" s="14" t="str">
        <f t="shared" si="71"/>
        <v/>
      </c>
      <c r="AR88" s="15">
        <f t="shared" ref="AR88:AR125" si="73">LEN(AP88)</f>
        <v>0</v>
      </c>
      <c r="AT88" s="17">
        <f t="shared" si="70"/>
        <v>0</v>
      </c>
    </row>
    <row r="89" spans="2:46" x14ac:dyDescent="0.2">
      <c r="B89" s="16"/>
      <c r="C89" s="15" t="s">
        <v>53</v>
      </c>
      <c r="D89" s="30" t="str">
        <f t="shared" si="32"/>
        <v/>
      </c>
      <c r="E89" s="14" t="str">
        <f t="shared" si="56"/>
        <v/>
      </c>
      <c r="F89" s="14" t="str">
        <f t="shared" si="57"/>
        <v/>
      </c>
      <c r="G89" s="14" t="str">
        <f t="shared" si="58"/>
        <v/>
      </c>
      <c r="H89" s="14" t="str">
        <f t="shared" si="59"/>
        <v/>
      </c>
      <c r="I89" s="14" t="str">
        <f t="shared" si="60"/>
        <v/>
      </c>
      <c r="J89" s="14" t="str">
        <f t="shared" si="61"/>
        <v/>
      </c>
      <c r="K89" s="14" t="str">
        <f t="shared" si="62"/>
        <v/>
      </c>
      <c r="L89" s="14" t="str">
        <f t="shared" si="63"/>
        <v/>
      </c>
      <c r="M89" s="14" t="str">
        <f t="shared" si="64"/>
        <v/>
      </c>
      <c r="N89" s="14" t="str">
        <f t="shared" si="65"/>
        <v/>
      </c>
      <c r="O89" s="14" t="s">
        <v>11</v>
      </c>
      <c r="P89" s="14" t="s">
        <v>11</v>
      </c>
      <c r="Q89" s="14" t="s">
        <v>11</v>
      </c>
      <c r="R89" s="14" t="s">
        <v>13</v>
      </c>
      <c r="S89" s="14" t="s">
        <v>11</v>
      </c>
      <c r="T89" s="14" t="s">
        <v>11</v>
      </c>
      <c r="U89" s="14" t="s">
        <v>11</v>
      </c>
      <c r="V89" s="14" t="s">
        <v>11</v>
      </c>
      <c r="W89" s="14" t="s">
        <v>11</v>
      </c>
      <c r="X89" s="14" t="s">
        <v>11</v>
      </c>
      <c r="Y89" s="14" t="str">
        <f t="shared" si="33"/>
        <v/>
      </c>
      <c r="Z89" s="14" t="str">
        <f t="shared" si="66"/>
        <v/>
      </c>
      <c r="AA89" s="15">
        <f t="shared" si="72"/>
        <v>0</v>
      </c>
      <c r="AB89" s="14" t="s">
        <v>11</v>
      </c>
      <c r="AC89" s="14" t="s">
        <v>11</v>
      </c>
      <c r="AD89" s="14" t="s">
        <v>11</v>
      </c>
      <c r="AE89" s="14" t="s">
        <v>11</v>
      </c>
      <c r="AF89" s="14" t="s">
        <v>13</v>
      </c>
      <c r="AG89" s="14" t="s">
        <v>11</v>
      </c>
      <c r="AH89" s="14" t="s">
        <v>11</v>
      </c>
      <c r="AI89" s="14" t="s">
        <v>11</v>
      </c>
      <c r="AJ89" s="14" t="s">
        <v>11</v>
      </c>
      <c r="AK89" s="14" t="s">
        <v>11</v>
      </c>
      <c r="AL89" s="14" t="str">
        <f t="shared" si="35"/>
        <v>T</v>
      </c>
      <c r="AM89" s="14" t="str">
        <f t="shared" si="67"/>
        <v>T</v>
      </c>
      <c r="AN89" s="14" t="str">
        <f t="shared" si="37"/>
        <v/>
      </c>
      <c r="AO89" s="14" t="str">
        <f t="shared" si="68"/>
        <v/>
      </c>
      <c r="AP89" s="14" t="str">
        <f t="shared" si="69"/>
        <v/>
      </c>
      <c r="AQ89" s="14" t="str">
        <f t="shared" si="71"/>
        <v/>
      </c>
      <c r="AR89" s="15">
        <f t="shared" si="73"/>
        <v>0</v>
      </c>
      <c r="AT89" s="17">
        <f t="shared" si="70"/>
        <v>0</v>
      </c>
    </row>
    <row r="90" spans="2:46" x14ac:dyDescent="0.2">
      <c r="B90" s="16"/>
      <c r="C90" s="15" t="s">
        <v>53</v>
      </c>
      <c r="D90" s="30" t="str">
        <f t="shared" si="32"/>
        <v/>
      </c>
      <c r="E90" s="14" t="str">
        <f t="shared" si="56"/>
        <v/>
      </c>
      <c r="F90" s="14" t="str">
        <f t="shared" si="57"/>
        <v/>
      </c>
      <c r="G90" s="14" t="str">
        <f t="shared" si="58"/>
        <v/>
      </c>
      <c r="H90" s="14" t="str">
        <f t="shared" si="59"/>
        <v/>
      </c>
      <c r="I90" s="14" t="str">
        <f t="shared" si="60"/>
        <v/>
      </c>
      <c r="J90" s="14" t="str">
        <f t="shared" si="61"/>
        <v/>
      </c>
      <c r="K90" s="14" t="str">
        <f t="shared" si="62"/>
        <v/>
      </c>
      <c r="L90" s="14" t="str">
        <f t="shared" si="63"/>
        <v/>
      </c>
      <c r="M90" s="14" t="str">
        <f t="shared" si="64"/>
        <v/>
      </c>
      <c r="N90" s="14" t="str">
        <f t="shared" si="65"/>
        <v/>
      </c>
      <c r="O90" s="14" t="s">
        <v>11</v>
      </c>
      <c r="P90" s="14" t="s">
        <v>11</v>
      </c>
      <c r="Q90" s="14" t="s">
        <v>11</v>
      </c>
      <c r="R90" s="14" t="s">
        <v>13</v>
      </c>
      <c r="S90" s="14" t="s">
        <v>11</v>
      </c>
      <c r="T90" s="14" t="s">
        <v>11</v>
      </c>
      <c r="U90" s="14" t="s">
        <v>11</v>
      </c>
      <c r="V90" s="14" t="s">
        <v>11</v>
      </c>
      <c r="W90" s="14" t="s">
        <v>11</v>
      </c>
      <c r="X90" s="14" t="s">
        <v>11</v>
      </c>
      <c r="Y90" s="14" t="str">
        <f t="shared" si="33"/>
        <v/>
      </c>
      <c r="Z90" s="14" t="str">
        <f t="shared" si="66"/>
        <v/>
      </c>
      <c r="AA90" s="15">
        <f t="shared" si="72"/>
        <v>0</v>
      </c>
      <c r="AB90" s="14" t="s">
        <v>11</v>
      </c>
      <c r="AC90" s="14" t="s">
        <v>11</v>
      </c>
      <c r="AD90" s="14" t="s">
        <v>11</v>
      </c>
      <c r="AE90" s="14" t="s">
        <v>11</v>
      </c>
      <c r="AF90" s="14" t="s">
        <v>13</v>
      </c>
      <c r="AG90" s="14" t="s">
        <v>11</v>
      </c>
      <c r="AH90" s="14" t="s">
        <v>11</v>
      </c>
      <c r="AI90" s="14" t="s">
        <v>11</v>
      </c>
      <c r="AJ90" s="14" t="s">
        <v>11</v>
      </c>
      <c r="AK90" s="14" t="s">
        <v>11</v>
      </c>
      <c r="AL90" s="14" t="str">
        <f t="shared" si="35"/>
        <v>T</v>
      </c>
      <c r="AM90" s="14" t="str">
        <f t="shared" si="67"/>
        <v>T</v>
      </c>
      <c r="AN90" s="14" t="str">
        <f t="shared" si="37"/>
        <v/>
      </c>
      <c r="AO90" s="14" t="str">
        <f t="shared" si="68"/>
        <v/>
      </c>
      <c r="AP90" s="14" t="str">
        <f t="shared" si="69"/>
        <v/>
      </c>
      <c r="AQ90" s="14" t="str">
        <f t="shared" si="71"/>
        <v/>
      </c>
      <c r="AR90" s="15">
        <f t="shared" si="73"/>
        <v>0</v>
      </c>
      <c r="AT90" s="17">
        <f t="shared" si="70"/>
        <v>0</v>
      </c>
    </row>
    <row r="91" spans="2:46" x14ac:dyDescent="0.2">
      <c r="B91" s="16"/>
      <c r="C91" s="15" t="s">
        <v>53</v>
      </c>
      <c r="D91" s="30" t="str">
        <f t="shared" si="32"/>
        <v/>
      </c>
      <c r="E91" s="14" t="str">
        <f t="shared" si="56"/>
        <v/>
      </c>
      <c r="F91" s="14" t="str">
        <f t="shared" si="57"/>
        <v/>
      </c>
      <c r="G91" s="14" t="str">
        <f t="shared" si="58"/>
        <v/>
      </c>
      <c r="H91" s="14" t="str">
        <f t="shared" si="59"/>
        <v/>
      </c>
      <c r="I91" s="14" t="str">
        <f t="shared" si="60"/>
        <v/>
      </c>
      <c r="J91" s="14" t="str">
        <f t="shared" si="61"/>
        <v/>
      </c>
      <c r="K91" s="14" t="str">
        <f t="shared" si="62"/>
        <v/>
      </c>
      <c r="L91" s="14" t="str">
        <f t="shared" si="63"/>
        <v/>
      </c>
      <c r="M91" s="14" t="str">
        <f t="shared" si="64"/>
        <v/>
      </c>
      <c r="N91" s="14" t="str">
        <f t="shared" si="65"/>
        <v/>
      </c>
      <c r="O91" s="14" t="s">
        <v>11</v>
      </c>
      <c r="P91" s="14" t="s">
        <v>11</v>
      </c>
      <c r="Q91" s="14" t="s">
        <v>11</v>
      </c>
      <c r="R91" s="14" t="s">
        <v>13</v>
      </c>
      <c r="S91" s="14" t="s">
        <v>11</v>
      </c>
      <c r="T91" s="14" t="s">
        <v>11</v>
      </c>
      <c r="U91" s="14" t="s">
        <v>11</v>
      </c>
      <c r="V91" s="14" t="s">
        <v>11</v>
      </c>
      <c r="W91" s="14" t="s">
        <v>11</v>
      </c>
      <c r="X91" s="14" t="s">
        <v>11</v>
      </c>
      <c r="Y91" s="14" t="str">
        <f t="shared" si="33"/>
        <v/>
      </c>
      <c r="Z91" s="14" t="str">
        <f t="shared" si="66"/>
        <v/>
      </c>
      <c r="AA91" s="15">
        <f t="shared" si="72"/>
        <v>0</v>
      </c>
      <c r="AB91" s="14" t="s">
        <v>11</v>
      </c>
      <c r="AC91" s="14" t="s">
        <v>11</v>
      </c>
      <c r="AD91" s="14" t="s">
        <v>11</v>
      </c>
      <c r="AE91" s="14" t="s">
        <v>11</v>
      </c>
      <c r="AF91" s="14" t="s">
        <v>13</v>
      </c>
      <c r="AG91" s="14" t="s">
        <v>11</v>
      </c>
      <c r="AH91" s="14" t="s">
        <v>11</v>
      </c>
      <c r="AI91" s="14" t="s">
        <v>11</v>
      </c>
      <c r="AJ91" s="14" t="s">
        <v>11</v>
      </c>
      <c r="AK91" s="14" t="s">
        <v>11</v>
      </c>
      <c r="AL91" s="14" t="str">
        <f t="shared" si="35"/>
        <v>T</v>
      </c>
      <c r="AM91" s="14" t="str">
        <f t="shared" si="67"/>
        <v>T</v>
      </c>
      <c r="AN91" s="14" t="str">
        <f t="shared" si="37"/>
        <v/>
      </c>
      <c r="AO91" s="14" t="str">
        <f t="shared" si="68"/>
        <v/>
      </c>
      <c r="AP91" s="14" t="str">
        <f t="shared" si="69"/>
        <v/>
      </c>
      <c r="AQ91" s="14" t="str">
        <f t="shared" si="71"/>
        <v/>
      </c>
      <c r="AR91" s="15">
        <f t="shared" si="73"/>
        <v>0</v>
      </c>
      <c r="AT91" s="17">
        <f t="shared" si="70"/>
        <v>0</v>
      </c>
    </row>
    <row r="92" spans="2:46" x14ac:dyDescent="0.2">
      <c r="B92" s="16"/>
      <c r="C92" s="15" t="s">
        <v>53</v>
      </c>
      <c r="D92" s="30" t="str">
        <f t="shared" si="32"/>
        <v/>
      </c>
      <c r="E92" s="14" t="str">
        <f t="shared" si="56"/>
        <v/>
      </c>
      <c r="F92" s="14" t="str">
        <f t="shared" si="57"/>
        <v/>
      </c>
      <c r="G92" s="14" t="str">
        <f t="shared" si="58"/>
        <v/>
      </c>
      <c r="H92" s="14" t="str">
        <f t="shared" si="59"/>
        <v/>
      </c>
      <c r="I92" s="14" t="str">
        <f t="shared" si="60"/>
        <v/>
      </c>
      <c r="J92" s="14" t="str">
        <f t="shared" si="61"/>
        <v/>
      </c>
      <c r="K92" s="14" t="str">
        <f t="shared" si="62"/>
        <v/>
      </c>
      <c r="L92" s="14" t="str">
        <f t="shared" si="63"/>
        <v/>
      </c>
      <c r="M92" s="14" t="str">
        <f t="shared" si="64"/>
        <v/>
      </c>
      <c r="N92" s="14" t="str">
        <f t="shared" si="65"/>
        <v/>
      </c>
      <c r="O92" s="14" t="s">
        <v>11</v>
      </c>
      <c r="P92" s="14" t="s">
        <v>11</v>
      </c>
      <c r="Q92" s="14" t="s">
        <v>11</v>
      </c>
      <c r="R92" s="14" t="s">
        <v>13</v>
      </c>
      <c r="S92" s="14" t="s">
        <v>11</v>
      </c>
      <c r="T92" s="14" t="s">
        <v>11</v>
      </c>
      <c r="U92" s="14" t="s">
        <v>11</v>
      </c>
      <c r="V92" s="14" t="s">
        <v>11</v>
      </c>
      <c r="W92" s="14" t="s">
        <v>11</v>
      </c>
      <c r="X92" s="14" t="s">
        <v>11</v>
      </c>
      <c r="Y92" s="14" t="str">
        <f t="shared" si="33"/>
        <v/>
      </c>
      <c r="Z92" s="14" t="str">
        <f t="shared" si="66"/>
        <v/>
      </c>
      <c r="AA92" s="15">
        <f t="shared" si="72"/>
        <v>0</v>
      </c>
      <c r="AB92" s="14" t="s">
        <v>11</v>
      </c>
      <c r="AC92" s="14" t="s">
        <v>11</v>
      </c>
      <c r="AD92" s="14" t="s">
        <v>11</v>
      </c>
      <c r="AE92" s="14" t="s">
        <v>11</v>
      </c>
      <c r="AF92" s="14" t="s">
        <v>13</v>
      </c>
      <c r="AG92" s="14" t="s">
        <v>11</v>
      </c>
      <c r="AH92" s="14" t="s">
        <v>11</v>
      </c>
      <c r="AI92" s="14" t="s">
        <v>11</v>
      </c>
      <c r="AJ92" s="14" t="s">
        <v>11</v>
      </c>
      <c r="AK92" s="14" t="s">
        <v>11</v>
      </c>
      <c r="AL92" s="14" t="str">
        <f t="shared" si="35"/>
        <v>T</v>
      </c>
      <c r="AM92" s="14" t="str">
        <f t="shared" si="67"/>
        <v>T</v>
      </c>
      <c r="AN92" s="14" t="str">
        <f t="shared" si="37"/>
        <v/>
      </c>
      <c r="AO92" s="14" t="str">
        <f t="shared" si="68"/>
        <v/>
      </c>
      <c r="AP92" s="14" t="str">
        <f t="shared" si="69"/>
        <v/>
      </c>
      <c r="AQ92" s="14" t="str">
        <f t="shared" si="71"/>
        <v/>
      </c>
      <c r="AR92" s="15">
        <f t="shared" si="73"/>
        <v>0</v>
      </c>
      <c r="AT92" s="17">
        <f t="shared" si="70"/>
        <v>0</v>
      </c>
    </row>
    <row r="93" spans="2:46" x14ac:dyDescent="0.2">
      <c r="B93" s="16"/>
      <c r="C93" s="15" t="s">
        <v>53</v>
      </c>
      <c r="D93" s="30" t="str">
        <f t="shared" si="32"/>
        <v/>
      </c>
      <c r="E93" s="14" t="str">
        <f t="shared" si="56"/>
        <v/>
      </c>
      <c r="F93" s="14" t="str">
        <f t="shared" si="57"/>
        <v/>
      </c>
      <c r="G93" s="14" t="str">
        <f t="shared" si="58"/>
        <v/>
      </c>
      <c r="H93" s="14" t="str">
        <f t="shared" si="59"/>
        <v/>
      </c>
      <c r="I93" s="14" t="str">
        <f t="shared" si="60"/>
        <v/>
      </c>
      <c r="J93" s="14" t="str">
        <f t="shared" si="61"/>
        <v/>
      </c>
      <c r="K93" s="14" t="str">
        <f t="shared" si="62"/>
        <v/>
      </c>
      <c r="L93" s="14" t="str">
        <f t="shared" si="63"/>
        <v/>
      </c>
      <c r="M93" s="14" t="str">
        <f t="shared" si="64"/>
        <v/>
      </c>
      <c r="N93" s="14" t="str">
        <f t="shared" si="65"/>
        <v/>
      </c>
      <c r="O93" s="14" t="s">
        <v>11</v>
      </c>
      <c r="P93" s="14" t="s">
        <v>11</v>
      </c>
      <c r="Q93" s="14" t="s">
        <v>11</v>
      </c>
      <c r="R93" s="14" t="s">
        <v>13</v>
      </c>
      <c r="S93" s="14" t="s">
        <v>11</v>
      </c>
      <c r="T93" s="14" t="s">
        <v>11</v>
      </c>
      <c r="U93" s="14" t="s">
        <v>11</v>
      </c>
      <c r="V93" s="14" t="s">
        <v>11</v>
      </c>
      <c r="W93" s="14" t="s">
        <v>11</v>
      </c>
      <c r="X93" s="14" t="s">
        <v>11</v>
      </c>
      <c r="Y93" s="14" t="str">
        <f t="shared" si="33"/>
        <v/>
      </c>
      <c r="Z93" s="14" t="str">
        <f t="shared" si="66"/>
        <v/>
      </c>
      <c r="AA93" s="15">
        <f t="shared" si="72"/>
        <v>0</v>
      </c>
      <c r="AB93" s="14" t="s">
        <v>11</v>
      </c>
      <c r="AC93" s="14" t="s">
        <v>11</v>
      </c>
      <c r="AD93" s="14" t="s">
        <v>11</v>
      </c>
      <c r="AE93" s="14" t="s">
        <v>11</v>
      </c>
      <c r="AF93" s="14" t="s">
        <v>13</v>
      </c>
      <c r="AG93" s="14" t="s">
        <v>11</v>
      </c>
      <c r="AH93" s="14" t="s">
        <v>11</v>
      </c>
      <c r="AI93" s="14" t="s">
        <v>11</v>
      </c>
      <c r="AJ93" s="14" t="s">
        <v>11</v>
      </c>
      <c r="AK93" s="14" t="s">
        <v>11</v>
      </c>
      <c r="AL93" s="14" t="str">
        <f t="shared" si="35"/>
        <v>T</v>
      </c>
      <c r="AM93" s="14" t="str">
        <f t="shared" si="67"/>
        <v>T</v>
      </c>
      <c r="AN93" s="14" t="str">
        <f t="shared" si="37"/>
        <v/>
      </c>
      <c r="AO93" s="14" t="str">
        <f t="shared" si="68"/>
        <v/>
      </c>
      <c r="AP93" s="14" t="str">
        <f t="shared" si="69"/>
        <v/>
      </c>
      <c r="AQ93" s="14" t="str">
        <f t="shared" si="71"/>
        <v/>
      </c>
      <c r="AR93" s="15">
        <f t="shared" si="73"/>
        <v>0</v>
      </c>
      <c r="AT93" s="17">
        <f t="shared" si="70"/>
        <v>0</v>
      </c>
    </row>
    <row r="94" spans="2:46" x14ac:dyDescent="0.2">
      <c r="B94" s="16"/>
      <c r="C94" s="15" t="s">
        <v>53</v>
      </c>
      <c r="D94" s="30" t="str">
        <f t="shared" si="32"/>
        <v/>
      </c>
      <c r="E94" s="14" t="str">
        <f t="shared" si="56"/>
        <v/>
      </c>
      <c r="F94" s="14" t="str">
        <f t="shared" si="57"/>
        <v/>
      </c>
      <c r="G94" s="14" t="str">
        <f t="shared" si="58"/>
        <v/>
      </c>
      <c r="H94" s="14" t="str">
        <f t="shared" si="59"/>
        <v/>
      </c>
      <c r="I94" s="14" t="str">
        <f t="shared" si="60"/>
        <v/>
      </c>
      <c r="J94" s="14" t="str">
        <f t="shared" si="61"/>
        <v/>
      </c>
      <c r="K94" s="14" t="str">
        <f t="shared" si="62"/>
        <v/>
      </c>
      <c r="L94" s="14" t="str">
        <f t="shared" si="63"/>
        <v/>
      </c>
      <c r="M94" s="14" t="str">
        <f t="shared" si="64"/>
        <v/>
      </c>
      <c r="N94" s="14" t="str">
        <f t="shared" si="65"/>
        <v/>
      </c>
      <c r="O94" s="14" t="s">
        <v>11</v>
      </c>
      <c r="P94" s="14" t="s">
        <v>11</v>
      </c>
      <c r="Q94" s="14" t="s">
        <v>11</v>
      </c>
      <c r="R94" s="14" t="s">
        <v>13</v>
      </c>
      <c r="S94" s="14" t="s">
        <v>11</v>
      </c>
      <c r="T94" s="14" t="s">
        <v>11</v>
      </c>
      <c r="U94" s="14" t="s">
        <v>11</v>
      </c>
      <c r="V94" s="14" t="s">
        <v>11</v>
      </c>
      <c r="W94" s="14" t="s">
        <v>11</v>
      </c>
      <c r="X94" s="14" t="s">
        <v>11</v>
      </c>
      <c r="Y94" s="14" t="str">
        <f t="shared" si="33"/>
        <v/>
      </c>
      <c r="Z94" s="14" t="str">
        <f t="shared" si="66"/>
        <v/>
      </c>
      <c r="AA94" s="15">
        <f t="shared" si="72"/>
        <v>0</v>
      </c>
      <c r="AB94" s="14" t="s">
        <v>11</v>
      </c>
      <c r="AC94" s="14" t="s">
        <v>11</v>
      </c>
      <c r="AD94" s="14" t="s">
        <v>11</v>
      </c>
      <c r="AE94" s="14" t="s">
        <v>11</v>
      </c>
      <c r="AF94" s="14" t="s">
        <v>13</v>
      </c>
      <c r="AG94" s="14" t="s">
        <v>11</v>
      </c>
      <c r="AH94" s="14" t="s">
        <v>11</v>
      </c>
      <c r="AI94" s="14" t="s">
        <v>11</v>
      </c>
      <c r="AJ94" s="14" t="s">
        <v>11</v>
      </c>
      <c r="AK94" s="14" t="s">
        <v>11</v>
      </c>
      <c r="AL94" s="14" t="str">
        <f t="shared" si="35"/>
        <v>T</v>
      </c>
      <c r="AM94" s="14" t="str">
        <f t="shared" si="67"/>
        <v>T</v>
      </c>
      <c r="AN94" s="14" t="str">
        <f t="shared" si="37"/>
        <v/>
      </c>
      <c r="AO94" s="14" t="str">
        <f t="shared" si="68"/>
        <v/>
      </c>
      <c r="AP94" s="14" t="str">
        <f t="shared" si="69"/>
        <v/>
      </c>
      <c r="AQ94" s="14" t="str">
        <f t="shared" si="71"/>
        <v/>
      </c>
      <c r="AR94" s="15">
        <f t="shared" si="73"/>
        <v>0</v>
      </c>
      <c r="AT94" s="17">
        <f t="shared" si="70"/>
        <v>0</v>
      </c>
    </row>
    <row r="95" spans="2:46" x14ac:dyDescent="0.2">
      <c r="B95" s="16"/>
      <c r="C95" s="15" t="s">
        <v>53</v>
      </c>
      <c r="D95" s="30" t="str">
        <f t="shared" si="32"/>
        <v/>
      </c>
      <c r="E95" s="14" t="str">
        <f t="shared" si="56"/>
        <v/>
      </c>
      <c r="F95" s="14" t="str">
        <f t="shared" si="57"/>
        <v/>
      </c>
      <c r="G95" s="14" t="str">
        <f t="shared" si="58"/>
        <v/>
      </c>
      <c r="H95" s="14" t="str">
        <f t="shared" si="59"/>
        <v/>
      </c>
      <c r="I95" s="14" t="str">
        <f t="shared" si="60"/>
        <v/>
      </c>
      <c r="J95" s="14" t="str">
        <f t="shared" si="61"/>
        <v/>
      </c>
      <c r="K95" s="14" t="str">
        <f t="shared" si="62"/>
        <v/>
      </c>
      <c r="L95" s="14" t="str">
        <f t="shared" si="63"/>
        <v/>
      </c>
      <c r="M95" s="14" t="str">
        <f t="shared" si="64"/>
        <v/>
      </c>
      <c r="N95" s="14" t="str">
        <f t="shared" si="65"/>
        <v/>
      </c>
      <c r="O95" s="14" t="s">
        <v>11</v>
      </c>
      <c r="P95" s="14" t="s">
        <v>11</v>
      </c>
      <c r="Q95" s="14" t="s">
        <v>11</v>
      </c>
      <c r="R95" s="14" t="s">
        <v>13</v>
      </c>
      <c r="S95" s="14" t="s">
        <v>11</v>
      </c>
      <c r="T95" s="14" t="s">
        <v>11</v>
      </c>
      <c r="U95" s="14" t="s">
        <v>11</v>
      </c>
      <c r="V95" s="14" t="s">
        <v>11</v>
      </c>
      <c r="W95" s="14" t="s">
        <v>11</v>
      </c>
      <c r="X95" s="14" t="s">
        <v>11</v>
      </c>
      <c r="Y95" s="14" t="str">
        <f t="shared" si="33"/>
        <v/>
      </c>
      <c r="Z95" s="14" t="str">
        <f t="shared" si="66"/>
        <v/>
      </c>
      <c r="AA95" s="15">
        <f t="shared" si="72"/>
        <v>0</v>
      </c>
      <c r="AB95" s="14" t="s">
        <v>11</v>
      </c>
      <c r="AC95" s="14" t="s">
        <v>11</v>
      </c>
      <c r="AD95" s="14" t="s">
        <v>11</v>
      </c>
      <c r="AE95" s="14" t="s">
        <v>41</v>
      </c>
      <c r="AF95" s="14" t="s">
        <v>13</v>
      </c>
      <c r="AG95" s="14" t="s">
        <v>11</v>
      </c>
      <c r="AH95" s="14" t="s">
        <v>11</v>
      </c>
      <c r="AI95" s="14" t="s">
        <v>11</v>
      </c>
      <c r="AJ95" s="14" t="s">
        <v>11</v>
      </c>
      <c r="AK95" s="14" t="s">
        <v>11</v>
      </c>
      <c r="AL95" s="14" t="str">
        <f t="shared" si="35"/>
        <v>T</v>
      </c>
      <c r="AM95" s="14" t="str">
        <f t="shared" si="67"/>
        <v>T</v>
      </c>
      <c r="AN95" s="14" t="str">
        <f t="shared" si="37"/>
        <v/>
      </c>
      <c r="AO95" s="14" t="str">
        <f t="shared" si="68"/>
        <v/>
      </c>
      <c r="AP95" s="14" t="str">
        <f t="shared" si="69"/>
        <v/>
      </c>
      <c r="AQ95" s="14" t="str">
        <f t="shared" si="71"/>
        <v/>
      </c>
      <c r="AR95" s="15">
        <f t="shared" si="73"/>
        <v>0</v>
      </c>
      <c r="AT95" s="17">
        <f t="shared" si="70"/>
        <v>0</v>
      </c>
    </row>
    <row r="96" spans="2:46" x14ac:dyDescent="0.2">
      <c r="B96" s="16"/>
      <c r="C96" s="15" t="s">
        <v>53</v>
      </c>
      <c r="D96" s="30" t="str">
        <f t="shared" si="32"/>
        <v/>
      </c>
      <c r="E96" s="14" t="str">
        <f t="shared" si="56"/>
        <v/>
      </c>
      <c r="F96" s="14" t="str">
        <f t="shared" si="57"/>
        <v/>
      </c>
      <c r="G96" s="14" t="str">
        <f t="shared" si="58"/>
        <v/>
      </c>
      <c r="H96" s="14" t="str">
        <f t="shared" si="59"/>
        <v/>
      </c>
      <c r="I96" s="14" t="str">
        <f t="shared" si="60"/>
        <v/>
      </c>
      <c r="J96" s="14" t="str">
        <f t="shared" si="61"/>
        <v/>
      </c>
      <c r="K96" s="14" t="str">
        <f t="shared" si="62"/>
        <v/>
      </c>
      <c r="L96" s="14" t="str">
        <f t="shared" si="63"/>
        <v/>
      </c>
      <c r="M96" s="14" t="str">
        <f t="shared" si="64"/>
        <v/>
      </c>
      <c r="N96" s="14" t="str">
        <f t="shared" si="65"/>
        <v/>
      </c>
      <c r="O96" s="14" t="s">
        <v>11</v>
      </c>
      <c r="P96" s="14" t="s">
        <v>11</v>
      </c>
      <c r="Q96" s="14" t="s">
        <v>11</v>
      </c>
      <c r="R96" s="14" t="s">
        <v>13</v>
      </c>
      <c r="S96" s="14" t="s">
        <v>11</v>
      </c>
      <c r="T96" s="14" t="s">
        <v>11</v>
      </c>
      <c r="U96" s="14" t="s">
        <v>11</v>
      </c>
      <c r="V96" s="14" t="s">
        <v>11</v>
      </c>
      <c r="W96" s="14" t="s">
        <v>11</v>
      </c>
      <c r="X96" s="14" t="s">
        <v>11</v>
      </c>
      <c r="Y96" s="14" t="str">
        <f t="shared" si="33"/>
        <v/>
      </c>
      <c r="Z96" s="14" t="str">
        <f t="shared" si="66"/>
        <v/>
      </c>
      <c r="AA96" s="15">
        <f t="shared" si="72"/>
        <v>0</v>
      </c>
      <c r="AB96" s="14" t="s">
        <v>11</v>
      </c>
      <c r="AC96" s="14" t="s">
        <v>11</v>
      </c>
      <c r="AD96" s="14" t="s">
        <v>11</v>
      </c>
      <c r="AE96" s="14" t="s">
        <v>11</v>
      </c>
      <c r="AF96" s="14" t="s">
        <v>13</v>
      </c>
      <c r="AG96" s="14" t="s">
        <v>11</v>
      </c>
      <c r="AH96" s="14" t="s">
        <v>11</v>
      </c>
      <c r="AI96" s="14" t="s">
        <v>11</v>
      </c>
      <c r="AJ96" s="14" t="s">
        <v>11</v>
      </c>
      <c r="AK96" s="14" t="s">
        <v>11</v>
      </c>
      <c r="AL96" s="14" t="str">
        <f t="shared" si="35"/>
        <v>T</v>
      </c>
      <c r="AM96" s="14" t="str">
        <f t="shared" si="67"/>
        <v>T</v>
      </c>
      <c r="AN96" s="14" t="str">
        <f t="shared" si="37"/>
        <v/>
      </c>
      <c r="AO96" s="14" t="str">
        <f t="shared" si="68"/>
        <v/>
      </c>
      <c r="AP96" s="14" t="str">
        <f t="shared" si="69"/>
        <v/>
      </c>
      <c r="AQ96" s="14" t="str">
        <f t="shared" si="71"/>
        <v/>
      </c>
      <c r="AR96" s="15">
        <f t="shared" si="73"/>
        <v>0</v>
      </c>
      <c r="AT96" s="17">
        <f t="shared" si="70"/>
        <v>0</v>
      </c>
    </row>
    <row r="97" spans="2:46" x14ac:dyDescent="0.2">
      <c r="B97" s="16"/>
      <c r="C97" s="15" t="s">
        <v>53</v>
      </c>
      <c r="D97" s="30" t="str">
        <f t="shared" si="32"/>
        <v/>
      </c>
      <c r="E97" s="14" t="str">
        <f t="shared" si="56"/>
        <v/>
      </c>
      <c r="F97" s="14" t="str">
        <f t="shared" si="57"/>
        <v/>
      </c>
      <c r="G97" s="14" t="str">
        <f t="shared" si="58"/>
        <v/>
      </c>
      <c r="H97" s="14" t="str">
        <f t="shared" si="59"/>
        <v/>
      </c>
      <c r="I97" s="14" t="str">
        <f t="shared" si="60"/>
        <v/>
      </c>
      <c r="J97" s="14" t="str">
        <f t="shared" si="61"/>
        <v/>
      </c>
      <c r="K97" s="14" t="str">
        <f t="shared" si="62"/>
        <v/>
      </c>
      <c r="L97" s="14" t="str">
        <f t="shared" si="63"/>
        <v/>
      </c>
      <c r="M97" s="14" t="str">
        <f t="shared" si="64"/>
        <v/>
      </c>
      <c r="N97" s="14" t="str">
        <f t="shared" si="65"/>
        <v/>
      </c>
      <c r="O97" s="14" t="s">
        <v>11</v>
      </c>
      <c r="P97" s="14" t="s">
        <v>11</v>
      </c>
      <c r="Q97" s="14" t="s">
        <v>11</v>
      </c>
      <c r="R97" s="14" t="s">
        <v>13</v>
      </c>
      <c r="S97" s="14" t="s">
        <v>11</v>
      </c>
      <c r="T97" s="14" t="s">
        <v>11</v>
      </c>
      <c r="U97" s="14" t="s">
        <v>11</v>
      </c>
      <c r="V97" s="14" t="s">
        <v>11</v>
      </c>
      <c r="W97" s="14" t="s">
        <v>11</v>
      </c>
      <c r="X97" s="14" t="s">
        <v>11</v>
      </c>
      <c r="Y97" s="14" t="str">
        <f t="shared" si="33"/>
        <v/>
      </c>
      <c r="Z97" s="14" t="str">
        <f t="shared" si="66"/>
        <v/>
      </c>
      <c r="AA97" s="15">
        <f t="shared" si="72"/>
        <v>0</v>
      </c>
      <c r="AB97" s="14" t="s">
        <v>11</v>
      </c>
      <c r="AC97" s="14" t="s">
        <v>11</v>
      </c>
      <c r="AD97" s="14" t="s">
        <v>11</v>
      </c>
      <c r="AE97" s="14" t="s">
        <v>11</v>
      </c>
      <c r="AF97" s="14" t="s">
        <v>13</v>
      </c>
      <c r="AG97" s="14" t="s">
        <v>11</v>
      </c>
      <c r="AH97" s="14" t="s">
        <v>11</v>
      </c>
      <c r="AI97" s="14" t="s">
        <v>11</v>
      </c>
      <c r="AJ97" s="14" t="s">
        <v>11</v>
      </c>
      <c r="AK97" s="14" t="s">
        <v>11</v>
      </c>
      <c r="AL97" s="14" t="str">
        <f t="shared" si="35"/>
        <v>T</v>
      </c>
      <c r="AM97" s="14" t="str">
        <f t="shared" si="67"/>
        <v>T</v>
      </c>
      <c r="AN97" s="14" t="str">
        <f t="shared" si="37"/>
        <v/>
      </c>
      <c r="AO97" s="14" t="str">
        <f t="shared" si="68"/>
        <v/>
      </c>
      <c r="AP97" s="14" t="str">
        <f t="shared" si="69"/>
        <v/>
      </c>
      <c r="AQ97" s="14" t="str">
        <f t="shared" si="71"/>
        <v/>
      </c>
      <c r="AR97" s="15">
        <f t="shared" si="73"/>
        <v>0</v>
      </c>
      <c r="AT97" s="17">
        <f t="shared" si="70"/>
        <v>0</v>
      </c>
    </row>
    <row r="98" spans="2:46" x14ac:dyDescent="0.2">
      <c r="B98" s="16"/>
      <c r="C98" s="15" t="s">
        <v>53</v>
      </c>
      <c r="D98" s="30" t="str">
        <f t="shared" si="32"/>
        <v/>
      </c>
      <c r="E98" s="14" t="str">
        <f t="shared" si="56"/>
        <v/>
      </c>
      <c r="F98" s="14" t="str">
        <f t="shared" si="57"/>
        <v/>
      </c>
      <c r="G98" s="14" t="str">
        <f t="shared" si="58"/>
        <v/>
      </c>
      <c r="H98" s="14" t="str">
        <f t="shared" si="59"/>
        <v/>
      </c>
      <c r="I98" s="14" t="str">
        <f t="shared" si="60"/>
        <v/>
      </c>
      <c r="J98" s="14" t="str">
        <f t="shared" si="61"/>
        <v/>
      </c>
      <c r="K98" s="14" t="str">
        <f t="shared" si="62"/>
        <v/>
      </c>
      <c r="L98" s="14" t="str">
        <f t="shared" si="63"/>
        <v/>
      </c>
      <c r="M98" s="14" t="str">
        <f t="shared" si="64"/>
        <v/>
      </c>
      <c r="N98" s="14" t="str">
        <f t="shared" si="65"/>
        <v/>
      </c>
      <c r="O98" s="14" t="s">
        <v>11</v>
      </c>
      <c r="P98" s="14" t="s">
        <v>11</v>
      </c>
      <c r="Q98" s="14" t="s">
        <v>11</v>
      </c>
      <c r="R98" s="14" t="s">
        <v>13</v>
      </c>
      <c r="S98" s="14" t="s">
        <v>11</v>
      </c>
      <c r="T98" s="14" t="s">
        <v>11</v>
      </c>
      <c r="U98" s="14" t="s">
        <v>11</v>
      </c>
      <c r="V98" s="14" t="s">
        <v>11</v>
      </c>
      <c r="W98" s="14" t="s">
        <v>11</v>
      </c>
      <c r="X98" s="14" t="s">
        <v>11</v>
      </c>
      <c r="Y98" s="14" t="str">
        <f t="shared" si="33"/>
        <v/>
      </c>
      <c r="Z98" s="14" t="str">
        <f t="shared" si="66"/>
        <v/>
      </c>
      <c r="AA98" s="15">
        <f t="shared" si="72"/>
        <v>0</v>
      </c>
      <c r="AB98" s="14" t="s">
        <v>11</v>
      </c>
      <c r="AC98" s="14" t="s">
        <v>11</v>
      </c>
      <c r="AD98" s="14" t="s">
        <v>11</v>
      </c>
      <c r="AE98" s="14" t="s">
        <v>11</v>
      </c>
      <c r="AF98" s="14" t="s">
        <v>13</v>
      </c>
      <c r="AG98" s="14" t="s">
        <v>11</v>
      </c>
      <c r="AH98" s="14" t="s">
        <v>11</v>
      </c>
      <c r="AI98" s="14" t="s">
        <v>11</v>
      </c>
      <c r="AJ98" s="14" t="s">
        <v>11</v>
      </c>
      <c r="AK98" s="14" t="s">
        <v>11</v>
      </c>
      <c r="AL98" s="14" t="str">
        <f t="shared" si="35"/>
        <v>T</v>
      </c>
      <c r="AM98" s="14" t="str">
        <f t="shared" si="67"/>
        <v>T</v>
      </c>
      <c r="AN98" s="14" t="str">
        <f t="shared" si="37"/>
        <v/>
      </c>
      <c r="AO98" s="14" t="str">
        <f t="shared" si="68"/>
        <v/>
      </c>
      <c r="AP98" s="14" t="str">
        <f t="shared" si="69"/>
        <v/>
      </c>
      <c r="AQ98" s="14" t="str">
        <f t="shared" si="71"/>
        <v/>
      </c>
      <c r="AR98" s="15">
        <f t="shared" si="73"/>
        <v>0</v>
      </c>
      <c r="AT98" s="17">
        <f t="shared" si="70"/>
        <v>0</v>
      </c>
    </row>
    <row r="99" spans="2:46" x14ac:dyDescent="0.2">
      <c r="B99" s="16"/>
      <c r="C99" s="15" t="s">
        <v>53</v>
      </c>
      <c r="D99" s="30" t="str">
        <f t="shared" si="32"/>
        <v/>
      </c>
      <c r="E99" s="14" t="str">
        <f t="shared" si="56"/>
        <v/>
      </c>
      <c r="F99" s="14" t="str">
        <f t="shared" si="57"/>
        <v/>
      </c>
      <c r="G99" s="14" t="str">
        <f t="shared" si="58"/>
        <v/>
      </c>
      <c r="H99" s="14" t="str">
        <f t="shared" si="59"/>
        <v/>
      </c>
      <c r="I99" s="14" t="str">
        <f t="shared" si="60"/>
        <v/>
      </c>
      <c r="J99" s="14" t="str">
        <f t="shared" si="61"/>
        <v/>
      </c>
      <c r="K99" s="14" t="str">
        <f t="shared" si="62"/>
        <v/>
      </c>
      <c r="L99" s="14" t="str">
        <f t="shared" si="63"/>
        <v/>
      </c>
      <c r="M99" s="14" t="str">
        <f t="shared" si="64"/>
        <v/>
      </c>
      <c r="N99" s="14" t="str">
        <f t="shared" si="65"/>
        <v/>
      </c>
      <c r="O99" s="14" t="s">
        <v>11</v>
      </c>
      <c r="P99" s="14" t="s">
        <v>11</v>
      </c>
      <c r="Q99" s="14" t="s">
        <v>11</v>
      </c>
      <c r="R99" s="14" t="s">
        <v>13</v>
      </c>
      <c r="S99" s="14" t="s">
        <v>11</v>
      </c>
      <c r="T99" s="14" t="s">
        <v>11</v>
      </c>
      <c r="U99" s="14" t="s">
        <v>11</v>
      </c>
      <c r="V99" s="14" t="s">
        <v>11</v>
      </c>
      <c r="W99" s="14" t="s">
        <v>11</v>
      </c>
      <c r="X99" s="14" t="s">
        <v>11</v>
      </c>
      <c r="Y99" s="14" t="str">
        <f t="shared" si="33"/>
        <v/>
      </c>
      <c r="Z99" s="14" t="str">
        <f t="shared" si="66"/>
        <v/>
      </c>
      <c r="AA99" s="15">
        <f t="shared" si="72"/>
        <v>0</v>
      </c>
      <c r="AB99" s="14" t="s">
        <v>11</v>
      </c>
      <c r="AC99" s="14" t="s">
        <v>11</v>
      </c>
      <c r="AD99" s="14" t="s">
        <v>11</v>
      </c>
      <c r="AE99" s="14" t="s">
        <v>11</v>
      </c>
      <c r="AF99" s="14" t="s">
        <v>13</v>
      </c>
      <c r="AG99" s="14" t="s">
        <v>11</v>
      </c>
      <c r="AH99" s="14" t="s">
        <v>11</v>
      </c>
      <c r="AI99" s="14" t="s">
        <v>11</v>
      </c>
      <c r="AJ99" s="14" t="s">
        <v>11</v>
      </c>
      <c r="AK99" s="14" t="s">
        <v>11</v>
      </c>
      <c r="AL99" s="14" t="str">
        <f t="shared" si="35"/>
        <v>T</v>
      </c>
      <c r="AM99" s="14" t="str">
        <f t="shared" si="67"/>
        <v>T</v>
      </c>
      <c r="AN99" s="14" t="str">
        <f t="shared" si="37"/>
        <v/>
      </c>
      <c r="AO99" s="14" t="str">
        <f t="shared" si="68"/>
        <v/>
      </c>
      <c r="AP99" s="14" t="str">
        <f t="shared" si="69"/>
        <v/>
      </c>
      <c r="AQ99" s="14" t="str">
        <f t="shared" si="71"/>
        <v/>
      </c>
      <c r="AR99" s="15">
        <f t="shared" si="73"/>
        <v>0</v>
      </c>
      <c r="AT99" s="17">
        <f t="shared" si="70"/>
        <v>0</v>
      </c>
    </row>
    <row r="100" spans="2:46" x14ac:dyDescent="0.2">
      <c r="B100" s="16"/>
      <c r="C100" s="15" t="s">
        <v>53</v>
      </c>
      <c r="D100" s="30" t="str">
        <f t="shared" si="32"/>
        <v/>
      </c>
      <c r="E100" s="14" t="str">
        <f t="shared" si="56"/>
        <v/>
      </c>
      <c r="F100" s="14" t="str">
        <f t="shared" si="57"/>
        <v/>
      </c>
      <c r="G100" s="14" t="str">
        <f t="shared" si="58"/>
        <v/>
      </c>
      <c r="H100" s="14" t="str">
        <f t="shared" si="59"/>
        <v/>
      </c>
      <c r="I100" s="14" t="str">
        <f t="shared" si="60"/>
        <v/>
      </c>
      <c r="J100" s="14" t="str">
        <f t="shared" si="61"/>
        <v/>
      </c>
      <c r="K100" s="14" t="str">
        <f t="shared" si="62"/>
        <v/>
      </c>
      <c r="L100" s="14" t="str">
        <f t="shared" si="63"/>
        <v/>
      </c>
      <c r="M100" s="14" t="str">
        <f t="shared" si="64"/>
        <v/>
      </c>
      <c r="N100" s="14" t="str">
        <f t="shared" si="65"/>
        <v/>
      </c>
      <c r="O100" s="14" t="s">
        <v>11</v>
      </c>
      <c r="P100" s="14" t="s">
        <v>11</v>
      </c>
      <c r="Q100" s="14" t="s">
        <v>11</v>
      </c>
      <c r="R100" s="14" t="s">
        <v>13</v>
      </c>
      <c r="S100" s="14" t="s">
        <v>11</v>
      </c>
      <c r="T100" s="14" t="s">
        <v>11</v>
      </c>
      <c r="U100" s="14" t="s">
        <v>11</v>
      </c>
      <c r="V100" s="14" t="s">
        <v>11</v>
      </c>
      <c r="W100" s="14" t="s">
        <v>11</v>
      </c>
      <c r="X100" s="14" t="s">
        <v>11</v>
      </c>
      <c r="Y100" s="14" t="str">
        <f t="shared" si="33"/>
        <v/>
      </c>
      <c r="Z100" s="14" t="str">
        <f t="shared" si="66"/>
        <v/>
      </c>
      <c r="AA100" s="15">
        <f t="shared" si="72"/>
        <v>0</v>
      </c>
      <c r="AB100" s="14" t="s">
        <v>11</v>
      </c>
      <c r="AC100" s="14" t="s">
        <v>11</v>
      </c>
      <c r="AD100" s="14" t="s">
        <v>11</v>
      </c>
      <c r="AE100" s="14" t="s">
        <v>11</v>
      </c>
      <c r="AF100" s="14" t="s">
        <v>13</v>
      </c>
      <c r="AG100" s="14" t="s">
        <v>11</v>
      </c>
      <c r="AH100" s="14" t="s">
        <v>11</v>
      </c>
      <c r="AI100" s="14" t="s">
        <v>11</v>
      </c>
      <c r="AJ100" s="14" t="s">
        <v>11</v>
      </c>
      <c r="AK100" s="14" t="s">
        <v>11</v>
      </c>
      <c r="AL100" s="14" t="str">
        <f t="shared" si="35"/>
        <v>T</v>
      </c>
      <c r="AM100" s="14" t="str">
        <f t="shared" si="67"/>
        <v>T</v>
      </c>
      <c r="AN100" s="14" t="str">
        <f t="shared" si="37"/>
        <v/>
      </c>
      <c r="AO100" s="14" t="str">
        <f t="shared" si="68"/>
        <v/>
      </c>
      <c r="AP100" s="14" t="str">
        <f t="shared" si="69"/>
        <v/>
      </c>
      <c r="AQ100" s="14" t="str">
        <f t="shared" si="71"/>
        <v/>
      </c>
      <c r="AR100" s="15">
        <f t="shared" si="73"/>
        <v>0</v>
      </c>
      <c r="AT100" s="17">
        <f t="shared" si="70"/>
        <v>0</v>
      </c>
    </row>
    <row r="101" spans="2:46" ht="12" thickBot="1" x14ac:dyDescent="0.25">
      <c r="B101" s="16"/>
      <c r="C101" s="15" t="s">
        <v>53</v>
      </c>
      <c r="D101" s="30" t="str">
        <f t="shared" si="32"/>
        <v/>
      </c>
      <c r="E101" s="14" t="str">
        <f t="shared" si="56"/>
        <v/>
      </c>
      <c r="F101" s="14" t="str">
        <f t="shared" si="57"/>
        <v/>
      </c>
      <c r="G101" s="14" t="str">
        <f t="shared" si="58"/>
        <v/>
      </c>
      <c r="H101" s="14" t="str">
        <f t="shared" si="59"/>
        <v/>
      </c>
      <c r="I101" s="14" t="str">
        <f t="shared" si="60"/>
        <v/>
      </c>
      <c r="J101" s="14" t="str">
        <f t="shared" si="61"/>
        <v/>
      </c>
      <c r="K101" s="14" t="str">
        <f t="shared" si="62"/>
        <v/>
      </c>
      <c r="L101" s="14" t="str">
        <f t="shared" si="63"/>
        <v/>
      </c>
      <c r="M101" s="14" t="str">
        <f t="shared" si="64"/>
        <v/>
      </c>
      <c r="N101" s="14" t="str">
        <f t="shared" si="65"/>
        <v/>
      </c>
      <c r="O101" s="14" t="s">
        <v>11</v>
      </c>
      <c r="P101" s="14" t="s">
        <v>11</v>
      </c>
      <c r="Q101" s="14" t="s">
        <v>11</v>
      </c>
      <c r="R101" s="14" t="s">
        <v>13</v>
      </c>
      <c r="S101" s="14" t="s">
        <v>11</v>
      </c>
      <c r="T101" s="14" t="s">
        <v>11</v>
      </c>
      <c r="U101" s="14" t="s">
        <v>11</v>
      </c>
      <c r="V101" s="14" t="s">
        <v>11</v>
      </c>
      <c r="W101" s="14" t="s">
        <v>11</v>
      </c>
      <c r="X101" s="14" t="s">
        <v>11</v>
      </c>
      <c r="Y101" s="14" t="str">
        <f t="shared" si="33"/>
        <v/>
      </c>
      <c r="Z101" s="14" t="str">
        <f t="shared" si="66"/>
        <v/>
      </c>
      <c r="AA101" s="15">
        <f t="shared" si="72"/>
        <v>0</v>
      </c>
      <c r="AB101" s="14" t="s">
        <v>11</v>
      </c>
      <c r="AC101" s="14" t="s">
        <v>11</v>
      </c>
      <c r="AD101" s="14" t="s">
        <v>11</v>
      </c>
      <c r="AE101" s="14" t="s">
        <v>11</v>
      </c>
      <c r="AF101" s="14" t="s">
        <v>13</v>
      </c>
      <c r="AG101" s="14" t="s">
        <v>11</v>
      </c>
      <c r="AH101" s="14" t="s">
        <v>11</v>
      </c>
      <c r="AI101" s="14" t="s">
        <v>11</v>
      </c>
      <c r="AJ101" s="14" t="s">
        <v>11</v>
      </c>
      <c r="AK101" s="14" t="s">
        <v>11</v>
      </c>
      <c r="AL101" s="14" t="str">
        <f t="shared" si="35"/>
        <v>T</v>
      </c>
      <c r="AM101" s="14" t="str">
        <f t="shared" si="67"/>
        <v>T</v>
      </c>
      <c r="AN101" s="14" t="str">
        <f t="shared" si="37"/>
        <v/>
      </c>
      <c r="AO101" s="14" t="str">
        <f t="shared" si="68"/>
        <v/>
      </c>
      <c r="AP101" s="14" t="str">
        <f t="shared" si="69"/>
        <v/>
      </c>
      <c r="AQ101" s="14" t="str">
        <f t="shared" si="71"/>
        <v/>
      </c>
      <c r="AR101" s="15">
        <f t="shared" si="73"/>
        <v>0</v>
      </c>
      <c r="AT101" s="17">
        <f t="shared" si="70"/>
        <v>0</v>
      </c>
    </row>
    <row r="102" spans="2:46" ht="15.75" thickTop="1" thickBot="1" x14ac:dyDescent="0.25">
      <c r="B102" s="62"/>
      <c r="C102" s="15" t="s">
        <v>53</v>
      </c>
      <c r="D102" s="30" t="str">
        <f t="shared" si="32"/>
        <v/>
      </c>
      <c r="E102" s="14" t="str">
        <f t="shared" si="56"/>
        <v/>
      </c>
      <c r="F102" s="14" t="str">
        <f t="shared" si="57"/>
        <v/>
      </c>
      <c r="G102" s="14" t="str">
        <f t="shared" si="58"/>
        <v/>
      </c>
      <c r="H102" s="14" t="str">
        <f t="shared" si="59"/>
        <v/>
      </c>
      <c r="I102" s="14" t="str">
        <f t="shared" si="60"/>
        <v/>
      </c>
      <c r="J102" s="14" t="str">
        <f t="shared" si="61"/>
        <v/>
      </c>
      <c r="K102" s="14" t="str">
        <f t="shared" si="62"/>
        <v/>
      </c>
      <c r="L102" s="14" t="str">
        <f t="shared" si="63"/>
        <v/>
      </c>
      <c r="M102" s="14" t="str">
        <f t="shared" si="64"/>
        <v/>
      </c>
      <c r="N102" s="14" t="str">
        <f t="shared" si="65"/>
        <v/>
      </c>
      <c r="O102" s="14" t="s">
        <v>11</v>
      </c>
      <c r="P102" s="14" t="s">
        <v>11</v>
      </c>
      <c r="Q102" s="14" t="s">
        <v>11</v>
      </c>
      <c r="R102" s="14" t="s">
        <v>13</v>
      </c>
      <c r="S102" s="14" t="s">
        <v>11</v>
      </c>
      <c r="T102" s="14" t="s">
        <v>11</v>
      </c>
      <c r="U102" s="14" t="s">
        <v>11</v>
      </c>
      <c r="V102" s="14" t="s">
        <v>11</v>
      </c>
      <c r="W102" s="14" t="s">
        <v>11</v>
      </c>
      <c r="X102" s="14" t="s">
        <v>11</v>
      </c>
      <c r="Y102" s="14" t="str">
        <f t="shared" si="33"/>
        <v/>
      </c>
      <c r="Z102" s="14" t="str">
        <f t="shared" si="66"/>
        <v/>
      </c>
      <c r="AA102" s="15">
        <f t="shared" si="72"/>
        <v>0</v>
      </c>
      <c r="AB102" s="14" t="s">
        <v>11</v>
      </c>
      <c r="AC102" s="14" t="s">
        <v>11</v>
      </c>
      <c r="AD102" s="14" t="s">
        <v>11</v>
      </c>
      <c r="AE102" s="14" t="s">
        <v>11</v>
      </c>
      <c r="AF102" s="14" t="s">
        <v>13</v>
      </c>
      <c r="AG102" s="14" t="s">
        <v>11</v>
      </c>
      <c r="AH102" s="14" t="s">
        <v>11</v>
      </c>
      <c r="AI102" s="14" t="s">
        <v>11</v>
      </c>
      <c r="AJ102" s="14" t="s">
        <v>11</v>
      </c>
      <c r="AK102" s="14" t="s">
        <v>11</v>
      </c>
      <c r="AL102" s="14" t="str">
        <f t="shared" si="35"/>
        <v>T</v>
      </c>
      <c r="AM102" s="14" t="str">
        <f t="shared" si="67"/>
        <v>T</v>
      </c>
      <c r="AN102" s="14" t="str">
        <f t="shared" si="37"/>
        <v/>
      </c>
      <c r="AO102" s="14" t="str">
        <f t="shared" si="68"/>
        <v/>
      </c>
      <c r="AP102" s="14" t="str">
        <f t="shared" si="69"/>
        <v/>
      </c>
      <c r="AQ102" s="14" t="str">
        <f t="shared" si="71"/>
        <v/>
      </c>
      <c r="AR102" s="15">
        <f t="shared" si="73"/>
        <v>0</v>
      </c>
      <c r="AT102" s="17">
        <f t="shared" si="70"/>
        <v>0</v>
      </c>
    </row>
    <row r="103" spans="2:46" ht="15.75" thickTop="1" thickBot="1" x14ac:dyDescent="0.25">
      <c r="B103" s="62"/>
      <c r="C103" s="15" t="s">
        <v>53</v>
      </c>
      <c r="D103" s="30" t="str">
        <f t="shared" si="32"/>
        <v/>
      </c>
      <c r="E103" s="14" t="str">
        <f t="shared" si="56"/>
        <v/>
      </c>
      <c r="F103" s="14" t="str">
        <f t="shared" si="57"/>
        <v/>
      </c>
      <c r="G103" s="14" t="str">
        <f t="shared" si="58"/>
        <v/>
      </c>
      <c r="H103" s="14" t="str">
        <f t="shared" si="59"/>
        <v/>
      </c>
      <c r="I103" s="14" t="str">
        <f t="shared" si="60"/>
        <v/>
      </c>
      <c r="J103" s="14" t="str">
        <f t="shared" si="61"/>
        <v/>
      </c>
      <c r="K103" s="14" t="str">
        <f t="shared" si="62"/>
        <v/>
      </c>
      <c r="L103" s="14" t="str">
        <f t="shared" si="63"/>
        <v/>
      </c>
      <c r="M103" s="14" t="str">
        <f t="shared" si="64"/>
        <v/>
      </c>
      <c r="N103" s="14" t="str">
        <f t="shared" si="65"/>
        <v/>
      </c>
      <c r="O103" s="14" t="s">
        <v>11</v>
      </c>
      <c r="P103" s="14" t="s">
        <v>11</v>
      </c>
      <c r="Q103" s="14" t="s">
        <v>11</v>
      </c>
      <c r="R103" s="14" t="s">
        <v>13</v>
      </c>
      <c r="S103" s="14" t="s">
        <v>11</v>
      </c>
      <c r="T103" s="14" t="s">
        <v>11</v>
      </c>
      <c r="U103" s="14" t="s">
        <v>11</v>
      </c>
      <c r="V103" s="14" t="s">
        <v>11</v>
      </c>
      <c r="W103" s="14" t="s">
        <v>11</v>
      </c>
      <c r="X103" s="14" t="s">
        <v>11</v>
      </c>
      <c r="Y103" s="14" t="str">
        <f t="shared" si="33"/>
        <v/>
      </c>
      <c r="Z103" s="14" t="str">
        <f t="shared" si="66"/>
        <v/>
      </c>
      <c r="AA103" s="15">
        <f t="shared" si="72"/>
        <v>0</v>
      </c>
      <c r="AB103" s="14" t="s">
        <v>11</v>
      </c>
      <c r="AC103" s="14" t="s">
        <v>11</v>
      </c>
      <c r="AD103" s="14" t="s">
        <v>11</v>
      </c>
      <c r="AE103" s="14" t="s">
        <v>11</v>
      </c>
      <c r="AF103" s="14" t="s">
        <v>13</v>
      </c>
      <c r="AG103" s="14" t="s">
        <v>11</v>
      </c>
      <c r="AH103" s="14" t="s">
        <v>11</v>
      </c>
      <c r="AI103" s="14" t="s">
        <v>11</v>
      </c>
      <c r="AJ103" s="14" t="s">
        <v>11</v>
      </c>
      <c r="AK103" s="14" t="s">
        <v>11</v>
      </c>
      <c r="AL103" s="14" t="str">
        <f t="shared" si="35"/>
        <v>T</v>
      </c>
      <c r="AM103" s="14" t="str">
        <f t="shared" si="67"/>
        <v>T</v>
      </c>
      <c r="AN103" s="14" t="str">
        <f t="shared" si="37"/>
        <v/>
      </c>
      <c r="AO103" s="14" t="str">
        <f t="shared" si="68"/>
        <v/>
      </c>
      <c r="AP103" s="14" t="str">
        <f t="shared" si="69"/>
        <v/>
      </c>
      <c r="AQ103" s="14" t="str">
        <f t="shared" si="71"/>
        <v/>
      </c>
      <c r="AR103" s="15">
        <f t="shared" si="73"/>
        <v>0</v>
      </c>
      <c r="AT103" s="17">
        <f t="shared" si="70"/>
        <v>0</v>
      </c>
    </row>
    <row r="104" spans="2:46" ht="15.75" thickTop="1" thickBot="1" x14ac:dyDescent="0.25">
      <c r="B104" s="62"/>
      <c r="C104" s="15" t="s">
        <v>53</v>
      </c>
      <c r="D104" s="30" t="str">
        <f t="shared" si="32"/>
        <v/>
      </c>
      <c r="E104" s="14" t="str">
        <f t="shared" si="56"/>
        <v/>
      </c>
      <c r="F104" s="14" t="str">
        <f t="shared" si="57"/>
        <v/>
      </c>
      <c r="G104" s="14" t="str">
        <f t="shared" si="58"/>
        <v/>
      </c>
      <c r="H104" s="14" t="str">
        <f t="shared" si="59"/>
        <v/>
      </c>
      <c r="I104" s="14" t="str">
        <f t="shared" si="60"/>
        <v/>
      </c>
      <c r="J104" s="14" t="str">
        <f t="shared" si="61"/>
        <v/>
      </c>
      <c r="K104" s="14" t="str">
        <f t="shared" si="62"/>
        <v/>
      </c>
      <c r="L104" s="14" t="str">
        <f t="shared" si="63"/>
        <v/>
      </c>
      <c r="M104" s="14" t="str">
        <f t="shared" si="64"/>
        <v/>
      </c>
      <c r="N104" s="14" t="str">
        <f t="shared" si="65"/>
        <v/>
      </c>
      <c r="O104" s="14" t="s">
        <v>11</v>
      </c>
      <c r="P104" s="14" t="s">
        <v>11</v>
      </c>
      <c r="Q104" s="14" t="s">
        <v>11</v>
      </c>
      <c r="R104" s="14" t="s">
        <v>13</v>
      </c>
      <c r="S104" s="14" t="s">
        <v>11</v>
      </c>
      <c r="T104" s="14" t="s">
        <v>11</v>
      </c>
      <c r="U104" s="14" t="s">
        <v>11</v>
      </c>
      <c r="V104" s="14" t="s">
        <v>11</v>
      </c>
      <c r="W104" s="14" t="s">
        <v>11</v>
      </c>
      <c r="X104" s="14" t="s">
        <v>11</v>
      </c>
      <c r="Y104" s="14" t="str">
        <f t="shared" si="33"/>
        <v/>
      </c>
      <c r="Z104" s="14" t="str">
        <f t="shared" si="66"/>
        <v/>
      </c>
      <c r="AA104" s="15">
        <f t="shared" si="72"/>
        <v>0</v>
      </c>
      <c r="AB104" s="14" t="s">
        <v>11</v>
      </c>
      <c r="AC104" s="14" t="s">
        <v>11</v>
      </c>
      <c r="AD104" s="14" t="s">
        <v>11</v>
      </c>
      <c r="AE104" s="14" t="s">
        <v>11</v>
      </c>
      <c r="AF104" s="14" t="s">
        <v>13</v>
      </c>
      <c r="AG104" s="14" t="s">
        <v>11</v>
      </c>
      <c r="AH104" s="14" t="s">
        <v>11</v>
      </c>
      <c r="AI104" s="14" t="s">
        <v>11</v>
      </c>
      <c r="AJ104" s="14" t="s">
        <v>11</v>
      </c>
      <c r="AK104" s="14" t="s">
        <v>11</v>
      </c>
      <c r="AL104" s="14" t="str">
        <f t="shared" si="35"/>
        <v>T</v>
      </c>
      <c r="AM104" s="14" t="str">
        <f t="shared" si="67"/>
        <v>T</v>
      </c>
      <c r="AN104" s="14" t="str">
        <f t="shared" si="37"/>
        <v/>
      </c>
      <c r="AO104" s="14" t="str">
        <f t="shared" si="68"/>
        <v/>
      </c>
      <c r="AP104" s="14" t="str">
        <f t="shared" si="69"/>
        <v/>
      </c>
      <c r="AQ104" s="14" t="str">
        <f t="shared" si="71"/>
        <v/>
      </c>
      <c r="AR104" s="15">
        <f t="shared" si="73"/>
        <v>0</v>
      </c>
      <c r="AT104" s="17">
        <f t="shared" si="70"/>
        <v>0</v>
      </c>
    </row>
    <row r="105" spans="2:46" ht="15.75" thickTop="1" thickBot="1" x14ac:dyDescent="0.25">
      <c r="B105" s="62"/>
      <c r="C105" s="15" t="s">
        <v>53</v>
      </c>
      <c r="D105" s="30" t="str">
        <f t="shared" si="32"/>
        <v/>
      </c>
      <c r="E105" s="14" t="str">
        <f t="shared" si="56"/>
        <v/>
      </c>
      <c r="F105" s="14" t="str">
        <f t="shared" si="57"/>
        <v/>
      </c>
      <c r="G105" s="14" t="str">
        <f t="shared" si="58"/>
        <v/>
      </c>
      <c r="H105" s="14" t="str">
        <f t="shared" si="59"/>
        <v/>
      </c>
      <c r="I105" s="14" t="str">
        <f t="shared" si="60"/>
        <v/>
      </c>
      <c r="J105" s="14" t="str">
        <f t="shared" si="61"/>
        <v/>
      </c>
      <c r="K105" s="14" t="str">
        <f t="shared" si="62"/>
        <v/>
      </c>
      <c r="L105" s="14" t="str">
        <f t="shared" si="63"/>
        <v/>
      </c>
      <c r="M105" s="14" t="str">
        <f t="shared" si="64"/>
        <v/>
      </c>
      <c r="N105" s="14" t="str">
        <f t="shared" si="65"/>
        <v/>
      </c>
      <c r="O105" s="14" t="s">
        <v>11</v>
      </c>
      <c r="P105" s="14" t="s">
        <v>11</v>
      </c>
      <c r="Q105" s="14" t="s">
        <v>11</v>
      </c>
      <c r="R105" s="14" t="s">
        <v>13</v>
      </c>
      <c r="S105" s="14" t="s">
        <v>11</v>
      </c>
      <c r="T105" s="14" t="s">
        <v>11</v>
      </c>
      <c r="U105" s="14" t="s">
        <v>11</v>
      </c>
      <c r="V105" s="14" t="s">
        <v>11</v>
      </c>
      <c r="W105" s="14" t="s">
        <v>11</v>
      </c>
      <c r="X105" s="14" t="s">
        <v>11</v>
      </c>
      <c r="Y105" s="14" t="str">
        <f t="shared" si="33"/>
        <v/>
      </c>
      <c r="Z105" s="14" t="str">
        <f t="shared" si="66"/>
        <v/>
      </c>
      <c r="AA105" s="15">
        <f t="shared" si="72"/>
        <v>0</v>
      </c>
      <c r="AB105" s="14" t="s">
        <v>11</v>
      </c>
      <c r="AC105" s="14" t="s">
        <v>11</v>
      </c>
      <c r="AD105" s="14" t="s">
        <v>11</v>
      </c>
      <c r="AE105" s="14" t="s">
        <v>11</v>
      </c>
      <c r="AF105" s="14" t="s">
        <v>13</v>
      </c>
      <c r="AG105" s="14" t="s">
        <v>11</v>
      </c>
      <c r="AH105" s="14" t="s">
        <v>11</v>
      </c>
      <c r="AI105" s="14" t="s">
        <v>11</v>
      </c>
      <c r="AJ105" s="14" t="s">
        <v>11</v>
      </c>
      <c r="AK105" s="14" t="s">
        <v>11</v>
      </c>
      <c r="AL105" s="14" t="str">
        <f t="shared" si="35"/>
        <v>T</v>
      </c>
      <c r="AM105" s="14" t="str">
        <f t="shared" si="67"/>
        <v>T</v>
      </c>
      <c r="AN105" s="14" t="str">
        <f t="shared" si="37"/>
        <v/>
      </c>
      <c r="AO105" s="14" t="str">
        <f t="shared" si="68"/>
        <v/>
      </c>
      <c r="AP105" s="14" t="str">
        <f t="shared" si="69"/>
        <v/>
      </c>
      <c r="AQ105" s="14" t="str">
        <f t="shared" si="71"/>
        <v/>
      </c>
      <c r="AR105" s="15">
        <f t="shared" si="73"/>
        <v>0</v>
      </c>
      <c r="AT105" s="17">
        <f t="shared" si="70"/>
        <v>0</v>
      </c>
    </row>
    <row r="106" spans="2:46" ht="15.75" thickTop="1" thickBot="1" x14ac:dyDescent="0.25">
      <c r="B106" s="63"/>
      <c r="C106" s="15" t="s">
        <v>53</v>
      </c>
      <c r="D106" s="30" t="str">
        <f t="shared" si="32"/>
        <v/>
      </c>
      <c r="E106" s="14" t="str">
        <f t="shared" si="56"/>
        <v/>
      </c>
      <c r="F106" s="14" t="str">
        <f t="shared" si="57"/>
        <v/>
      </c>
      <c r="G106" s="14" t="str">
        <f t="shared" si="58"/>
        <v/>
      </c>
      <c r="H106" s="14" t="str">
        <f t="shared" si="59"/>
        <v/>
      </c>
      <c r="I106" s="14" t="str">
        <f t="shared" si="60"/>
        <v/>
      </c>
      <c r="J106" s="14" t="str">
        <f t="shared" si="61"/>
        <v/>
      </c>
      <c r="K106" s="14" t="str">
        <f t="shared" si="62"/>
        <v/>
      </c>
      <c r="L106" s="14" t="str">
        <f t="shared" si="63"/>
        <v/>
      </c>
      <c r="M106" s="14" t="str">
        <f t="shared" si="64"/>
        <v/>
      </c>
      <c r="N106" s="14" t="str">
        <f t="shared" si="65"/>
        <v/>
      </c>
      <c r="O106" s="14" t="s">
        <v>11</v>
      </c>
      <c r="P106" s="14" t="s">
        <v>11</v>
      </c>
      <c r="Q106" s="14" t="s">
        <v>11</v>
      </c>
      <c r="R106" s="14" t="s">
        <v>13</v>
      </c>
      <c r="S106" s="14" t="s">
        <v>11</v>
      </c>
      <c r="T106" s="14" t="s">
        <v>11</v>
      </c>
      <c r="U106" s="14" t="s">
        <v>11</v>
      </c>
      <c r="V106" s="14" t="s">
        <v>11</v>
      </c>
      <c r="W106" s="14" t="s">
        <v>11</v>
      </c>
      <c r="X106" s="14" t="s">
        <v>11</v>
      </c>
      <c r="Y106" s="14" t="str">
        <f t="shared" si="33"/>
        <v/>
      </c>
      <c r="Z106" s="14" t="str">
        <f t="shared" si="66"/>
        <v/>
      </c>
      <c r="AA106" s="15">
        <f t="shared" si="72"/>
        <v>0</v>
      </c>
      <c r="AB106" s="14" t="s">
        <v>11</v>
      </c>
      <c r="AC106" s="14" t="s">
        <v>11</v>
      </c>
      <c r="AD106" s="14" t="s">
        <v>11</v>
      </c>
      <c r="AE106" s="14" t="s">
        <v>11</v>
      </c>
      <c r="AF106" s="14" t="s">
        <v>13</v>
      </c>
      <c r="AG106" s="14" t="s">
        <v>11</v>
      </c>
      <c r="AH106" s="14" t="s">
        <v>11</v>
      </c>
      <c r="AI106" s="14" t="s">
        <v>11</v>
      </c>
      <c r="AJ106" s="14" t="s">
        <v>11</v>
      </c>
      <c r="AK106" s="14" t="s">
        <v>11</v>
      </c>
      <c r="AL106" s="14" t="str">
        <f t="shared" si="35"/>
        <v>T</v>
      </c>
      <c r="AM106" s="14" t="str">
        <f t="shared" si="67"/>
        <v>T</v>
      </c>
      <c r="AN106" s="14" t="str">
        <f t="shared" si="37"/>
        <v/>
      </c>
      <c r="AO106" s="14" t="str">
        <f t="shared" si="68"/>
        <v/>
      </c>
      <c r="AP106" s="14" t="str">
        <f t="shared" si="69"/>
        <v/>
      </c>
      <c r="AQ106" s="14" t="str">
        <f t="shared" si="71"/>
        <v/>
      </c>
      <c r="AR106" s="15">
        <f t="shared" si="73"/>
        <v>0</v>
      </c>
      <c r="AT106" s="17">
        <f t="shared" si="70"/>
        <v>0</v>
      </c>
    </row>
    <row r="107" spans="2:46" ht="15.75" thickTop="1" thickBot="1" x14ac:dyDescent="0.25">
      <c r="B107" s="63"/>
      <c r="C107" s="15" t="s">
        <v>53</v>
      </c>
      <c r="D107" s="30" t="str">
        <f t="shared" si="32"/>
        <v/>
      </c>
      <c r="E107" s="14" t="str">
        <f t="shared" si="56"/>
        <v/>
      </c>
      <c r="F107" s="14" t="str">
        <f t="shared" si="57"/>
        <v/>
      </c>
      <c r="G107" s="14" t="str">
        <f t="shared" si="58"/>
        <v/>
      </c>
      <c r="H107" s="14" t="str">
        <f t="shared" si="59"/>
        <v/>
      </c>
      <c r="I107" s="14" t="str">
        <f t="shared" si="60"/>
        <v/>
      </c>
      <c r="J107" s="14" t="str">
        <f t="shared" si="61"/>
        <v/>
      </c>
      <c r="K107" s="14" t="str">
        <f t="shared" si="62"/>
        <v/>
      </c>
      <c r="L107" s="14" t="str">
        <f t="shared" si="63"/>
        <v/>
      </c>
      <c r="M107" s="14" t="str">
        <f t="shared" si="64"/>
        <v/>
      </c>
      <c r="N107" s="14" t="str">
        <f t="shared" si="65"/>
        <v/>
      </c>
      <c r="O107" s="14" t="s">
        <v>11</v>
      </c>
      <c r="P107" s="14" t="s">
        <v>11</v>
      </c>
      <c r="Q107" s="14" t="s">
        <v>11</v>
      </c>
      <c r="R107" s="14" t="s">
        <v>13</v>
      </c>
      <c r="S107" s="14" t="s">
        <v>11</v>
      </c>
      <c r="T107" s="14" t="s">
        <v>11</v>
      </c>
      <c r="U107" s="14" t="s">
        <v>11</v>
      </c>
      <c r="V107" s="14" t="s">
        <v>11</v>
      </c>
      <c r="W107" s="14" t="s">
        <v>11</v>
      </c>
      <c r="X107" s="14" t="s">
        <v>11</v>
      </c>
      <c r="Y107" s="14" t="str">
        <f t="shared" si="33"/>
        <v/>
      </c>
      <c r="Z107" s="14" t="str">
        <f t="shared" si="66"/>
        <v/>
      </c>
      <c r="AA107" s="15">
        <f t="shared" si="72"/>
        <v>0</v>
      </c>
      <c r="AB107" s="14" t="s">
        <v>11</v>
      </c>
      <c r="AC107" s="14" t="s">
        <v>11</v>
      </c>
      <c r="AD107" s="14" t="s">
        <v>11</v>
      </c>
      <c r="AE107" s="14" t="s">
        <v>11</v>
      </c>
      <c r="AF107" s="14" t="s">
        <v>13</v>
      </c>
      <c r="AG107" s="14" t="s">
        <v>11</v>
      </c>
      <c r="AH107" s="14" t="s">
        <v>11</v>
      </c>
      <c r="AI107" s="14" t="s">
        <v>11</v>
      </c>
      <c r="AJ107" s="14" t="s">
        <v>11</v>
      </c>
      <c r="AK107" s="14" t="s">
        <v>11</v>
      </c>
      <c r="AL107" s="14" t="str">
        <f t="shared" si="35"/>
        <v>T</v>
      </c>
      <c r="AM107" s="14" t="str">
        <f t="shared" si="67"/>
        <v>T</v>
      </c>
      <c r="AN107" s="14" t="str">
        <f t="shared" si="37"/>
        <v/>
      </c>
      <c r="AO107" s="14" t="str">
        <f t="shared" si="68"/>
        <v/>
      </c>
      <c r="AP107" s="14" t="str">
        <f t="shared" si="69"/>
        <v/>
      </c>
      <c r="AQ107" s="14" t="str">
        <f t="shared" si="71"/>
        <v/>
      </c>
      <c r="AR107" s="15">
        <f t="shared" si="73"/>
        <v>0</v>
      </c>
      <c r="AT107" s="17">
        <f t="shared" si="70"/>
        <v>0</v>
      </c>
    </row>
    <row r="108" spans="2:46" ht="15.75" thickTop="1" thickBot="1" x14ac:dyDescent="0.25">
      <c r="B108" s="63"/>
      <c r="C108" s="15" t="s">
        <v>53</v>
      </c>
      <c r="D108" s="30" t="str">
        <f t="shared" si="32"/>
        <v/>
      </c>
      <c r="E108" s="14" t="str">
        <f t="shared" si="56"/>
        <v/>
      </c>
      <c r="F108" s="14" t="str">
        <f t="shared" si="57"/>
        <v/>
      </c>
      <c r="G108" s="14" t="str">
        <f t="shared" si="58"/>
        <v/>
      </c>
      <c r="H108" s="14" t="str">
        <f t="shared" si="59"/>
        <v/>
      </c>
      <c r="I108" s="14" t="str">
        <f t="shared" si="60"/>
        <v/>
      </c>
      <c r="J108" s="14" t="str">
        <f t="shared" si="61"/>
        <v/>
      </c>
      <c r="K108" s="14" t="str">
        <f t="shared" si="62"/>
        <v/>
      </c>
      <c r="L108" s="14" t="str">
        <f t="shared" si="63"/>
        <v/>
      </c>
      <c r="M108" s="14" t="str">
        <f t="shared" si="64"/>
        <v/>
      </c>
      <c r="N108" s="14" t="str">
        <f t="shared" si="65"/>
        <v/>
      </c>
      <c r="O108" s="14" t="s">
        <v>11</v>
      </c>
      <c r="P108" s="14" t="s">
        <v>11</v>
      </c>
      <c r="Q108" s="14" t="s">
        <v>11</v>
      </c>
      <c r="R108" s="14" t="s">
        <v>13</v>
      </c>
      <c r="S108" s="14" t="s">
        <v>11</v>
      </c>
      <c r="T108" s="14" t="s">
        <v>11</v>
      </c>
      <c r="U108" s="14" t="s">
        <v>11</v>
      </c>
      <c r="V108" s="14" t="s">
        <v>11</v>
      </c>
      <c r="W108" s="14" t="s">
        <v>11</v>
      </c>
      <c r="X108" s="14" t="s">
        <v>11</v>
      </c>
      <c r="Y108" s="14" t="str">
        <f t="shared" si="33"/>
        <v/>
      </c>
      <c r="Z108" s="14" t="str">
        <f t="shared" si="66"/>
        <v/>
      </c>
      <c r="AA108" s="15">
        <f t="shared" si="72"/>
        <v>0</v>
      </c>
      <c r="AB108" s="14" t="s">
        <v>11</v>
      </c>
      <c r="AC108" s="14" t="s">
        <v>11</v>
      </c>
      <c r="AD108" s="14" t="s">
        <v>11</v>
      </c>
      <c r="AE108" s="14" t="s">
        <v>11</v>
      </c>
      <c r="AF108" s="14" t="s">
        <v>13</v>
      </c>
      <c r="AG108" s="14" t="s">
        <v>11</v>
      </c>
      <c r="AH108" s="14" t="s">
        <v>11</v>
      </c>
      <c r="AI108" s="14" t="s">
        <v>11</v>
      </c>
      <c r="AJ108" s="14" t="s">
        <v>11</v>
      </c>
      <c r="AK108" s="14" t="s">
        <v>11</v>
      </c>
      <c r="AL108" s="14" t="str">
        <f t="shared" si="35"/>
        <v>T</v>
      </c>
      <c r="AM108" s="14" t="str">
        <f t="shared" si="67"/>
        <v>T</v>
      </c>
      <c r="AN108" s="14" t="str">
        <f t="shared" si="37"/>
        <v/>
      </c>
      <c r="AO108" s="14" t="str">
        <f t="shared" si="68"/>
        <v/>
      </c>
      <c r="AP108" s="14" t="str">
        <f t="shared" si="69"/>
        <v/>
      </c>
      <c r="AQ108" s="14" t="str">
        <f t="shared" si="71"/>
        <v/>
      </c>
      <c r="AR108" s="15">
        <f t="shared" si="73"/>
        <v>0</v>
      </c>
      <c r="AT108" s="17">
        <f t="shared" si="70"/>
        <v>0</v>
      </c>
    </row>
    <row r="109" spans="2:46" ht="15.75" thickTop="1" thickBot="1" x14ac:dyDescent="0.25">
      <c r="B109" s="63"/>
      <c r="C109" s="15" t="s">
        <v>53</v>
      </c>
      <c r="D109" s="30" t="str">
        <f t="shared" si="32"/>
        <v/>
      </c>
      <c r="E109" s="14" t="str">
        <f t="shared" si="56"/>
        <v/>
      </c>
      <c r="F109" s="14" t="str">
        <f t="shared" si="57"/>
        <v/>
      </c>
      <c r="G109" s="14" t="str">
        <f t="shared" si="58"/>
        <v/>
      </c>
      <c r="H109" s="14" t="str">
        <f t="shared" si="59"/>
        <v/>
      </c>
      <c r="I109" s="14" t="str">
        <f t="shared" si="60"/>
        <v/>
      </c>
      <c r="J109" s="14" t="str">
        <f t="shared" si="61"/>
        <v/>
      </c>
      <c r="K109" s="14" t="str">
        <f t="shared" si="62"/>
        <v/>
      </c>
      <c r="L109" s="14" t="str">
        <f t="shared" si="63"/>
        <v/>
      </c>
      <c r="M109" s="14" t="str">
        <f t="shared" si="64"/>
        <v/>
      </c>
      <c r="N109" s="14" t="str">
        <f t="shared" si="65"/>
        <v/>
      </c>
      <c r="O109" s="14" t="s">
        <v>11</v>
      </c>
      <c r="P109" s="14" t="s">
        <v>11</v>
      </c>
      <c r="Q109" s="14" t="s">
        <v>11</v>
      </c>
      <c r="R109" s="14" t="s">
        <v>13</v>
      </c>
      <c r="S109" s="14" t="s">
        <v>11</v>
      </c>
      <c r="T109" s="14" t="s">
        <v>11</v>
      </c>
      <c r="U109" s="14" t="s">
        <v>11</v>
      </c>
      <c r="V109" s="14" t="s">
        <v>11</v>
      </c>
      <c r="W109" s="14" t="s">
        <v>11</v>
      </c>
      <c r="X109" s="14" t="s">
        <v>11</v>
      </c>
      <c r="Y109" s="14" t="str">
        <f t="shared" si="33"/>
        <v/>
      </c>
      <c r="Z109" s="14" t="str">
        <f t="shared" si="66"/>
        <v/>
      </c>
      <c r="AA109" s="15">
        <f t="shared" si="72"/>
        <v>0</v>
      </c>
      <c r="AB109" s="14" t="s">
        <v>11</v>
      </c>
      <c r="AC109" s="14" t="s">
        <v>11</v>
      </c>
      <c r="AD109" s="14" t="s">
        <v>11</v>
      </c>
      <c r="AE109" s="14" t="s">
        <v>11</v>
      </c>
      <c r="AF109" s="14" t="s">
        <v>13</v>
      </c>
      <c r="AG109" s="14" t="s">
        <v>11</v>
      </c>
      <c r="AH109" s="14" t="s">
        <v>11</v>
      </c>
      <c r="AI109" s="14" t="s">
        <v>11</v>
      </c>
      <c r="AJ109" s="14" t="s">
        <v>11</v>
      </c>
      <c r="AK109" s="14" t="s">
        <v>11</v>
      </c>
      <c r="AL109" s="14" t="str">
        <f t="shared" si="35"/>
        <v>T</v>
      </c>
      <c r="AM109" s="14" t="str">
        <f t="shared" si="67"/>
        <v>T</v>
      </c>
      <c r="AN109" s="14" t="str">
        <f t="shared" si="37"/>
        <v/>
      </c>
      <c r="AO109" s="14" t="str">
        <f t="shared" si="68"/>
        <v/>
      </c>
      <c r="AP109" s="14" t="str">
        <f t="shared" si="69"/>
        <v/>
      </c>
      <c r="AQ109" s="14" t="str">
        <f t="shared" si="71"/>
        <v/>
      </c>
      <c r="AR109" s="15">
        <f t="shared" si="73"/>
        <v>0</v>
      </c>
      <c r="AT109" s="17">
        <f t="shared" si="70"/>
        <v>0</v>
      </c>
    </row>
    <row r="110" spans="2:46" ht="15.75" thickTop="1" thickBot="1" x14ac:dyDescent="0.25">
      <c r="B110" s="63"/>
      <c r="C110" s="15" t="s">
        <v>53</v>
      </c>
      <c r="D110" s="30" t="str">
        <f t="shared" si="32"/>
        <v/>
      </c>
      <c r="E110" s="14" t="str">
        <f t="shared" si="56"/>
        <v/>
      </c>
      <c r="F110" s="14" t="str">
        <f t="shared" si="57"/>
        <v/>
      </c>
      <c r="G110" s="14" t="str">
        <f t="shared" si="58"/>
        <v/>
      </c>
      <c r="H110" s="14" t="str">
        <f t="shared" si="59"/>
        <v/>
      </c>
      <c r="I110" s="14" t="str">
        <f t="shared" si="60"/>
        <v/>
      </c>
      <c r="J110" s="14" t="str">
        <f t="shared" si="61"/>
        <v/>
      </c>
      <c r="K110" s="14" t="str">
        <f t="shared" si="62"/>
        <v/>
      </c>
      <c r="L110" s="14" t="str">
        <f t="shared" si="63"/>
        <v/>
      </c>
      <c r="M110" s="14" t="str">
        <f t="shared" si="64"/>
        <v/>
      </c>
      <c r="N110" s="14" t="str">
        <f t="shared" si="65"/>
        <v/>
      </c>
      <c r="O110" s="14" t="s">
        <v>11</v>
      </c>
      <c r="P110" s="14" t="s">
        <v>11</v>
      </c>
      <c r="Q110" s="14" t="s">
        <v>11</v>
      </c>
      <c r="R110" s="14" t="s">
        <v>13</v>
      </c>
      <c r="S110" s="14" t="s">
        <v>11</v>
      </c>
      <c r="T110" s="14" t="s">
        <v>11</v>
      </c>
      <c r="U110" s="14" t="s">
        <v>11</v>
      </c>
      <c r="V110" s="14" t="s">
        <v>11</v>
      </c>
      <c r="W110" s="14" t="s">
        <v>11</v>
      </c>
      <c r="X110" s="14" t="s">
        <v>11</v>
      </c>
      <c r="Y110" s="14" t="str">
        <f t="shared" si="33"/>
        <v/>
      </c>
      <c r="Z110" s="14" t="str">
        <f t="shared" si="66"/>
        <v/>
      </c>
      <c r="AA110" s="15">
        <f t="shared" si="72"/>
        <v>0</v>
      </c>
      <c r="AB110" s="14" t="s">
        <v>11</v>
      </c>
      <c r="AC110" s="14" t="s">
        <v>11</v>
      </c>
      <c r="AD110" s="14" t="s">
        <v>11</v>
      </c>
      <c r="AE110" s="14" t="s">
        <v>11</v>
      </c>
      <c r="AF110" s="14" t="s">
        <v>13</v>
      </c>
      <c r="AG110" s="14" t="s">
        <v>11</v>
      </c>
      <c r="AH110" s="14" t="s">
        <v>11</v>
      </c>
      <c r="AI110" s="14" t="s">
        <v>11</v>
      </c>
      <c r="AJ110" s="14" t="s">
        <v>11</v>
      </c>
      <c r="AK110" s="14" t="s">
        <v>11</v>
      </c>
      <c r="AL110" s="14" t="str">
        <f t="shared" si="35"/>
        <v>T</v>
      </c>
      <c r="AM110" s="14" t="str">
        <f t="shared" si="67"/>
        <v>T</v>
      </c>
      <c r="AN110" s="14" t="str">
        <f t="shared" si="37"/>
        <v/>
      </c>
      <c r="AO110" s="14" t="str">
        <f t="shared" si="68"/>
        <v/>
      </c>
      <c r="AP110" s="14" t="str">
        <f t="shared" si="69"/>
        <v/>
      </c>
      <c r="AQ110" s="14" t="str">
        <f t="shared" si="71"/>
        <v/>
      </c>
      <c r="AR110" s="15">
        <f t="shared" si="73"/>
        <v>0</v>
      </c>
      <c r="AT110" s="17">
        <f t="shared" si="70"/>
        <v>0</v>
      </c>
    </row>
    <row r="111" spans="2:46" ht="15.75" thickTop="1" thickBot="1" x14ac:dyDescent="0.25">
      <c r="B111" s="63"/>
      <c r="C111" s="15" t="s">
        <v>53</v>
      </c>
      <c r="D111" s="30" t="str">
        <f t="shared" si="32"/>
        <v/>
      </c>
      <c r="E111" s="14" t="str">
        <f t="shared" si="56"/>
        <v/>
      </c>
      <c r="F111" s="14" t="str">
        <f t="shared" si="57"/>
        <v/>
      </c>
      <c r="G111" s="14" t="str">
        <f t="shared" si="58"/>
        <v/>
      </c>
      <c r="H111" s="14" t="str">
        <f t="shared" si="59"/>
        <v/>
      </c>
      <c r="I111" s="14" t="str">
        <f t="shared" si="60"/>
        <v/>
      </c>
      <c r="J111" s="14" t="str">
        <f t="shared" si="61"/>
        <v/>
      </c>
      <c r="K111" s="14" t="str">
        <f t="shared" si="62"/>
        <v/>
      </c>
      <c r="L111" s="14" t="str">
        <f t="shared" si="63"/>
        <v/>
      </c>
      <c r="M111" s="14" t="str">
        <f t="shared" si="64"/>
        <v/>
      </c>
      <c r="N111" s="14" t="str">
        <f t="shared" si="65"/>
        <v/>
      </c>
      <c r="O111" s="14" t="s">
        <v>11</v>
      </c>
      <c r="P111" s="14" t="s">
        <v>11</v>
      </c>
      <c r="Q111" s="14" t="s">
        <v>11</v>
      </c>
      <c r="R111" s="14" t="s">
        <v>13</v>
      </c>
      <c r="S111" s="14" t="s">
        <v>11</v>
      </c>
      <c r="T111" s="14" t="s">
        <v>11</v>
      </c>
      <c r="U111" s="14" t="s">
        <v>11</v>
      </c>
      <c r="V111" s="14" t="s">
        <v>11</v>
      </c>
      <c r="W111" s="14" t="s">
        <v>11</v>
      </c>
      <c r="X111" s="14" t="s">
        <v>11</v>
      </c>
      <c r="Y111" s="14" t="str">
        <f t="shared" si="33"/>
        <v/>
      </c>
      <c r="Z111" s="14" t="str">
        <f t="shared" si="66"/>
        <v/>
      </c>
      <c r="AA111" s="15">
        <f t="shared" si="72"/>
        <v>0</v>
      </c>
      <c r="AB111" s="14" t="s">
        <v>11</v>
      </c>
      <c r="AC111" s="14" t="s">
        <v>11</v>
      </c>
      <c r="AD111" s="14" t="s">
        <v>11</v>
      </c>
      <c r="AE111" s="14" t="s">
        <v>11</v>
      </c>
      <c r="AF111" s="14" t="s">
        <v>13</v>
      </c>
      <c r="AG111" s="14" t="s">
        <v>11</v>
      </c>
      <c r="AH111" s="14" t="s">
        <v>11</v>
      </c>
      <c r="AI111" s="14" t="s">
        <v>11</v>
      </c>
      <c r="AJ111" s="14" t="s">
        <v>11</v>
      </c>
      <c r="AK111" s="14" t="s">
        <v>11</v>
      </c>
      <c r="AL111" s="14" t="str">
        <f t="shared" si="35"/>
        <v>T</v>
      </c>
      <c r="AM111" s="14" t="str">
        <f t="shared" si="67"/>
        <v>T</v>
      </c>
      <c r="AN111" s="14" t="str">
        <f t="shared" si="37"/>
        <v/>
      </c>
      <c r="AO111" s="14" t="str">
        <f t="shared" si="68"/>
        <v/>
      </c>
      <c r="AP111" s="14" t="str">
        <f t="shared" si="69"/>
        <v/>
      </c>
      <c r="AQ111" s="14" t="str">
        <f t="shared" si="71"/>
        <v/>
      </c>
      <c r="AR111" s="15">
        <f t="shared" si="73"/>
        <v>0</v>
      </c>
      <c r="AT111" s="17">
        <f t="shared" si="70"/>
        <v>0</v>
      </c>
    </row>
    <row r="112" spans="2:46" ht="15.75" thickTop="1" thickBot="1" x14ac:dyDescent="0.25">
      <c r="B112" s="62"/>
      <c r="C112" s="15" t="s">
        <v>53</v>
      </c>
      <c r="D112" s="30" t="str">
        <f t="shared" si="32"/>
        <v/>
      </c>
      <c r="E112" s="14" t="str">
        <f t="shared" ref="E112:E171" si="74">MID(D112,E$3,IF(ISERR(SEARCH(" ",D112,E$3)),1000,SEARCH(" ",D112,E$3))-E$3)</f>
        <v/>
      </c>
      <c r="F112" s="14" t="str">
        <f t="shared" ref="F112:F171" si="75">MID(D112,LEN(E112)+F$3,IF(ISERR(SEARCH(" ",D112,LEN(E112)+F$3)),1000,SEARCH(" ",D112,LEN(E112)+F$3)-LEN(E112)-F$3))</f>
        <v/>
      </c>
      <c r="G112" s="14" t="str">
        <f t="shared" ref="G112:G171" si="76">MID(D112,LEN(E112&amp;F112)+G$3,IF(ISERR(SEARCH(" ",D112,LEN(E112&amp;F112)+G$3)),1000,SEARCH(" ",D112,LEN(E112&amp;F112)+G$3)-LEN(E112&amp;F112)-G$3))</f>
        <v/>
      </c>
      <c r="H112" s="14" t="str">
        <f t="shared" ref="H112:H171" si="77">MID(D112,LEN(E112&amp;F112&amp;G112)+H$3,IF(ISERR(SEARCH(" ",D112,LEN(E112&amp;F112&amp;G112)+H$3)),1000,SEARCH(" ",D112,LEN(E112&amp;F112&amp;G112)+H$3)-LEN(E112&amp;F112&amp;G112)-H$3))</f>
        <v/>
      </c>
      <c r="I112" s="14" t="str">
        <f t="shared" ref="I112:I171" si="78">MID(D112,LEN(E112&amp;F112&amp;G112&amp;H112)+I$3,IF(ISERR(SEARCH(" ",D112,LEN(E112&amp;F112&amp;G112&amp;H112)+I$3)),1000,SEARCH(" ",D112,LEN(E112&amp;F112&amp;G112&amp;H112)+I$3)-LEN(E112&amp;F112&amp;G112&amp;H112)-I$3))</f>
        <v/>
      </c>
      <c r="J112" s="14" t="str">
        <f t="shared" ref="J112:J171" si="79">MID(D112,LEN(E112&amp;F112&amp;G112&amp;H112&amp;I112)+J$3,IF(ISERR(SEARCH(" ",D112,LEN(E112&amp;F112&amp;G112&amp;H112&amp;I112)+J$3)),1000,SEARCH(" ",D112,LEN(E112&amp;F112&amp;G112&amp;H112&amp;I112)+J$3)-LEN(E112&amp;F112&amp;G112&amp;H112&amp;I112)-J$3))</f>
        <v/>
      </c>
      <c r="K112" s="14" t="str">
        <f t="shared" ref="K112:K171" si="80">MID(D112,LEN(E112&amp;F112&amp;G112&amp;H112&amp;I112&amp;J112)+K$3,IF(ISERR(SEARCH(" ",D112,LEN(E112&amp;F112&amp;G112&amp;H112&amp;I112&amp;J112)+K$3)),1000,SEARCH(" ",D112,LEN(E112&amp;F112&amp;G112&amp;H112&amp;I112&amp;J112)+K$3)-LEN(E112&amp;F112&amp;G112&amp;H112&amp;I112&amp;J112)-K$3))</f>
        <v/>
      </c>
      <c r="L112" s="14" t="str">
        <f t="shared" ref="L112:L171" si="81">MID(D112,LEN(E112&amp;F112&amp;G112&amp;H112&amp;I112&amp;J112&amp;K112)+L$3,IF(ISERR(SEARCH(" ",D112,LEN(E112&amp;F112&amp;G112&amp;H112&amp;I112&amp;J112&amp;K112)+L$3)),1000,SEARCH(" ",D112,LEN(E112&amp;F112&amp;G112&amp;H112&amp;I112&amp;J112&amp;K112)+L$3)-LEN(E112&amp;F112&amp;G112&amp;H112&amp;I112&amp;J112&amp;K112)-L$3))</f>
        <v/>
      </c>
      <c r="M112" s="14" t="str">
        <f t="shared" ref="M112:M171" si="82">MID(D112,LEN(E112&amp;F112&amp;G112&amp;H112&amp;I112&amp;J112&amp;K112&amp;L112)+M$3,IF(ISERR(SEARCH(" ",D112,LEN(E112&amp;F112&amp;G112&amp;H112&amp;I112&amp;J112&amp;K112&amp;L112)+M$3)),1000,SEARCH(" ",D112,LEN(E112&amp;F112&amp;G112&amp;H112&amp;I112&amp;J112&amp;K112&amp;L112)+M$3)-LEN(E112&amp;F112&amp;G112&amp;H112&amp;I112&amp;J112&amp;K112&amp;L112)-M$3))</f>
        <v/>
      </c>
      <c r="N112" s="14" t="str">
        <f t="shared" ref="N112:N171" si="83">MID(D112,LEN(E112&amp;F112&amp;G112&amp;H112&amp;I112&amp;J112&amp;K112&amp;L112&amp;M112)+N$3,IF(ISERR(SEARCH(" ",D112,LEN(E112&amp;F112&amp;G112&amp;H112&amp;I112&amp;J112&amp;K112&amp;L112&amp;M112)+N$3)),1000,SEARCH(" ",D112,LEN(E112&amp;F112&amp;G112&amp;H112&amp;I112&amp;J112&amp;K112&amp;L112&amp;M112)+N$3)-LEN(E112&amp;F112&amp;G112&amp;H112&amp;I112&amp;J112&amp;K112&amp;L112&amp;M112)-N$3))</f>
        <v/>
      </c>
      <c r="O112" s="14" t="s">
        <v>11</v>
      </c>
      <c r="P112" s="14" t="s">
        <v>11</v>
      </c>
      <c r="Q112" s="14" t="s">
        <v>11</v>
      </c>
      <c r="R112" s="14" t="s">
        <v>13</v>
      </c>
      <c r="S112" s="14" t="s">
        <v>11</v>
      </c>
      <c r="T112" s="14" t="s">
        <v>11</v>
      </c>
      <c r="U112" s="14" t="s">
        <v>11</v>
      </c>
      <c r="V112" s="14" t="s">
        <v>11</v>
      </c>
      <c r="W112" s="14" t="s">
        <v>11</v>
      </c>
      <c r="X112" s="14" t="s">
        <v>11</v>
      </c>
      <c r="Y112" s="14" t="str">
        <f t="shared" si="33"/>
        <v/>
      </c>
      <c r="Z112" s="14" t="str">
        <f t="shared" si="66"/>
        <v/>
      </c>
      <c r="AA112" s="15">
        <f t="shared" si="72"/>
        <v>0</v>
      </c>
      <c r="AB112" s="14" t="s">
        <v>11</v>
      </c>
      <c r="AC112" s="14" t="s">
        <v>11</v>
      </c>
      <c r="AD112" s="14" t="s">
        <v>11</v>
      </c>
      <c r="AE112" s="14" t="s">
        <v>11</v>
      </c>
      <c r="AF112" s="14" t="s">
        <v>13</v>
      </c>
      <c r="AG112" s="14" t="s">
        <v>11</v>
      </c>
      <c r="AH112" s="14" t="s">
        <v>11</v>
      </c>
      <c r="AI112" s="14" t="s">
        <v>11</v>
      </c>
      <c r="AJ112" s="14" t="s">
        <v>11</v>
      </c>
      <c r="AK112" s="14" t="s">
        <v>11</v>
      </c>
      <c r="AL112" s="14" t="str">
        <f t="shared" si="35"/>
        <v>T</v>
      </c>
      <c r="AM112" s="14" t="str">
        <f t="shared" si="67"/>
        <v>T</v>
      </c>
      <c r="AN112" s="14" t="str">
        <f t="shared" si="37"/>
        <v/>
      </c>
      <c r="AO112" s="14" t="str">
        <f t="shared" si="68"/>
        <v/>
      </c>
      <c r="AP112" s="14" t="str">
        <f t="shared" si="69"/>
        <v/>
      </c>
      <c r="AQ112" s="14" t="str">
        <f t="shared" si="71"/>
        <v/>
      </c>
      <c r="AR112" s="15">
        <f t="shared" si="73"/>
        <v>0</v>
      </c>
      <c r="AT112" s="17">
        <f t="shared" si="70"/>
        <v>0</v>
      </c>
    </row>
    <row r="113" spans="2:46" ht="15.75" thickTop="1" thickBot="1" x14ac:dyDescent="0.25">
      <c r="B113" s="62"/>
      <c r="C113" s="15" t="s">
        <v>53</v>
      </c>
      <c r="D113" s="30" t="str">
        <f t="shared" si="32"/>
        <v/>
      </c>
      <c r="E113" s="14" t="str">
        <f t="shared" si="74"/>
        <v/>
      </c>
      <c r="F113" s="14" t="str">
        <f t="shared" si="75"/>
        <v/>
      </c>
      <c r="G113" s="14" t="str">
        <f t="shared" si="76"/>
        <v/>
      </c>
      <c r="H113" s="14" t="str">
        <f t="shared" si="77"/>
        <v/>
      </c>
      <c r="I113" s="14" t="str">
        <f t="shared" si="78"/>
        <v/>
      </c>
      <c r="J113" s="14" t="str">
        <f t="shared" si="79"/>
        <v/>
      </c>
      <c r="K113" s="14" t="str">
        <f t="shared" si="80"/>
        <v/>
      </c>
      <c r="L113" s="14" t="str">
        <f t="shared" si="81"/>
        <v/>
      </c>
      <c r="M113" s="14" t="str">
        <f t="shared" si="82"/>
        <v/>
      </c>
      <c r="N113" s="14" t="str">
        <f t="shared" si="83"/>
        <v/>
      </c>
      <c r="O113" s="14" t="s">
        <v>11</v>
      </c>
      <c r="P113" s="14" t="s">
        <v>11</v>
      </c>
      <c r="Q113" s="14" t="s">
        <v>11</v>
      </c>
      <c r="R113" s="14" t="s">
        <v>13</v>
      </c>
      <c r="S113" s="14" t="s">
        <v>11</v>
      </c>
      <c r="T113" s="14" t="s">
        <v>11</v>
      </c>
      <c r="U113" s="14" t="s">
        <v>11</v>
      </c>
      <c r="V113" s="14" t="s">
        <v>11</v>
      </c>
      <c r="W113" s="14" t="s">
        <v>11</v>
      </c>
      <c r="X113" s="14" t="s">
        <v>11</v>
      </c>
      <c r="Y113" s="14" t="str">
        <f t="shared" si="33"/>
        <v/>
      </c>
      <c r="Z113" s="14" t="str">
        <f t="shared" si="66"/>
        <v/>
      </c>
      <c r="AA113" s="15">
        <f t="shared" si="72"/>
        <v>0</v>
      </c>
      <c r="AB113" s="14" t="s">
        <v>11</v>
      </c>
      <c r="AC113" s="14" t="s">
        <v>11</v>
      </c>
      <c r="AD113" s="14" t="s">
        <v>11</v>
      </c>
      <c r="AE113" s="14" t="s">
        <v>11</v>
      </c>
      <c r="AF113" s="14" t="s">
        <v>13</v>
      </c>
      <c r="AG113" s="14" t="s">
        <v>11</v>
      </c>
      <c r="AH113" s="14" t="s">
        <v>11</v>
      </c>
      <c r="AI113" s="14" t="s">
        <v>11</v>
      </c>
      <c r="AJ113" s="14" t="s">
        <v>11</v>
      </c>
      <c r="AK113" s="14" t="s">
        <v>11</v>
      </c>
      <c r="AL113" s="14" t="str">
        <f t="shared" si="35"/>
        <v>T</v>
      </c>
      <c r="AM113" s="14" t="str">
        <f t="shared" si="67"/>
        <v>T</v>
      </c>
      <c r="AN113" s="14" t="str">
        <f t="shared" si="37"/>
        <v/>
      </c>
      <c r="AO113" s="14" t="str">
        <f t="shared" si="68"/>
        <v/>
      </c>
      <c r="AP113" s="14" t="str">
        <f t="shared" si="69"/>
        <v/>
      </c>
      <c r="AQ113" s="14" t="str">
        <f t="shared" si="71"/>
        <v/>
      </c>
      <c r="AR113" s="15">
        <f t="shared" si="73"/>
        <v>0</v>
      </c>
      <c r="AT113" s="17">
        <f t="shared" si="70"/>
        <v>0</v>
      </c>
    </row>
    <row r="114" spans="2:46" ht="15.75" thickTop="1" thickBot="1" x14ac:dyDescent="0.25">
      <c r="B114" s="62"/>
      <c r="C114" s="15" t="s">
        <v>53</v>
      </c>
      <c r="D114" s="30" t="str">
        <f t="shared" si="32"/>
        <v/>
      </c>
      <c r="E114" s="14" t="str">
        <f t="shared" si="74"/>
        <v/>
      </c>
      <c r="F114" s="14" t="str">
        <f t="shared" si="75"/>
        <v/>
      </c>
      <c r="G114" s="14" t="str">
        <f t="shared" si="76"/>
        <v/>
      </c>
      <c r="H114" s="14" t="str">
        <f t="shared" si="77"/>
        <v/>
      </c>
      <c r="I114" s="14" t="str">
        <f t="shared" si="78"/>
        <v/>
      </c>
      <c r="J114" s="14" t="str">
        <f t="shared" si="79"/>
        <v/>
      </c>
      <c r="K114" s="14" t="str">
        <f t="shared" si="80"/>
        <v/>
      </c>
      <c r="L114" s="14" t="str">
        <f t="shared" si="81"/>
        <v/>
      </c>
      <c r="M114" s="14" t="str">
        <f t="shared" si="82"/>
        <v/>
      </c>
      <c r="N114" s="14" t="str">
        <f t="shared" si="83"/>
        <v/>
      </c>
      <c r="O114" s="14" t="s">
        <v>11</v>
      </c>
      <c r="P114" s="14" t="s">
        <v>11</v>
      </c>
      <c r="Q114" s="14" t="s">
        <v>11</v>
      </c>
      <c r="R114" s="14" t="s">
        <v>13</v>
      </c>
      <c r="S114" s="14" t="s">
        <v>11</v>
      </c>
      <c r="T114" s="14" t="s">
        <v>11</v>
      </c>
      <c r="U114" s="14" t="s">
        <v>11</v>
      </c>
      <c r="V114" s="14" t="s">
        <v>11</v>
      </c>
      <c r="W114" s="14" t="s">
        <v>11</v>
      </c>
      <c r="X114" s="14" t="s">
        <v>11</v>
      </c>
      <c r="Y114" s="14" t="str">
        <f t="shared" si="33"/>
        <v/>
      </c>
      <c r="Z114" s="14" t="str">
        <f t="shared" ref="Z114:Z125" si="84">IF(OR(C114="E",C114="A"),Y114&amp;IF(T114="X",IF(J114&lt;&gt;"",IF(ISERROR(VLOOKUP(J114,ListaThesaurus,2,FALSE)),"***",J114),""),"")&amp;IF(U114="X",IF(K114&lt;&gt;"",IF(ISERROR(VLOOKUP(K114,ListaThesaurus,2,FALSE)),"***",K114),""),"")&amp;IF(V114="X",IF(L114&lt;&gt;"",IF(ISERROR(VLOOKUP(L114,ListaThesaurus,2,FALSE)),"***",L114),""),"")&amp;IF(W114="X",IF(M114&lt;&gt;"",IF(ISERROR(VLOOKUP(M114,ListaThesaurus,2,FALSE)),"***",M114),""),"")&amp;IF(X114="X",IF(N114&lt;&gt;"",IF(ISERROR(VLOOKUP(N114,ListaThesaurus,2,FALSE)),"***",N114),""),""),"")</f>
        <v/>
      </c>
      <c r="AA114" s="15">
        <f t="shared" si="72"/>
        <v>0</v>
      </c>
      <c r="AB114" s="14" t="s">
        <v>11</v>
      </c>
      <c r="AC114" s="14" t="s">
        <v>11</v>
      </c>
      <c r="AD114" s="14" t="s">
        <v>11</v>
      </c>
      <c r="AE114" s="14" t="s">
        <v>11</v>
      </c>
      <c r="AF114" s="14" t="s">
        <v>13</v>
      </c>
      <c r="AG114" s="14" t="s">
        <v>11</v>
      </c>
      <c r="AH114" s="14" t="s">
        <v>11</v>
      </c>
      <c r="AI114" s="14" t="s">
        <v>11</v>
      </c>
      <c r="AJ114" s="14" t="s">
        <v>11</v>
      </c>
      <c r="AK114" s="14" t="s">
        <v>11</v>
      </c>
      <c r="AL114" s="14" t="str">
        <f t="shared" si="35"/>
        <v>T</v>
      </c>
      <c r="AM114" s="14" t="str">
        <f t="shared" ref="AM114:AM125" si="85">AL114&amp;IF(AG114="X",IF(J114&lt;&gt;"",IF(OR(AB114="X",AC114="X",AD114="X",AE114="X",AF114="X"),"_","")&amp;IF(ISERROR(VLOOKUP(J114,ListaThesaurus,2,FALSE)),"***",VLOOKUP(J114,ListaThesaurus,2,FALSE)),""),"")&amp;IF(AH114="X",IF(K114&lt;&gt;"",IF(OR(AB114="X",AC114="X",AD114="X",AE114="X",AF114="X",AG114="X"),"_","")&amp;IF(ISERROR(VLOOKUP(K114,ListaThesaurus,2,FALSE)),"***",VLOOKUP(K114,ListaThesaurus,2,FALSE)),""),"")&amp;IF(AI114="X",IF(L114&lt;&gt;"",IF(OR(AB114="X",AC114="X",AD114="X",AE114="X",AF114="X",AG114="X",AH114="X"),"_","")&amp;IF(ISERROR(VLOOKUP(L114,ListaThesaurus,2,FALSE)),"***",VLOOKUP(L114,ListaThesaurus,2,FALSE)),""),"")&amp;IF(AJ114="X",IF(M114&lt;&gt;"",IF(OR(AB114="X",AC114="X",AD114="X",AE114="X",AF114="X",AG114="X",AH114="X",AI114="X"),"_","")&amp;IF(ISERROR(VLOOKUP(M114,ListaThesaurus,2,FALSE)),"***",VLOOKUP(M114,ListaThesaurus,2,FALSE)),""),"")&amp;IF(AK114="X",IF(N114&lt;&gt;"",IF(OR(AB114="X",AC114="X",AD114="X",AE114="X",AF114="X",AG114="X",AH114="X",AI114="X",AJ114="X"),"_","")&amp;IF(ISERROR(VLOOKUP(N114,ListaThesaurus,2,FALSE)),"***",VLOOKUP(N114,ListaThesaurus,2,FALSE)),""),"")</f>
        <v>T</v>
      </c>
      <c r="AN114" s="14" t="str">
        <f t="shared" si="37"/>
        <v/>
      </c>
      <c r="AO114" s="14" t="str">
        <f t="shared" ref="AO114:AO125" si="86">AN114&amp;IF(AG114="X",IF(J114&lt;&gt;"",IF(OR(AC114="X",AD114="X",AE114="X",AF114="X"),"_","")&amp;IF(ISERROR(VLOOKUP(J114,ListaThesaurus,2,FALSE)),"***",VLOOKUP(J114,ListaThesaurus,2,FALSE)),""),"")&amp;IF(AH114="X",IF(K114&lt;&gt;"",IF(OR(AC114="X",AD114="X",AE114="X",AF114="X",AG114="X"),"_","")&amp;IF(ISERROR(VLOOKUP(K114,ListaThesaurus,2,FALSE)),"***",VLOOKUP(K114,ListaThesaurus,2,FALSE)),""),"")&amp;IF(AI114="X",IF(L114&lt;&gt;"",IF(OR(AC114="X",AD114="X",AE114="X",AF114="X",AG114="X",AH114="X"),"_","")&amp;IF(ISERROR(VLOOKUP(L114,ListaThesaurus,2,FALSE)),"***",VLOOKUP(L114,ListaThesaurus,2,FALSE)),""),"")&amp;IF(AJ114="X",IF(M114&lt;&gt;"",IF(OR(AC114="X",AD114="X",AE114="X",AF114="X",AG114="X",AH114="X",AI114="X"),"_","")&amp;IF(ISERROR(VLOOKUP(M114,ListaThesaurus,2,FALSE)),"***",VLOOKUP(M114,ListaThesaurus,2,FALSE)),""),"")&amp;IF(AK114="X",IF(N114&lt;&gt;"",IF(OR(AC114="X",AD114="X",AE114="X",AF114="X",AG114="X",AH114="X",AI114="X",AJ114="X"),"_","")&amp;IF(ISERROR(VLOOKUP(N114,ListaThesaurus,2,FALSE)),"***",VLOOKUP(N114,ListaThesaurus,2,FALSE)),""),"")</f>
        <v/>
      </c>
      <c r="AP114" s="14" t="str">
        <f t="shared" ref="AP114:AP125" si="87">IF(C114="A",AO114,IF(C114="E",AM114,""))</f>
        <v/>
      </c>
      <c r="AQ114" s="14" t="str">
        <f t="shared" si="71"/>
        <v/>
      </c>
      <c r="AR114" s="15">
        <f t="shared" si="73"/>
        <v>0</v>
      </c>
      <c r="AT114" s="17">
        <f t="shared" si="70"/>
        <v>0</v>
      </c>
    </row>
    <row r="115" spans="2:46" ht="15.75" thickTop="1" thickBot="1" x14ac:dyDescent="0.25">
      <c r="B115" s="62"/>
      <c r="C115" s="15" t="s">
        <v>53</v>
      </c>
      <c r="D115" s="30" t="str">
        <f t="shared" si="32"/>
        <v/>
      </c>
      <c r="E115" s="14" t="str">
        <f t="shared" si="74"/>
        <v/>
      </c>
      <c r="F115" s="14" t="str">
        <f t="shared" si="75"/>
        <v/>
      </c>
      <c r="G115" s="14" t="str">
        <f t="shared" si="76"/>
        <v/>
      </c>
      <c r="H115" s="14" t="str">
        <f t="shared" si="77"/>
        <v/>
      </c>
      <c r="I115" s="14" t="str">
        <f t="shared" si="78"/>
        <v/>
      </c>
      <c r="J115" s="14" t="str">
        <f t="shared" si="79"/>
        <v/>
      </c>
      <c r="K115" s="14" t="str">
        <f t="shared" si="80"/>
        <v/>
      </c>
      <c r="L115" s="14" t="str">
        <f t="shared" si="81"/>
        <v/>
      </c>
      <c r="M115" s="14" t="str">
        <f t="shared" si="82"/>
        <v/>
      </c>
      <c r="N115" s="14" t="str">
        <f t="shared" si="83"/>
        <v/>
      </c>
      <c r="O115" s="14" t="s">
        <v>11</v>
      </c>
      <c r="P115" s="14" t="s">
        <v>11</v>
      </c>
      <c r="Q115" s="14" t="s">
        <v>11</v>
      </c>
      <c r="R115" s="14" t="s">
        <v>13</v>
      </c>
      <c r="S115" s="14" t="s">
        <v>11</v>
      </c>
      <c r="T115" s="14" t="s">
        <v>11</v>
      </c>
      <c r="U115" s="14" t="s">
        <v>11</v>
      </c>
      <c r="V115" s="14" t="s">
        <v>11</v>
      </c>
      <c r="W115" s="14" t="s">
        <v>11</v>
      </c>
      <c r="X115" s="14" t="s">
        <v>11</v>
      </c>
      <c r="Y115" s="14" t="str">
        <f t="shared" si="33"/>
        <v/>
      </c>
      <c r="Z115" s="14" t="str">
        <f t="shared" si="84"/>
        <v/>
      </c>
      <c r="AA115" s="15">
        <f t="shared" si="72"/>
        <v>0</v>
      </c>
      <c r="AB115" s="14" t="s">
        <v>11</v>
      </c>
      <c r="AC115" s="14" t="s">
        <v>11</v>
      </c>
      <c r="AD115" s="14" t="s">
        <v>11</v>
      </c>
      <c r="AE115" s="14" t="s">
        <v>11</v>
      </c>
      <c r="AF115" s="14" t="s">
        <v>13</v>
      </c>
      <c r="AG115" s="14" t="s">
        <v>11</v>
      </c>
      <c r="AH115" s="14" t="s">
        <v>11</v>
      </c>
      <c r="AI115" s="14" t="s">
        <v>11</v>
      </c>
      <c r="AJ115" s="14" t="s">
        <v>11</v>
      </c>
      <c r="AK115" s="14" t="s">
        <v>11</v>
      </c>
      <c r="AL115" s="14" t="str">
        <f t="shared" si="35"/>
        <v>T</v>
      </c>
      <c r="AM115" s="14" t="str">
        <f t="shared" si="85"/>
        <v>T</v>
      </c>
      <c r="AN115" s="14" t="str">
        <f t="shared" si="37"/>
        <v/>
      </c>
      <c r="AO115" s="14" t="str">
        <f t="shared" si="86"/>
        <v/>
      </c>
      <c r="AP115" s="14" t="str">
        <f t="shared" si="87"/>
        <v/>
      </c>
      <c r="AQ115" s="14" t="str">
        <f t="shared" si="71"/>
        <v/>
      </c>
      <c r="AR115" s="15">
        <f t="shared" si="73"/>
        <v>0</v>
      </c>
      <c r="AT115" s="17">
        <f t="shared" si="70"/>
        <v>0</v>
      </c>
    </row>
    <row r="116" spans="2:46" ht="15.75" thickTop="1" thickBot="1" x14ac:dyDescent="0.25">
      <c r="B116" s="63"/>
      <c r="C116" s="15" t="s">
        <v>53</v>
      </c>
      <c r="D116" s="30" t="str">
        <f t="shared" si="32"/>
        <v/>
      </c>
      <c r="E116" s="14" t="str">
        <f t="shared" si="74"/>
        <v/>
      </c>
      <c r="F116" s="14" t="str">
        <f t="shared" si="75"/>
        <v/>
      </c>
      <c r="G116" s="14" t="str">
        <f t="shared" si="76"/>
        <v/>
      </c>
      <c r="H116" s="14" t="str">
        <f t="shared" si="77"/>
        <v/>
      </c>
      <c r="I116" s="14" t="str">
        <f t="shared" si="78"/>
        <v/>
      </c>
      <c r="J116" s="14" t="str">
        <f t="shared" si="79"/>
        <v/>
      </c>
      <c r="K116" s="14" t="str">
        <f t="shared" si="80"/>
        <v/>
      </c>
      <c r="L116" s="14" t="str">
        <f t="shared" si="81"/>
        <v/>
      </c>
      <c r="M116" s="14" t="str">
        <f t="shared" si="82"/>
        <v/>
      </c>
      <c r="N116" s="14" t="str">
        <f t="shared" si="83"/>
        <v/>
      </c>
      <c r="O116" s="14" t="s">
        <v>11</v>
      </c>
      <c r="P116" s="14" t="s">
        <v>11</v>
      </c>
      <c r="Q116" s="14" t="s">
        <v>11</v>
      </c>
      <c r="R116" s="14" t="s">
        <v>13</v>
      </c>
      <c r="S116" s="14" t="s">
        <v>11</v>
      </c>
      <c r="T116" s="14" t="s">
        <v>11</v>
      </c>
      <c r="U116" s="14" t="s">
        <v>11</v>
      </c>
      <c r="V116" s="14" t="s">
        <v>11</v>
      </c>
      <c r="W116" s="14" t="s">
        <v>11</v>
      </c>
      <c r="X116" s="14" t="s">
        <v>11</v>
      </c>
      <c r="Y116" s="14" t="str">
        <f t="shared" si="33"/>
        <v/>
      </c>
      <c r="Z116" s="14" t="str">
        <f t="shared" si="84"/>
        <v/>
      </c>
      <c r="AA116" s="15">
        <f t="shared" si="72"/>
        <v>0</v>
      </c>
      <c r="AB116" s="14" t="s">
        <v>11</v>
      </c>
      <c r="AC116" s="14" t="s">
        <v>11</v>
      </c>
      <c r="AD116" s="14" t="s">
        <v>11</v>
      </c>
      <c r="AE116" s="14" t="s">
        <v>11</v>
      </c>
      <c r="AF116" s="14" t="s">
        <v>13</v>
      </c>
      <c r="AG116" s="14" t="s">
        <v>11</v>
      </c>
      <c r="AH116" s="14" t="s">
        <v>11</v>
      </c>
      <c r="AI116" s="14" t="s">
        <v>11</v>
      </c>
      <c r="AJ116" s="14" t="s">
        <v>11</v>
      </c>
      <c r="AK116" s="14" t="s">
        <v>11</v>
      </c>
      <c r="AL116" s="14" t="str">
        <f t="shared" si="35"/>
        <v>T</v>
      </c>
      <c r="AM116" s="14" t="str">
        <f t="shared" si="85"/>
        <v>T</v>
      </c>
      <c r="AN116" s="14" t="str">
        <f t="shared" si="37"/>
        <v/>
      </c>
      <c r="AO116" s="14" t="str">
        <f t="shared" si="86"/>
        <v/>
      </c>
      <c r="AP116" s="14" t="str">
        <f t="shared" si="87"/>
        <v/>
      </c>
      <c r="AQ116" s="14" t="str">
        <f t="shared" si="71"/>
        <v/>
      </c>
      <c r="AR116" s="15">
        <f t="shared" si="73"/>
        <v>0</v>
      </c>
      <c r="AT116" s="17">
        <f t="shared" si="70"/>
        <v>0</v>
      </c>
    </row>
    <row r="117" spans="2:46" ht="15.75" thickTop="1" thickBot="1" x14ac:dyDescent="0.25">
      <c r="B117" s="63"/>
      <c r="C117" s="15" t="s">
        <v>53</v>
      </c>
      <c r="D117" s="30" t="str">
        <f t="shared" si="32"/>
        <v/>
      </c>
      <c r="E117" s="14" t="str">
        <f t="shared" si="74"/>
        <v/>
      </c>
      <c r="F117" s="14" t="str">
        <f t="shared" si="75"/>
        <v/>
      </c>
      <c r="G117" s="14" t="str">
        <f t="shared" si="76"/>
        <v/>
      </c>
      <c r="H117" s="14" t="str">
        <f t="shared" si="77"/>
        <v/>
      </c>
      <c r="I117" s="14" t="str">
        <f t="shared" si="78"/>
        <v/>
      </c>
      <c r="J117" s="14" t="str">
        <f t="shared" si="79"/>
        <v/>
      </c>
      <c r="K117" s="14" t="str">
        <f t="shared" si="80"/>
        <v/>
      </c>
      <c r="L117" s="14" t="str">
        <f t="shared" si="81"/>
        <v/>
      </c>
      <c r="M117" s="14" t="str">
        <f t="shared" si="82"/>
        <v/>
      </c>
      <c r="N117" s="14" t="str">
        <f t="shared" si="83"/>
        <v/>
      </c>
      <c r="O117" s="14" t="s">
        <v>11</v>
      </c>
      <c r="P117" s="14" t="s">
        <v>11</v>
      </c>
      <c r="Q117" s="14" t="s">
        <v>11</v>
      </c>
      <c r="R117" s="14" t="s">
        <v>13</v>
      </c>
      <c r="S117" s="14" t="s">
        <v>11</v>
      </c>
      <c r="T117" s="14" t="s">
        <v>11</v>
      </c>
      <c r="U117" s="14" t="s">
        <v>11</v>
      </c>
      <c r="V117" s="14" t="s">
        <v>11</v>
      </c>
      <c r="W117" s="14" t="s">
        <v>11</v>
      </c>
      <c r="X117" s="14" t="s">
        <v>11</v>
      </c>
      <c r="Y117" s="14" t="str">
        <f t="shared" si="33"/>
        <v/>
      </c>
      <c r="Z117" s="14" t="str">
        <f t="shared" si="84"/>
        <v/>
      </c>
      <c r="AA117" s="15">
        <f t="shared" si="72"/>
        <v>0</v>
      </c>
      <c r="AB117" s="14" t="s">
        <v>11</v>
      </c>
      <c r="AC117" s="14" t="s">
        <v>11</v>
      </c>
      <c r="AD117" s="14" t="s">
        <v>11</v>
      </c>
      <c r="AE117" s="14" t="s">
        <v>11</v>
      </c>
      <c r="AF117" s="14" t="s">
        <v>13</v>
      </c>
      <c r="AG117" s="14" t="s">
        <v>11</v>
      </c>
      <c r="AH117" s="14" t="s">
        <v>11</v>
      </c>
      <c r="AI117" s="14" t="s">
        <v>11</v>
      </c>
      <c r="AJ117" s="14" t="s">
        <v>11</v>
      </c>
      <c r="AK117" s="14" t="s">
        <v>11</v>
      </c>
      <c r="AL117" s="14" t="str">
        <f t="shared" si="35"/>
        <v>T</v>
      </c>
      <c r="AM117" s="14" t="str">
        <f t="shared" si="85"/>
        <v>T</v>
      </c>
      <c r="AN117" s="14" t="str">
        <f t="shared" si="37"/>
        <v/>
      </c>
      <c r="AO117" s="14" t="str">
        <f t="shared" si="86"/>
        <v/>
      </c>
      <c r="AP117" s="14" t="str">
        <f t="shared" si="87"/>
        <v/>
      </c>
      <c r="AQ117" s="14" t="str">
        <f t="shared" si="71"/>
        <v/>
      </c>
      <c r="AR117" s="15">
        <f t="shared" si="73"/>
        <v>0</v>
      </c>
      <c r="AT117" s="17">
        <f t="shared" si="70"/>
        <v>0</v>
      </c>
    </row>
    <row r="118" spans="2:46" ht="15.75" thickTop="1" thickBot="1" x14ac:dyDescent="0.25">
      <c r="B118" s="63"/>
      <c r="C118" s="15" t="s">
        <v>53</v>
      </c>
      <c r="D118" s="30" t="str">
        <f t="shared" si="32"/>
        <v/>
      </c>
      <c r="E118" s="14" t="str">
        <f t="shared" si="74"/>
        <v/>
      </c>
      <c r="F118" s="14" t="str">
        <f t="shared" si="75"/>
        <v/>
      </c>
      <c r="G118" s="14" t="str">
        <f t="shared" si="76"/>
        <v/>
      </c>
      <c r="H118" s="14" t="str">
        <f t="shared" si="77"/>
        <v/>
      </c>
      <c r="I118" s="14" t="str">
        <f t="shared" si="78"/>
        <v/>
      </c>
      <c r="J118" s="14" t="str">
        <f t="shared" si="79"/>
        <v/>
      </c>
      <c r="K118" s="14" t="str">
        <f t="shared" si="80"/>
        <v/>
      </c>
      <c r="L118" s="14" t="str">
        <f t="shared" si="81"/>
        <v/>
      </c>
      <c r="M118" s="14" t="str">
        <f t="shared" si="82"/>
        <v/>
      </c>
      <c r="N118" s="14" t="str">
        <f t="shared" si="83"/>
        <v/>
      </c>
      <c r="O118" s="14" t="s">
        <v>11</v>
      </c>
      <c r="P118" s="14" t="s">
        <v>11</v>
      </c>
      <c r="Q118" s="14" t="s">
        <v>11</v>
      </c>
      <c r="R118" s="14" t="s">
        <v>13</v>
      </c>
      <c r="S118" s="14" t="s">
        <v>11</v>
      </c>
      <c r="T118" s="14" t="s">
        <v>11</v>
      </c>
      <c r="U118" s="14" t="s">
        <v>11</v>
      </c>
      <c r="V118" s="14" t="s">
        <v>11</v>
      </c>
      <c r="W118" s="14" t="s">
        <v>11</v>
      </c>
      <c r="X118" s="14" t="s">
        <v>11</v>
      </c>
      <c r="Y118" s="14" t="str">
        <f t="shared" si="33"/>
        <v/>
      </c>
      <c r="Z118" s="14" t="str">
        <f t="shared" si="84"/>
        <v/>
      </c>
      <c r="AA118" s="15">
        <f t="shared" si="72"/>
        <v>0</v>
      </c>
      <c r="AB118" s="14" t="s">
        <v>11</v>
      </c>
      <c r="AC118" s="14" t="s">
        <v>11</v>
      </c>
      <c r="AD118" s="14" t="s">
        <v>11</v>
      </c>
      <c r="AE118" s="14" t="s">
        <v>11</v>
      </c>
      <c r="AF118" s="14" t="s">
        <v>13</v>
      </c>
      <c r="AG118" s="14" t="s">
        <v>11</v>
      </c>
      <c r="AH118" s="14" t="s">
        <v>11</v>
      </c>
      <c r="AI118" s="14" t="s">
        <v>11</v>
      </c>
      <c r="AJ118" s="14" t="s">
        <v>11</v>
      </c>
      <c r="AK118" s="14" t="s">
        <v>11</v>
      </c>
      <c r="AL118" s="14" t="str">
        <f t="shared" si="35"/>
        <v>T</v>
      </c>
      <c r="AM118" s="14" t="str">
        <f t="shared" si="85"/>
        <v>T</v>
      </c>
      <c r="AN118" s="14" t="str">
        <f t="shared" si="37"/>
        <v/>
      </c>
      <c r="AO118" s="14" t="str">
        <f t="shared" si="86"/>
        <v/>
      </c>
      <c r="AP118" s="14" t="str">
        <f t="shared" si="87"/>
        <v/>
      </c>
      <c r="AQ118" s="14" t="str">
        <f t="shared" si="71"/>
        <v/>
      </c>
      <c r="AR118" s="15">
        <f t="shared" si="73"/>
        <v>0</v>
      </c>
      <c r="AT118" s="17">
        <f t="shared" si="70"/>
        <v>0</v>
      </c>
    </row>
    <row r="119" spans="2:46" ht="15.75" thickTop="1" thickBot="1" x14ac:dyDescent="0.25">
      <c r="B119" s="63"/>
      <c r="C119" s="15" t="s">
        <v>53</v>
      </c>
      <c r="D119" s="30" t="str">
        <f t="shared" si="32"/>
        <v/>
      </c>
      <c r="E119" s="14" t="str">
        <f t="shared" si="74"/>
        <v/>
      </c>
      <c r="F119" s="14" t="str">
        <f t="shared" si="75"/>
        <v/>
      </c>
      <c r="G119" s="14" t="str">
        <f t="shared" si="76"/>
        <v/>
      </c>
      <c r="H119" s="14" t="str">
        <f t="shared" si="77"/>
        <v/>
      </c>
      <c r="I119" s="14" t="str">
        <f t="shared" si="78"/>
        <v/>
      </c>
      <c r="J119" s="14" t="str">
        <f t="shared" si="79"/>
        <v/>
      </c>
      <c r="K119" s="14" t="str">
        <f t="shared" si="80"/>
        <v/>
      </c>
      <c r="L119" s="14" t="str">
        <f t="shared" si="81"/>
        <v/>
      </c>
      <c r="M119" s="14" t="str">
        <f t="shared" si="82"/>
        <v/>
      </c>
      <c r="N119" s="14" t="str">
        <f t="shared" si="83"/>
        <v/>
      </c>
      <c r="O119" s="14" t="s">
        <v>11</v>
      </c>
      <c r="P119" s="14" t="s">
        <v>11</v>
      </c>
      <c r="Q119" s="14" t="s">
        <v>11</v>
      </c>
      <c r="R119" s="14" t="s">
        <v>13</v>
      </c>
      <c r="S119" s="14" t="s">
        <v>11</v>
      </c>
      <c r="T119" s="14" t="s">
        <v>11</v>
      </c>
      <c r="U119" s="14" t="s">
        <v>11</v>
      </c>
      <c r="V119" s="14" t="s">
        <v>11</v>
      </c>
      <c r="W119" s="14" t="s">
        <v>11</v>
      </c>
      <c r="X119" s="14" t="s">
        <v>11</v>
      </c>
      <c r="Y119" s="14" t="str">
        <f t="shared" si="33"/>
        <v/>
      </c>
      <c r="Z119" s="14" t="str">
        <f t="shared" si="84"/>
        <v/>
      </c>
      <c r="AA119" s="15">
        <f t="shared" si="72"/>
        <v>0</v>
      </c>
      <c r="AB119" s="14" t="s">
        <v>11</v>
      </c>
      <c r="AC119" s="14" t="s">
        <v>11</v>
      </c>
      <c r="AD119" s="14" t="s">
        <v>11</v>
      </c>
      <c r="AE119" s="14" t="s">
        <v>11</v>
      </c>
      <c r="AF119" s="14" t="s">
        <v>13</v>
      </c>
      <c r="AG119" s="14" t="s">
        <v>11</v>
      </c>
      <c r="AH119" s="14" t="s">
        <v>11</v>
      </c>
      <c r="AI119" s="14" t="s">
        <v>11</v>
      </c>
      <c r="AJ119" s="14" t="s">
        <v>11</v>
      </c>
      <c r="AK119" s="14" t="s">
        <v>11</v>
      </c>
      <c r="AL119" s="14" t="str">
        <f t="shared" si="35"/>
        <v>T</v>
      </c>
      <c r="AM119" s="14" t="str">
        <f t="shared" si="85"/>
        <v>T</v>
      </c>
      <c r="AN119" s="14" t="str">
        <f t="shared" si="37"/>
        <v/>
      </c>
      <c r="AO119" s="14" t="str">
        <f t="shared" si="86"/>
        <v/>
      </c>
      <c r="AP119" s="14" t="str">
        <f t="shared" si="87"/>
        <v/>
      </c>
      <c r="AQ119" s="14" t="str">
        <f t="shared" si="71"/>
        <v/>
      </c>
      <c r="AR119" s="15">
        <f t="shared" si="73"/>
        <v>0</v>
      </c>
      <c r="AT119" s="17">
        <f t="shared" si="70"/>
        <v>0</v>
      </c>
    </row>
    <row r="120" spans="2:46" ht="15.75" thickTop="1" thickBot="1" x14ac:dyDescent="0.25">
      <c r="B120" s="63"/>
      <c r="C120" s="15" t="s">
        <v>53</v>
      </c>
      <c r="D120" s="30" t="str">
        <f t="shared" si="32"/>
        <v/>
      </c>
      <c r="E120" s="14" t="str">
        <f t="shared" si="74"/>
        <v/>
      </c>
      <c r="F120" s="14" t="str">
        <f t="shared" si="75"/>
        <v/>
      </c>
      <c r="G120" s="14" t="str">
        <f t="shared" si="76"/>
        <v/>
      </c>
      <c r="H120" s="14" t="str">
        <f t="shared" si="77"/>
        <v/>
      </c>
      <c r="I120" s="14" t="str">
        <f t="shared" si="78"/>
        <v/>
      </c>
      <c r="J120" s="14" t="str">
        <f t="shared" si="79"/>
        <v/>
      </c>
      <c r="K120" s="14" t="str">
        <f t="shared" si="80"/>
        <v/>
      </c>
      <c r="L120" s="14" t="str">
        <f t="shared" si="81"/>
        <v/>
      </c>
      <c r="M120" s="14" t="str">
        <f t="shared" si="82"/>
        <v/>
      </c>
      <c r="N120" s="14" t="str">
        <f t="shared" si="83"/>
        <v/>
      </c>
      <c r="O120" s="14" t="s">
        <v>11</v>
      </c>
      <c r="P120" s="14" t="s">
        <v>11</v>
      </c>
      <c r="Q120" s="14" t="s">
        <v>11</v>
      </c>
      <c r="R120" s="14" t="s">
        <v>13</v>
      </c>
      <c r="S120" s="14" t="s">
        <v>11</v>
      </c>
      <c r="T120" s="14" t="s">
        <v>11</v>
      </c>
      <c r="U120" s="14" t="s">
        <v>11</v>
      </c>
      <c r="V120" s="14" t="s">
        <v>11</v>
      </c>
      <c r="W120" s="14" t="s">
        <v>11</v>
      </c>
      <c r="X120" s="14" t="s">
        <v>11</v>
      </c>
      <c r="Y120" s="14" t="str">
        <f t="shared" si="33"/>
        <v/>
      </c>
      <c r="Z120" s="14" t="str">
        <f t="shared" si="84"/>
        <v/>
      </c>
      <c r="AA120" s="15">
        <f t="shared" si="72"/>
        <v>0</v>
      </c>
      <c r="AB120" s="14" t="s">
        <v>11</v>
      </c>
      <c r="AC120" s="14" t="s">
        <v>11</v>
      </c>
      <c r="AD120" s="14" t="s">
        <v>11</v>
      </c>
      <c r="AE120" s="14" t="s">
        <v>11</v>
      </c>
      <c r="AF120" s="14" t="s">
        <v>13</v>
      </c>
      <c r="AG120" s="14" t="s">
        <v>11</v>
      </c>
      <c r="AH120" s="14" t="s">
        <v>11</v>
      </c>
      <c r="AI120" s="14" t="s">
        <v>11</v>
      </c>
      <c r="AJ120" s="14" t="s">
        <v>11</v>
      </c>
      <c r="AK120" s="14" t="s">
        <v>11</v>
      </c>
      <c r="AL120" s="14" t="str">
        <f t="shared" si="35"/>
        <v>T</v>
      </c>
      <c r="AM120" s="14" t="str">
        <f t="shared" si="85"/>
        <v>T</v>
      </c>
      <c r="AN120" s="14" t="str">
        <f t="shared" si="37"/>
        <v/>
      </c>
      <c r="AO120" s="14" t="str">
        <f t="shared" si="86"/>
        <v/>
      </c>
      <c r="AP120" s="14" t="str">
        <f t="shared" si="87"/>
        <v/>
      </c>
      <c r="AQ120" s="14" t="str">
        <f t="shared" si="71"/>
        <v/>
      </c>
      <c r="AR120" s="15">
        <f t="shared" si="73"/>
        <v>0</v>
      </c>
      <c r="AT120" s="17">
        <f t="shared" si="70"/>
        <v>0</v>
      </c>
    </row>
    <row r="121" spans="2:46" ht="15.75" thickTop="1" thickBot="1" x14ac:dyDescent="0.25">
      <c r="B121" s="62"/>
      <c r="C121" s="15" t="s">
        <v>53</v>
      </c>
      <c r="D121" s="30" t="str">
        <f t="shared" si="32"/>
        <v/>
      </c>
      <c r="E121" s="14" t="str">
        <f t="shared" si="74"/>
        <v/>
      </c>
      <c r="F121" s="14" t="str">
        <f t="shared" si="75"/>
        <v/>
      </c>
      <c r="G121" s="14" t="str">
        <f t="shared" si="76"/>
        <v/>
      </c>
      <c r="H121" s="14" t="str">
        <f t="shared" si="77"/>
        <v/>
      </c>
      <c r="I121" s="14" t="str">
        <f t="shared" si="78"/>
        <v/>
      </c>
      <c r="J121" s="14" t="str">
        <f t="shared" si="79"/>
        <v/>
      </c>
      <c r="K121" s="14" t="str">
        <f t="shared" si="80"/>
        <v/>
      </c>
      <c r="L121" s="14" t="str">
        <f t="shared" si="81"/>
        <v/>
      </c>
      <c r="M121" s="14" t="str">
        <f t="shared" si="82"/>
        <v/>
      </c>
      <c r="N121" s="14" t="str">
        <f t="shared" si="83"/>
        <v/>
      </c>
      <c r="O121" s="14" t="s">
        <v>11</v>
      </c>
      <c r="P121" s="14" t="s">
        <v>11</v>
      </c>
      <c r="Q121" s="14" t="s">
        <v>11</v>
      </c>
      <c r="R121" s="14" t="s">
        <v>13</v>
      </c>
      <c r="S121" s="14" t="s">
        <v>11</v>
      </c>
      <c r="T121" s="14" t="s">
        <v>11</v>
      </c>
      <c r="U121" s="14" t="s">
        <v>11</v>
      </c>
      <c r="V121" s="14" t="s">
        <v>11</v>
      </c>
      <c r="W121" s="14" t="s">
        <v>11</v>
      </c>
      <c r="X121" s="14" t="s">
        <v>11</v>
      </c>
      <c r="Y121" s="14" t="str">
        <f t="shared" si="33"/>
        <v/>
      </c>
      <c r="Z121" s="14" t="str">
        <f t="shared" si="84"/>
        <v/>
      </c>
      <c r="AA121" s="15">
        <f t="shared" si="72"/>
        <v>0</v>
      </c>
      <c r="AB121" s="14" t="s">
        <v>11</v>
      </c>
      <c r="AC121" s="14" t="s">
        <v>11</v>
      </c>
      <c r="AD121" s="14" t="s">
        <v>11</v>
      </c>
      <c r="AE121" s="14" t="s">
        <v>11</v>
      </c>
      <c r="AF121" s="14" t="s">
        <v>13</v>
      </c>
      <c r="AG121" s="14" t="s">
        <v>11</v>
      </c>
      <c r="AH121" s="14" t="s">
        <v>11</v>
      </c>
      <c r="AI121" s="14" t="s">
        <v>11</v>
      </c>
      <c r="AJ121" s="14" t="s">
        <v>11</v>
      </c>
      <c r="AK121" s="14" t="s">
        <v>11</v>
      </c>
      <c r="AL121" s="14" t="str">
        <f t="shared" si="35"/>
        <v>T</v>
      </c>
      <c r="AM121" s="14" t="str">
        <f t="shared" si="85"/>
        <v>T</v>
      </c>
      <c r="AN121" s="14" t="str">
        <f t="shared" si="37"/>
        <v/>
      </c>
      <c r="AO121" s="14" t="str">
        <f t="shared" si="86"/>
        <v/>
      </c>
      <c r="AP121" s="14" t="str">
        <f t="shared" si="87"/>
        <v/>
      </c>
      <c r="AQ121" s="14" t="str">
        <f t="shared" si="71"/>
        <v/>
      </c>
      <c r="AR121" s="15">
        <f t="shared" si="73"/>
        <v>0</v>
      </c>
      <c r="AT121" s="17">
        <f t="shared" si="70"/>
        <v>0</v>
      </c>
    </row>
    <row r="122" spans="2:46" ht="15.75" thickTop="1" thickBot="1" x14ac:dyDescent="0.25">
      <c r="B122" s="62"/>
      <c r="C122" s="15" t="s">
        <v>53</v>
      </c>
      <c r="D122" s="30" t="str">
        <f t="shared" si="32"/>
        <v/>
      </c>
      <c r="E122" s="14" t="str">
        <f t="shared" si="74"/>
        <v/>
      </c>
      <c r="F122" s="14" t="str">
        <f t="shared" si="75"/>
        <v/>
      </c>
      <c r="G122" s="14" t="str">
        <f t="shared" si="76"/>
        <v/>
      </c>
      <c r="H122" s="14" t="str">
        <f t="shared" si="77"/>
        <v/>
      </c>
      <c r="I122" s="14" t="str">
        <f t="shared" si="78"/>
        <v/>
      </c>
      <c r="J122" s="14" t="str">
        <f t="shared" si="79"/>
        <v/>
      </c>
      <c r="K122" s="14" t="str">
        <f t="shared" si="80"/>
        <v/>
      </c>
      <c r="L122" s="14" t="str">
        <f t="shared" si="81"/>
        <v/>
      </c>
      <c r="M122" s="14" t="str">
        <f t="shared" si="82"/>
        <v/>
      </c>
      <c r="N122" s="14" t="str">
        <f t="shared" si="83"/>
        <v/>
      </c>
      <c r="O122" s="14" t="s">
        <v>11</v>
      </c>
      <c r="P122" s="14" t="s">
        <v>11</v>
      </c>
      <c r="Q122" s="14" t="s">
        <v>11</v>
      </c>
      <c r="R122" s="14" t="s">
        <v>13</v>
      </c>
      <c r="S122" s="14" t="s">
        <v>11</v>
      </c>
      <c r="T122" s="14" t="s">
        <v>11</v>
      </c>
      <c r="U122" s="14" t="s">
        <v>11</v>
      </c>
      <c r="V122" s="14" t="s">
        <v>11</v>
      </c>
      <c r="W122" s="14" t="s">
        <v>11</v>
      </c>
      <c r="X122" s="14" t="s">
        <v>11</v>
      </c>
      <c r="Y122" s="14" t="str">
        <f t="shared" si="33"/>
        <v/>
      </c>
      <c r="Z122" s="14" t="str">
        <f t="shared" si="84"/>
        <v/>
      </c>
      <c r="AA122" s="15">
        <f t="shared" si="72"/>
        <v>0</v>
      </c>
      <c r="AB122" s="14" t="s">
        <v>11</v>
      </c>
      <c r="AC122" s="14" t="s">
        <v>11</v>
      </c>
      <c r="AD122" s="14" t="s">
        <v>11</v>
      </c>
      <c r="AE122" s="14" t="s">
        <v>11</v>
      </c>
      <c r="AF122" s="14" t="s">
        <v>13</v>
      </c>
      <c r="AG122" s="14" t="s">
        <v>11</v>
      </c>
      <c r="AH122" s="14" t="s">
        <v>11</v>
      </c>
      <c r="AI122" s="14" t="s">
        <v>11</v>
      </c>
      <c r="AJ122" s="14" t="s">
        <v>11</v>
      </c>
      <c r="AK122" s="14" t="s">
        <v>11</v>
      </c>
      <c r="AL122" s="14" t="str">
        <f t="shared" si="35"/>
        <v>T</v>
      </c>
      <c r="AM122" s="14" t="str">
        <f t="shared" si="85"/>
        <v>T</v>
      </c>
      <c r="AN122" s="14" t="str">
        <f t="shared" si="37"/>
        <v/>
      </c>
      <c r="AO122" s="14" t="str">
        <f t="shared" si="86"/>
        <v/>
      </c>
      <c r="AP122" s="14" t="str">
        <f t="shared" si="87"/>
        <v/>
      </c>
      <c r="AQ122" s="14" t="str">
        <f t="shared" si="71"/>
        <v/>
      </c>
      <c r="AR122" s="15">
        <f t="shared" si="73"/>
        <v>0</v>
      </c>
      <c r="AT122" s="17">
        <f t="shared" si="70"/>
        <v>0</v>
      </c>
    </row>
    <row r="123" spans="2:46" ht="15.75" thickTop="1" thickBot="1" x14ac:dyDescent="0.25">
      <c r="B123" s="62"/>
      <c r="C123" s="15" t="s">
        <v>53</v>
      </c>
      <c r="D123" s="30" t="str">
        <f t="shared" si="32"/>
        <v/>
      </c>
      <c r="E123" s="14" t="str">
        <f t="shared" si="74"/>
        <v/>
      </c>
      <c r="F123" s="14" t="str">
        <f t="shared" si="75"/>
        <v/>
      </c>
      <c r="G123" s="14" t="str">
        <f t="shared" si="76"/>
        <v/>
      </c>
      <c r="H123" s="14" t="str">
        <f t="shared" si="77"/>
        <v/>
      </c>
      <c r="I123" s="14" t="str">
        <f t="shared" si="78"/>
        <v/>
      </c>
      <c r="J123" s="14" t="str">
        <f t="shared" si="79"/>
        <v/>
      </c>
      <c r="K123" s="14" t="str">
        <f t="shared" si="80"/>
        <v/>
      </c>
      <c r="L123" s="14" t="str">
        <f t="shared" si="81"/>
        <v/>
      </c>
      <c r="M123" s="14" t="str">
        <f t="shared" si="82"/>
        <v/>
      </c>
      <c r="N123" s="14" t="str">
        <f t="shared" si="83"/>
        <v/>
      </c>
      <c r="O123" s="14" t="s">
        <v>11</v>
      </c>
      <c r="P123" s="14" t="s">
        <v>11</v>
      </c>
      <c r="Q123" s="14" t="s">
        <v>11</v>
      </c>
      <c r="R123" s="14" t="s">
        <v>13</v>
      </c>
      <c r="S123" s="14" t="s">
        <v>11</v>
      </c>
      <c r="T123" s="14" t="s">
        <v>11</v>
      </c>
      <c r="U123" s="14" t="s">
        <v>11</v>
      </c>
      <c r="V123" s="14" t="s">
        <v>11</v>
      </c>
      <c r="W123" s="14" t="s">
        <v>11</v>
      </c>
      <c r="X123" s="14" t="s">
        <v>11</v>
      </c>
      <c r="Y123" s="14" t="str">
        <f t="shared" si="33"/>
        <v/>
      </c>
      <c r="Z123" s="14" t="str">
        <f t="shared" si="84"/>
        <v/>
      </c>
      <c r="AA123" s="15">
        <f t="shared" si="72"/>
        <v>0</v>
      </c>
      <c r="AB123" s="14" t="s">
        <v>11</v>
      </c>
      <c r="AC123" s="14" t="s">
        <v>11</v>
      </c>
      <c r="AD123" s="14" t="s">
        <v>11</v>
      </c>
      <c r="AE123" s="14" t="s">
        <v>11</v>
      </c>
      <c r="AF123" s="14" t="s">
        <v>13</v>
      </c>
      <c r="AG123" s="14" t="s">
        <v>11</v>
      </c>
      <c r="AH123" s="14" t="s">
        <v>11</v>
      </c>
      <c r="AI123" s="14" t="s">
        <v>11</v>
      </c>
      <c r="AJ123" s="14" t="s">
        <v>11</v>
      </c>
      <c r="AK123" s="14" t="s">
        <v>11</v>
      </c>
      <c r="AL123" s="14" t="str">
        <f t="shared" si="35"/>
        <v>T</v>
      </c>
      <c r="AM123" s="14" t="str">
        <f t="shared" si="85"/>
        <v>T</v>
      </c>
      <c r="AN123" s="14" t="str">
        <f t="shared" si="37"/>
        <v/>
      </c>
      <c r="AO123" s="14" t="str">
        <f t="shared" si="86"/>
        <v/>
      </c>
      <c r="AP123" s="14" t="str">
        <f t="shared" si="87"/>
        <v/>
      </c>
      <c r="AQ123" s="14" t="str">
        <f t="shared" si="71"/>
        <v/>
      </c>
      <c r="AR123" s="15">
        <f t="shared" si="73"/>
        <v>0</v>
      </c>
      <c r="AT123" s="17">
        <f t="shared" si="70"/>
        <v>0</v>
      </c>
    </row>
    <row r="124" spans="2:46" ht="15.75" thickTop="1" thickBot="1" x14ac:dyDescent="0.25">
      <c r="B124" s="62"/>
      <c r="C124" s="15" t="s">
        <v>53</v>
      </c>
      <c r="D124" s="30" t="str">
        <f t="shared" si="32"/>
        <v/>
      </c>
      <c r="E124" s="14" t="str">
        <f t="shared" si="74"/>
        <v/>
      </c>
      <c r="F124" s="14" t="str">
        <f t="shared" si="75"/>
        <v/>
      </c>
      <c r="G124" s="14" t="str">
        <f t="shared" si="76"/>
        <v/>
      </c>
      <c r="H124" s="14" t="str">
        <f t="shared" si="77"/>
        <v/>
      </c>
      <c r="I124" s="14" t="str">
        <f t="shared" si="78"/>
        <v/>
      </c>
      <c r="J124" s="14" t="str">
        <f t="shared" si="79"/>
        <v/>
      </c>
      <c r="K124" s="14" t="str">
        <f t="shared" si="80"/>
        <v/>
      </c>
      <c r="L124" s="14" t="str">
        <f t="shared" si="81"/>
        <v/>
      </c>
      <c r="M124" s="14" t="str">
        <f t="shared" si="82"/>
        <v/>
      </c>
      <c r="N124" s="14" t="str">
        <f t="shared" si="83"/>
        <v/>
      </c>
      <c r="O124" s="14" t="s">
        <v>11</v>
      </c>
      <c r="P124" s="14" t="s">
        <v>11</v>
      </c>
      <c r="Q124" s="14" t="s">
        <v>11</v>
      </c>
      <c r="R124" s="14" t="s">
        <v>13</v>
      </c>
      <c r="S124" s="14" t="s">
        <v>11</v>
      </c>
      <c r="T124" s="14" t="s">
        <v>11</v>
      </c>
      <c r="U124" s="14" t="s">
        <v>11</v>
      </c>
      <c r="V124" s="14" t="s">
        <v>11</v>
      </c>
      <c r="W124" s="14" t="s">
        <v>11</v>
      </c>
      <c r="X124" s="14" t="s">
        <v>11</v>
      </c>
      <c r="Y124" s="14" t="str">
        <f t="shared" si="33"/>
        <v/>
      </c>
      <c r="Z124" s="14" t="str">
        <f t="shared" si="84"/>
        <v/>
      </c>
      <c r="AA124" s="15">
        <f t="shared" si="72"/>
        <v>0</v>
      </c>
      <c r="AB124" s="14" t="s">
        <v>11</v>
      </c>
      <c r="AC124" s="14" t="s">
        <v>11</v>
      </c>
      <c r="AD124" s="14" t="s">
        <v>11</v>
      </c>
      <c r="AE124" s="14" t="s">
        <v>11</v>
      </c>
      <c r="AF124" s="14" t="s">
        <v>13</v>
      </c>
      <c r="AG124" s="14" t="s">
        <v>11</v>
      </c>
      <c r="AH124" s="14" t="s">
        <v>11</v>
      </c>
      <c r="AI124" s="14" t="s">
        <v>11</v>
      </c>
      <c r="AJ124" s="14" t="s">
        <v>11</v>
      </c>
      <c r="AK124" s="14" t="s">
        <v>11</v>
      </c>
      <c r="AL124" s="14" t="str">
        <f t="shared" si="35"/>
        <v>T</v>
      </c>
      <c r="AM124" s="14" t="str">
        <f t="shared" si="85"/>
        <v>T</v>
      </c>
      <c r="AN124" s="14" t="str">
        <f t="shared" si="37"/>
        <v/>
      </c>
      <c r="AO124" s="14" t="str">
        <f t="shared" si="86"/>
        <v/>
      </c>
      <c r="AP124" s="14" t="str">
        <f t="shared" si="87"/>
        <v/>
      </c>
      <c r="AQ124" s="14" t="str">
        <f t="shared" si="71"/>
        <v/>
      </c>
      <c r="AR124" s="15">
        <f t="shared" si="73"/>
        <v>0</v>
      </c>
      <c r="AT124" s="17">
        <f t="shared" si="70"/>
        <v>0</v>
      </c>
    </row>
    <row r="125" spans="2:46" ht="15" thickTop="1" x14ac:dyDescent="0.2">
      <c r="B125" s="62"/>
      <c r="C125" s="15" t="s">
        <v>53</v>
      </c>
      <c r="D125" s="30" t="str">
        <f t="shared" si="32"/>
        <v/>
      </c>
      <c r="E125" s="14" t="str">
        <f t="shared" si="74"/>
        <v/>
      </c>
      <c r="F125" s="14" t="str">
        <f t="shared" si="75"/>
        <v/>
      </c>
      <c r="G125" s="14" t="str">
        <f t="shared" si="76"/>
        <v/>
      </c>
      <c r="H125" s="14" t="str">
        <f t="shared" si="77"/>
        <v/>
      </c>
      <c r="I125" s="14" t="str">
        <f t="shared" si="78"/>
        <v/>
      </c>
      <c r="J125" s="14" t="str">
        <f t="shared" si="79"/>
        <v/>
      </c>
      <c r="K125" s="14" t="str">
        <f t="shared" si="80"/>
        <v/>
      </c>
      <c r="L125" s="14" t="str">
        <f t="shared" si="81"/>
        <v/>
      </c>
      <c r="M125" s="14" t="str">
        <f t="shared" si="82"/>
        <v/>
      </c>
      <c r="N125" s="14" t="str">
        <f t="shared" si="83"/>
        <v/>
      </c>
      <c r="O125" s="14" t="s">
        <v>11</v>
      </c>
      <c r="P125" s="14" t="s">
        <v>11</v>
      </c>
      <c r="Q125" s="14" t="s">
        <v>11</v>
      </c>
      <c r="R125" s="14" t="s">
        <v>13</v>
      </c>
      <c r="S125" s="14" t="s">
        <v>11</v>
      </c>
      <c r="T125" s="14" t="s">
        <v>11</v>
      </c>
      <c r="U125" s="14" t="s">
        <v>11</v>
      </c>
      <c r="V125" s="14" t="s">
        <v>11</v>
      </c>
      <c r="W125" s="14" t="s">
        <v>11</v>
      </c>
      <c r="X125" s="14" t="s">
        <v>11</v>
      </c>
      <c r="Y125" s="14" t="str">
        <f t="shared" si="33"/>
        <v/>
      </c>
      <c r="Z125" s="14" t="str">
        <f t="shared" si="84"/>
        <v/>
      </c>
      <c r="AA125" s="15">
        <f t="shared" si="72"/>
        <v>0</v>
      </c>
      <c r="AB125" s="14" t="s">
        <v>11</v>
      </c>
      <c r="AC125" s="14" t="s">
        <v>11</v>
      </c>
      <c r="AD125" s="14" t="s">
        <v>11</v>
      </c>
      <c r="AE125" s="14" t="s">
        <v>11</v>
      </c>
      <c r="AF125" s="14" t="s">
        <v>13</v>
      </c>
      <c r="AG125" s="14" t="s">
        <v>11</v>
      </c>
      <c r="AH125" s="14" t="s">
        <v>11</v>
      </c>
      <c r="AI125" s="14" t="s">
        <v>11</v>
      </c>
      <c r="AJ125" s="14" t="s">
        <v>11</v>
      </c>
      <c r="AK125" s="14" t="s">
        <v>11</v>
      </c>
      <c r="AL125" s="14" t="str">
        <f t="shared" si="35"/>
        <v>T</v>
      </c>
      <c r="AM125" s="14" t="str">
        <f t="shared" si="85"/>
        <v>T</v>
      </c>
      <c r="AN125" s="14" t="str">
        <f t="shared" si="37"/>
        <v/>
      </c>
      <c r="AO125" s="14" t="str">
        <f t="shared" si="86"/>
        <v/>
      </c>
      <c r="AP125" s="14" t="str">
        <f t="shared" si="87"/>
        <v/>
      </c>
      <c r="AQ125" s="14" t="str">
        <f t="shared" si="71"/>
        <v/>
      </c>
      <c r="AR125" s="15">
        <f t="shared" si="73"/>
        <v>0</v>
      </c>
      <c r="AT125" s="17">
        <f t="shared" si="70"/>
        <v>0</v>
      </c>
    </row>
    <row r="126" spans="2:46" x14ac:dyDescent="0.2">
      <c r="B126" s="16"/>
      <c r="C126" s="15" t="s">
        <v>53</v>
      </c>
      <c r="D126" s="30" t="str">
        <f t="shared" ref="D126:D157" si="88">SuprimePreposições(SubstituirTildes(B126))</f>
        <v/>
      </c>
      <c r="E126" s="14" t="str">
        <f t="shared" si="74"/>
        <v/>
      </c>
      <c r="F126" s="14" t="str">
        <f t="shared" si="75"/>
        <v/>
      </c>
      <c r="G126" s="14" t="str">
        <f t="shared" si="76"/>
        <v/>
      </c>
      <c r="H126" s="14" t="str">
        <f t="shared" si="77"/>
        <v/>
      </c>
      <c r="I126" s="14" t="str">
        <f t="shared" si="78"/>
        <v/>
      </c>
      <c r="J126" s="14" t="str">
        <f t="shared" si="79"/>
        <v/>
      </c>
      <c r="K126" s="14" t="str">
        <f t="shared" si="80"/>
        <v/>
      </c>
      <c r="L126" s="14" t="str">
        <f t="shared" si="81"/>
        <v/>
      </c>
      <c r="M126" s="14" t="str">
        <f t="shared" si="82"/>
        <v/>
      </c>
      <c r="N126" s="14" t="str">
        <f t="shared" si="83"/>
        <v/>
      </c>
      <c r="O126" s="14" t="s">
        <v>11</v>
      </c>
      <c r="P126" s="14" t="s">
        <v>11</v>
      </c>
      <c r="Q126" s="14" t="s">
        <v>11</v>
      </c>
      <c r="R126" s="14" t="s">
        <v>13</v>
      </c>
      <c r="S126" s="14" t="s">
        <v>11</v>
      </c>
      <c r="T126" s="14" t="s">
        <v>11</v>
      </c>
      <c r="U126" s="14" t="s">
        <v>11</v>
      </c>
      <c r="V126" s="14" t="s">
        <v>11</v>
      </c>
      <c r="W126" s="14" t="s">
        <v>11</v>
      </c>
      <c r="X126" s="14" t="s">
        <v>11</v>
      </c>
      <c r="Y126" s="14" t="str">
        <f t="shared" ref="Y126:Y157" si="89">IF(C126="E",IF(O126="X",IF(E126&lt;&gt;"",IF(ISERROR(VLOOKUP(E126,ListaThesaurus,2,FALSE)),"***",E126),""),""),IF(C126="A",IF(O126="X",IF(E126&lt;&gt;"",IF(ISERROR(VLOOKUP(E126,ListaNaturezas,2,FALSE)),"***",LOWER(VLOOKUP(E126,ListaNaturezas,2,FALSE))),""),""),"***"))&amp;IF(P126="X",IF(F126&lt;&gt;"",IF(ISERROR(VLOOKUP(F126,ListaThesaurus,2,FALSE)),"***",F126),""),"")&amp;IF(Q126="X",IF(G126&lt;&gt;"",IF(ISERROR(VLOOKUP(G126,ListaThesaurus,2,FALSE)),"***",G126),""),"")&amp;IF(R126="X",IF(H126&lt;&gt;"",IF(ISERROR(VLOOKUP(H126,ListaThesaurus,2,FALSE)),"***",H126),""),"")&amp;IF(S126="X",IF(I126&lt;&gt;"",IF(ISERROR(VLOOKUP(I126,ListaThesaurus,2,FALSE)),"***",I126),""),"")</f>
        <v/>
      </c>
      <c r="Z126" s="14" t="str">
        <f t="shared" ref="Z126:Z157" si="90">IF(OR(C126="E",C126="A"),Y126&amp;IF(T126="X",IF(J126&lt;&gt;"",IF(ISERROR(VLOOKUP(J126,ListaThesaurus,2,FALSE)),"***",J126),""),"")&amp;IF(U126="X",IF(K126&lt;&gt;"",IF(ISERROR(VLOOKUP(K126,ListaThesaurus,2,FALSE)),"***",K126),""),"")&amp;IF(V126="X",IF(L126&lt;&gt;"",IF(ISERROR(VLOOKUP(L126,ListaThesaurus,2,FALSE)),"***",L126),""),"")&amp;IF(W126="X",IF(M126&lt;&gt;"",IF(ISERROR(VLOOKUP(M126,ListaThesaurus,2,FALSE)),"***",M126),""),"")&amp;IF(X126="X",IF(N126&lt;&gt;"",IF(ISERROR(VLOOKUP(N126,ListaThesaurus,2,FALSE)),"***",N126),""),""),"")</f>
        <v/>
      </c>
      <c r="AA126" s="15">
        <f t="shared" si="13"/>
        <v>0</v>
      </c>
      <c r="AB126" s="14" t="s">
        <v>11</v>
      </c>
      <c r="AC126" s="14" t="s">
        <v>11</v>
      </c>
      <c r="AD126" s="14" t="s">
        <v>11</v>
      </c>
      <c r="AE126" s="14" t="s">
        <v>41</v>
      </c>
      <c r="AF126" s="14" t="s">
        <v>13</v>
      </c>
      <c r="AG126" s="14" t="s">
        <v>11</v>
      </c>
      <c r="AH126" s="14" t="s">
        <v>11</v>
      </c>
      <c r="AI126" s="14" t="s">
        <v>11</v>
      </c>
      <c r="AJ126" s="14" t="s">
        <v>11</v>
      </c>
      <c r="AK126" s="14" t="s">
        <v>11</v>
      </c>
      <c r="AL126" s="14" t="str">
        <f t="shared" ref="AL126:AL157" si="91">"T"&amp;IF(AB126="X",IF(E126&lt;&gt;"",IF(ISERROR(VLOOKUP(E126,ListaThesaurus,2,FALSE)),"***",VLOOKUP(E126,ListaThesaurus,2,FALSE)),""),"")&amp;IF(AC126="X",IF(F126&lt;&gt;"",IF(AB126="X","_","")&amp;IF(ISERROR(VLOOKUP(F126,ListaThesaurus,2,FALSE)),"***",VLOOKUP(F126,ListaThesaurus,2,FALSE)),""),"")&amp;IF(AD126="X",IF(G126&lt;&gt;"",IF(OR(AB126="X",AC126="X"),"_","")&amp;IF(ISERROR(VLOOKUP(G126,ListaThesaurus,2,FALSE)),"***",VLOOKUP(G126,ListaThesaurus,2,FALSE)),""),"")&amp;IF(AE126="X",IF(H126&lt;&gt;"",IF(OR(AB126="X",AC126="X",AD126="X"),"_","")&amp;IF(ISERROR(VLOOKUP(H126,ListaThesaurus,2,FALSE)),"***",VLOOKUP(H126,ListaThesaurus,2,FALSE)),""),"")&amp;IF(AF126="X",IF(I126&lt;&gt;"",IF(OR(AB126="X",AC126="X",AD126="X",AE126="X"),"_","")&amp;IF(ISERROR(VLOOKUP(I126,ListaThesaurus,2,FALSE)),"***",VLOOKUP(I126,ListaThesaurus,2,FALSE)),""),"")</f>
        <v>T</v>
      </c>
      <c r="AM126" s="14" t="str">
        <f t="shared" ref="AM126:AM157" si="92">AL126&amp;IF(AG126="X",IF(J126&lt;&gt;"",IF(OR(AB126="X",AC126="X",AD126="X",AE126="X",AF126="X"),"_","")&amp;IF(ISERROR(VLOOKUP(J126,ListaThesaurus,2,FALSE)),"***",VLOOKUP(J126,ListaThesaurus,2,FALSE)),""),"")&amp;IF(AH126="X",IF(K126&lt;&gt;"",IF(OR(AB126="X",AC126="X",AD126="X",AE126="X",AF126="X",AG126="X"),"_","")&amp;IF(ISERROR(VLOOKUP(K126,ListaThesaurus,2,FALSE)),"***",VLOOKUP(K126,ListaThesaurus,2,FALSE)),""),"")&amp;IF(AI126="X",IF(L126&lt;&gt;"",IF(OR(AB126="X",AC126="X",AD126="X",AE126="X",AF126="X",AG126="X",AH126="X"),"_","")&amp;IF(ISERROR(VLOOKUP(L126,ListaThesaurus,2,FALSE)),"***",VLOOKUP(L126,ListaThesaurus,2,FALSE)),""),"")&amp;IF(AJ126="X",IF(M126&lt;&gt;"",IF(OR(AB126="X",AC126="X",AD126="X",AE126="X",AF126="X",AG126="X",AH126="X",AI126="X"),"_","")&amp;IF(ISERROR(VLOOKUP(M126,ListaThesaurus,2,FALSE)),"***",VLOOKUP(M126,ListaThesaurus,2,FALSE)),""),"")&amp;IF(AK126="X",IF(N126&lt;&gt;"",IF(OR(AB126="X",AC126="X",AD126="X",AE126="X",AF126="X",AG126="X",AH126="X",AI126="X",AJ126="X"),"_","")&amp;IF(ISERROR(VLOOKUP(N126,ListaThesaurus,2,FALSE)),"***",VLOOKUP(N126,ListaThesaurus,2,FALSE)),""),"")</f>
        <v>T</v>
      </c>
      <c r="AN126" s="14" t="str">
        <f t="shared" ref="AN126:AN157" si="93">IF(AB126="X",IF(E126&lt;&gt;"",IF(ISERROR(VLOOKUP(E126,ListaNaturezas,3,FALSE)),"***",VLOOKUP(E126,ListaNaturezas,3,FALSE)),""),"")&amp;IF(AC126="X",IF(F126&lt;&gt;"",IF(ISERROR(VLOOKUP(F126,ListaThesaurus,2,FALSE)),"***",VLOOKUP(F126,ListaThesaurus,2,FALSE)),""),"")&amp;IF(AD126="X",IF(G126&lt;&gt;"",IF(AC126="X","_","")&amp;IF(ISERROR(VLOOKUP(G126,ListaThesaurus,2,FALSE)),"***",VLOOKUP(G126,ListaThesaurus,2,FALSE)),""),"")&amp;IF(AE126="X",IF(H126&lt;&gt;"",IF(OR(AC126="X",AD126="X"),"_","")&amp;IF(ISERROR(VLOOKUP(H126,ListaThesaurus,2,FALSE)),"***",VLOOKUP(H126,ListaThesaurus,2,FALSE)),""),"")&amp;IF(AF126="X",IF(I126&lt;&gt;"",IF(OR(AC126="X",AD126="X",AE126="X"),"_","")&amp;IF(ISERROR(VLOOKUP(I126,ListaThesaurus,2,FALSE)),"***",VLOOKUP(I126,ListaThesaurus,2,FALSE)),""),"")</f>
        <v/>
      </c>
      <c r="AO126" s="14" t="str">
        <f t="shared" ref="AO126:AO157" si="94">AN126&amp;IF(AG126="X",IF(J126&lt;&gt;"",IF(OR(AC126="X",AD126="X",AE126="X",AF126="X"),"_","")&amp;IF(ISERROR(VLOOKUP(J126,ListaThesaurus,2,FALSE)),"***",VLOOKUP(J126,ListaThesaurus,2,FALSE)),""),"")&amp;IF(AH126="X",IF(K126&lt;&gt;"",IF(OR(AC126="X",AD126="X",AE126="X",AF126="X",AG126="X"),"_","")&amp;IF(ISERROR(VLOOKUP(K126,ListaThesaurus,2,FALSE)),"***",VLOOKUP(K126,ListaThesaurus,2,FALSE)),""),"")&amp;IF(AI126="X",IF(L126&lt;&gt;"",IF(OR(AC126="X",AD126="X",AE126="X",AF126="X",AG126="X",AH126="X"),"_","")&amp;IF(ISERROR(VLOOKUP(L126,ListaThesaurus,2,FALSE)),"***",VLOOKUP(L126,ListaThesaurus,2,FALSE)),""),"")&amp;IF(AJ126="X",IF(M126&lt;&gt;"",IF(OR(AC126="X",AD126="X",AE126="X",AF126="X",AG126="X",AH126="X",AI126="X"),"_","")&amp;IF(ISERROR(VLOOKUP(M126,ListaThesaurus,2,FALSE)),"***",VLOOKUP(M126,ListaThesaurus,2,FALSE)),""),"")&amp;IF(AK126="X",IF(N126&lt;&gt;"",IF(OR(AC126="X",AD126="X",AE126="X",AF126="X",AG126="X",AH126="X",AI126="X",AJ126="X"),"_","")&amp;IF(ISERROR(VLOOKUP(N126,ListaThesaurus,2,FALSE)),"***",VLOOKUP(N126,ListaThesaurus,2,FALSE)),""),"")</f>
        <v/>
      </c>
      <c r="AP126" s="14" t="str">
        <f t="shared" ref="AP126:AP157" si="95">IF(C126="A",AO126,IF(C126="E",AM126,""))</f>
        <v/>
      </c>
      <c r="AQ126" s="14" t="str">
        <f t="shared" si="71"/>
        <v/>
      </c>
      <c r="AR126" s="15">
        <f t="shared" si="18"/>
        <v>0</v>
      </c>
      <c r="AT126" s="17">
        <f t="shared" si="70"/>
        <v>0</v>
      </c>
    </row>
    <row r="127" spans="2:46" x14ac:dyDescent="0.2">
      <c r="B127" s="16"/>
      <c r="C127" s="15" t="s">
        <v>53</v>
      </c>
      <c r="D127" s="30" t="str">
        <f t="shared" si="88"/>
        <v/>
      </c>
      <c r="E127" s="14" t="str">
        <f t="shared" si="74"/>
        <v/>
      </c>
      <c r="F127" s="14" t="str">
        <f t="shared" si="75"/>
        <v/>
      </c>
      <c r="G127" s="14" t="str">
        <f t="shared" si="76"/>
        <v/>
      </c>
      <c r="H127" s="14" t="str">
        <f t="shared" si="77"/>
        <v/>
      </c>
      <c r="I127" s="14" t="str">
        <f t="shared" si="78"/>
        <v/>
      </c>
      <c r="J127" s="14" t="str">
        <f t="shared" si="79"/>
        <v/>
      </c>
      <c r="K127" s="14" t="str">
        <f t="shared" si="80"/>
        <v/>
      </c>
      <c r="L127" s="14" t="str">
        <f t="shared" si="81"/>
        <v/>
      </c>
      <c r="M127" s="14" t="str">
        <f t="shared" si="82"/>
        <v/>
      </c>
      <c r="N127" s="14" t="str">
        <f t="shared" si="83"/>
        <v/>
      </c>
      <c r="O127" s="14" t="s">
        <v>11</v>
      </c>
      <c r="P127" s="14" t="s">
        <v>11</v>
      </c>
      <c r="Q127" s="14" t="s">
        <v>11</v>
      </c>
      <c r="R127" s="14" t="s">
        <v>13</v>
      </c>
      <c r="S127" s="14" t="s">
        <v>11</v>
      </c>
      <c r="T127" s="14" t="s">
        <v>11</v>
      </c>
      <c r="U127" s="14" t="s">
        <v>11</v>
      </c>
      <c r="V127" s="14" t="s">
        <v>11</v>
      </c>
      <c r="W127" s="14" t="s">
        <v>11</v>
      </c>
      <c r="X127" s="14" t="s">
        <v>11</v>
      </c>
      <c r="Y127" s="14" t="str">
        <f t="shared" si="89"/>
        <v/>
      </c>
      <c r="Z127" s="14" t="str">
        <f t="shared" si="90"/>
        <v/>
      </c>
      <c r="AA127" s="15">
        <f t="shared" si="13"/>
        <v>0</v>
      </c>
      <c r="AB127" s="14" t="s">
        <v>11</v>
      </c>
      <c r="AC127" s="14" t="s">
        <v>11</v>
      </c>
      <c r="AD127" s="14" t="s">
        <v>11</v>
      </c>
      <c r="AE127" s="14" t="s">
        <v>41</v>
      </c>
      <c r="AF127" s="14" t="s">
        <v>13</v>
      </c>
      <c r="AG127" s="14" t="s">
        <v>11</v>
      </c>
      <c r="AH127" s="14" t="s">
        <v>11</v>
      </c>
      <c r="AI127" s="14" t="s">
        <v>11</v>
      </c>
      <c r="AJ127" s="14" t="s">
        <v>11</v>
      </c>
      <c r="AK127" s="14" t="s">
        <v>11</v>
      </c>
      <c r="AL127" s="14" t="str">
        <f t="shared" si="91"/>
        <v>T</v>
      </c>
      <c r="AM127" s="14" t="str">
        <f t="shared" si="92"/>
        <v>T</v>
      </c>
      <c r="AN127" s="14" t="str">
        <f t="shared" si="93"/>
        <v/>
      </c>
      <c r="AO127" s="14" t="str">
        <f t="shared" si="94"/>
        <v/>
      </c>
      <c r="AP127" s="14" t="str">
        <f t="shared" si="95"/>
        <v/>
      </c>
      <c r="AQ127" s="14" t="str">
        <f t="shared" si="71"/>
        <v/>
      </c>
      <c r="AR127" s="15">
        <f t="shared" si="18"/>
        <v>0</v>
      </c>
      <c r="AT127" s="17">
        <f t="shared" si="70"/>
        <v>0</v>
      </c>
    </row>
    <row r="128" spans="2:46" x14ac:dyDescent="0.2">
      <c r="B128" s="16"/>
      <c r="C128" s="15" t="s">
        <v>53</v>
      </c>
      <c r="D128" s="30" t="str">
        <f t="shared" si="88"/>
        <v/>
      </c>
      <c r="E128" s="14" t="str">
        <f t="shared" si="74"/>
        <v/>
      </c>
      <c r="F128" s="14" t="str">
        <f t="shared" si="75"/>
        <v/>
      </c>
      <c r="G128" s="14" t="str">
        <f t="shared" si="76"/>
        <v/>
      </c>
      <c r="H128" s="14" t="str">
        <f t="shared" si="77"/>
        <v/>
      </c>
      <c r="I128" s="14" t="str">
        <f t="shared" si="78"/>
        <v/>
      </c>
      <c r="J128" s="14" t="str">
        <f t="shared" si="79"/>
        <v/>
      </c>
      <c r="K128" s="14" t="str">
        <f t="shared" si="80"/>
        <v/>
      </c>
      <c r="L128" s="14" t="str">
        <f t="shared" si="81"/>
        <v/>
      </c>
      <c r="M128" s="14" t="str">
        <f t="shared" si="82"/>
        <v/>
      </c>
      <c r="N128" s="14" t="str">
        <f t="shared" si="83"/>
        <v/>
      </c>
      <c r="O128" s="14" t="s">
        <v>11</v>
      </c>
      <c r="P128" s="14" t="s">
        <v>11</v>
      </c>
      <c r="Q128" s="14" t="s">
        <v>11</v>
      </c>
      <c r="R128" s="14" t="s">
        <v>13</v>
      </c>
      <c r="S128" s="14" t="s">
        <v>11</v>
      </c>
      <c r="T128" s="14" t="s">
        <v>11</v>
      </c>
      <c r="U128" s="14" t="s">
        <v>11</v>
      </c>
      <c r="V128" s="14" t="s">
        <v>11</v>
      </c>
      <c r="W128" s="14" t="s">
        <v>11</v>
      </c>
      <c r="X128" s="14" t="s">
        <v>11</v>
      </c>
      <c r="Y128" s="14" t="str">
        <f t="shared" si="89"/>
        <v/>
      </c>
      <c r="Z128" s="14" t="str">
        <f t="shared" si="90"/>
        <v/>
      </c>
      <c r="AA128" s="15">
        <f t="shared" si="13"/>
        <v>0</v>
      </c>
      <c r="AB128" s="14" t="s">
        <v>11</v>
      </c>
      <c r="AC128" s="14" t="s">
        <v>11</v>
      </c>
      <c r="AD128" s="14" t="s">
        <v>11</v>
      </c>
      <c r="AE128" s="14" t="s">
        <v>11</v>
      </c>
      <c r="AF128" s="14" t="s">
        <v>13</v>
      </c>
      <c r="AG128" s="14" t="s">
        <v>11</v>
      </c>
      <c r="AH128" s="14" t="s">
        <v>11</v>
      </c>
      <c r="AI128" s="14" t="s">
        <v>11</v>
      </c>
      <c r="AJ128" s="14" t="s">
        <v>11</v>
      </c>
      <c r="AK128" s="14" t="s">
        <v>11</v>
      </c>
      <c r="AL128" s="14" t="str">
        <f t="shared" si="91"/>
        <v>T</v>
      </c>
      <c r="AM128" s="14" t="str">
        <f t="shared" si="92"/>
        <v>T</v>
      </c>
      <c r="AN128" s="14" t="str">
        <f t="shared" si="93"/>
        <v/>
      </c>
      <c r="AO128" s="14" t="str">
        <f t="shared" si="94"/>
        <v/>
      </c>
      <c r="AP128" s="14" t="str">
        <f t="shared" si="95"/>
        <v/>
      </c>
      <c r="AQ128" s="14" t="str">
        <f t="shared" si="71"/>
        <v/>
      </c>
      <c r="AR128" s="15">
        <f t="shared" si="18"/>
        <v>0</v>
      </c>
      <c r="AT128" s="17">
        <f t="shared" ref="AT128:AT191" si="96">COUNTIF($AP$4:$AP$6,AP128)</f>
        <v>0</v>
      </c>
    </row>
    <row r="129" spans="2:46" x14ac:dyDescent="0.2">
      <c r="B129" s="16"/>
      <c r="C129" s="15" t="s">
        <v>53</v>
      </c>
      <c r="D129" s="30" t="str">
        <f t="shared" si="88"/>
        <v/>
      </c>
      <c r="E129" s="14" t="str">
        <f t="shared" si="74"/>
        <v/>
      </c>
      <c r="F129" s="14" t="str">
        <f t="shared" si="75"/>
        <v/>
      </c>
      <c r="G129" s="14" t="str">
        <f t="shared" si="76"/>
        <v/>
      </c>
      <c r="H129" s="14" t="str">
        <f t="shared" si="77"/>
        <v/>
      </c>
      <c r="I129" s="14" t="str">
        <f t="shared" si="78"/>
        <v/>
      </c>
      <c r="J129" s="14" t="str">
        <f t="shared" si="79"/>
        <v/>
      </c>
      <c r="K129" s="14" t="str">
        <f t="shared" si="80"/>
        <v/>
      </c>
      <c r="L129" s="14" t="str">
        <f t="shared" si="81"/>
        <v/>
      </c>
      <c r="M129" s="14" t="str">
        <f t="shared" si="82"/>
        <v/>
      </c>
      <c r="N129" s="14" t="str">
        <f t="shared" si="83"/>
        <v/>
      </c>
      <c r="O129" s="14" t="s">
        <v>11</v>
      </c>
      <c r="P129" s="14" t="s">
        <v>11</v>
      </c>
      <c r="Q129" s="14" t="s">
        <v>11</v>
      </c>
      <c r="R129" s="14" t="s">
        <v>13</v>
      </c>
      <c r="S129" s="14" t="s">
        <v>11</v>
      </c>
      <c r="T129" s="14" t="s">
        <v>11</v>
      </c>
      <c r="U129" s="14" t="s">
        <v>11</v>
      </c>
      <c r="V129" s="14" t="s">
        <v>11</v>
      </c>
      <c r="W129" s="14" t="s">
        <v>11</v>
      </c>
      <c r="X129" s="14" t="s">
        <v>11</v>
      </c>
      <c r="Y129" s="14" t="str">
        <f t="shared" si="89"/>
        <v/>
      </c>
      <c r="Z129" s="14" t="str">
        <f t="shared" si="90"/>
        <v/>
      </c>
      <c r="AA129" s="15">
        <f t="shared" si="13"/>
        <v>0</v>
      </c>
      <c r="AB129" s="14" t="s">
        <v>11</v>
      </c>
      <c r="AC129" s="14" t="s">
        <v>11</v>
      </c>
      <c r="AD129" s="14" t="s">
        <v>11</v>
      </c>
      <c r="AE129" s="14" t="s">
        <v>11</v>
      </c>
      <c r="AF129" s="14" t="s">
        <v>13</v>
      </c>
      <c r="AG129" s="14" t="s">
        <v>11</v>
      </c>
      <c r="AH129" s="14" t="s">
        <v>11</v>
      </c>
      <c r="AI129" s="14" t="s">
        <v>11</v>
      </c>
      <c r="AJ129" s="14" t="s">
        <v>11</v>
      </c>
      <c r="AK129" s="14" t="s">
        <v>11</v>
      </c>
      <c r="AL129" s="14" t="str">
        <f t="shared" si="91"/>
        <v>T</v>
      </c>
      <c r="AM129" s="14" t="str">
        <f t="shared" si="92"/>
        <v>T</v>
      </c>
      <c r="AN129" s="14" t="str">
        <f t="shared" si="93"/>
        <v/>
      </c>
      <c r="AO129" s="14" t="str">
        <f t="shared" si="94"/>
        <v/>
      </c>
      <c r="AP129" s="14" t="str">
        <f t="shared" si="95"/>
        <v/>
      </c>
      <c r="AQ129" s="14" t="str">
        <f t="shared" si="71"/>
        <v/>
      </c>
      <c r="AR129" s="15">
        <f t="shared" si="18"/>
        <v>0</v>
      </c>
      <c r="AT129" s="17">
        <f t="shared" si="96"/>
        <v>0</v>
      </c>
    </row>
    <row r="130" spans="2:46" ht="15" x14ac:dyDescent="0.2">
      <c r="B130" s="64"/>
      <c r="C130" s="15" t="s">
        <v>53</v>
      </c>
      <c r="D130" s="30" t="str">
        <f t="shared" si="88"/>
        <v/>
      </c>
      <c r="E130" s="14" t="str">
        <f t="shared" si="74"/>
        <v/>
      </c>
      <c r="F130" s="14" t="str">
        <f t="shared" si="75"/>
        <v/>
      </c>
      <c r="G130" s="14" t="str">
        <f t="shared" si="76"/>
        <v/>
      </c>
      <c r="H130" s="14" t="str">
        <f t="shared" si="77"/>
        <v/>
      </c>
      <c r="I130" s="14" t="str">
        <f t="shared" si="78"/>
        <v/>
      </c>
      <c r="J130" s="14" t="str">
        <f t="shared" si="79"/>
        <v/>
      </c>
      <c r="K130" s="14" t="str">
        <f t="shared" si="80"/>
        <v/>
      </c>
      <c r="L130" s="14" t="str">
        <f t="shared" si="81"/>
        <v/>
      </c>
      <c r="M130" s="14" t="str">
        <f t="shared" si="82"/>
        <v/>
      </c>
      <c r="N130" s="14" t="str">
        <f t="shared" si="83"/>
        <v/>
      </c>
      <c r="O130" s="14" t="s">
        <v>11</v>
      </c>
      <c r="P130" s="14" t="s">
        <v>11</v>
      </c>
      <c r="Q130" s="14" t="s">
        <v>11</v>
      </c>
      <c r="R130" s="14" t="s">
        <v>13</v>
      </c>
      <c r="S130" s="14" t="s">
        <v>11</v>
      </c>
      <c r="T130" s="14" t="s">
        <v>11</v>
      </c>
      <c r="U130" s="14" t="s">
        <v>11</v>
      </c>
      <c r="V130" s="14" t="s">
        <v>11</v>
      </c>
      <c r="W130" s="14" t="s">
        <v>11</v>
      </c>
      <c r="X130" s="14" t="s">
        <v>11</v>
      </c>
      <c r="Y130" s="14" t="str">
        <f t="shared" si="89"/>
        <v/>
      </c>
      <c r="Z130" s="14" t="str">
        <f t="shared" si="90"/>
        <v/>
      </c>
      <c r="AA130" s="15">
        <f t="shared" si="13"/>
        <v>0</v>
      </c>
      <c r="AB130" s="14" t="s">
        <v>11</v>
      </c>
      <c r="AC130" s="14" t="s">
        <v>41</v>
      </c>
      <c r="AD130" s="14" t="s">
        <v>11</v>
      </c>
      <c r="AE130" s="14" t="s">
        <v>11</v>
      </c>
      <c r="AF130" s="14" t="s">
        <v>13</v>
      </c>
      <c r="AG130" s="14" t="s">
        <v>11</v>
      </c>
      <c r="AH130" s="14" t="s">
        <v>11</v>
      </c>
      <c r="AI130" s="14" t="s">
        <v>11</v>
      </c>
      <c r="AJ130" s="14" t="s">
        <v>11</v>
      </c>
      <c r="AK130" s="14" t="s">
        <v>11</v>
      </c>
      <c r="AL130" s="14" t="str">
        <f t="shared" si="91"/>
        <v>T</v>
      </c>
      <c r="AM130" s="14" t="str">
        <f t="shared" si="92"/>
        <v>T</v>
      </c>
      <c r="AN130" s="14" t="str">
        <f t="shared" si="93"/>
        <v/>
      </c>
      <c r="AO130" s="14" t="str">
        <f t="shared" si="94"/>
        <v/>
      </c>
      <c r="AP130" s="14" t="str">
        <f t="shared" si="95"/>
        <v/>
      </c>
      <c r="AQ130" s="14" t="str">
        <f t="shared" si="71"/>
        <v/>
      </c>
      <c r="AR130" s="15">
        <f t="shared" si="18"/>
        <v>0</v>
      </c>
      <c r="AT130" s="17">
        <f t="shared" si="96"/>
        <v>0</v>
      </c>
    </row>
    <row r="131" spans="2:46" ht="15" x14ac:dyDescent="0.2">
      <c r="B131" s="64"/>
      <c r="C131" s="15" t="s">
        <v>53</v>
      </c>
      <c r="D131" s="30" t="str">
        <f t="shared" si="88"/>
        <v/>
      </c>
      <c r="E131" s="14" t="str">
        <f t="shared" si="74"/>
        <v/>
      </c>
      <c r="F131" s="14" t="str">
        <f t="shared" si="75"/>
        <v/>
      </c>
      <c r="G131" s="14" t="str">
        <f t="shared" si="76"/>
        <v/>
      </c>
      <c r="H131" s="14" t="str">
        <f t="shared" si="77"/>
        <v/>
      </c>
      <c r="I131" s="14" t="str">
        <f t="shared" si="78"/>
        <v/>
      </c>
      <c r="J131" s="14" t="str">
        <f t="shared" si="79"/>
        <v/>
      </c>
      <c r="K131" s="14" t="str">
        <f t="shared" si="80"/>
        <v/>
      </c>
      <c r="L131" s="14" t="str">
        <f t="shared" si="81"/>
        <v/>
      </c>
      <c r="M131" s="14" t="str">
        <f t="shared" si="82"/>
        <v/>
      </c>
      <c r="N131" s="14" t="str">
        <f t="shared" si="83"/>
        <v/>
      </c>
      <c r="O131" s="14" t="s">
        <v>11</v>
      </c>
      <c r="P131" s="14" t="s">
        <v>11</v>
      </c>
      <c r="Q131" s="14" t="s">
        <v>11</v>
      </c>
      <c r="R131" s="14" t="s">
        <v>13</v>
      </c>
      <c r="S131" s="14" t="s">
        <v>11</v>
      </c>
      <c r="T131" s="14" t="s">
        <v>11</v>
      </c>
      <c r="U131" s="14" t="s">
        <v>11</v>
      </c>
      <c r="V131" s="14" t="s">
        <v>11</v>
      </c>
      <c r="W131" s="14" t="s">
        <v>11</v>
      </c>
      <c r="X131" s="14" t="s">
        <v>11</v>
      </c>
      <c r="Y131" s="14" t="str">
        <f t="shared" si="89"/>
        <v/>
      </c>
      <c r="Z131" s="14" t="str">
        <f t="shared" si="90"/>
        <v/>
      </c>
      <c r="AA131" s="15">
        <f t="shared" si="13"/>
        <v>0</v>
      </c>
      <c r="AB131" s="14" t="s">
        <v>11</v>
      </c>
      <c r="AC131" s="14" t="s">
        <v>11</v>
      </c>
      <c r="AD131" s="14" t="s">
        <v>11</v>
      </c>
      <c r="AE131" s="14" t="s">
        <v>11</v>
      </c>
      <c r="AF131" s="14" t="s">
        <v>13</v>
      </c>
      <c r="AG131" s="14" t="s">
        <v>11</v>
      </c>
      <c r="AH131" s="14" t="s">
        <v>11</v>
      </c>
      <c r="AI131" s="14" t="s">
        <v>11</v>
      </c>
      <c r="AJ131" s="14" t="s">
        <v>11</v>
      </c>
      <c r="AK131" s="14" t="s">
        <v>11</v>
      </c>
      <c r="AL131" s="14" t="str">
        <f t="shared" si="91"/>
        <v>T</v>
      </c>
      <c r="AM131" s="14" t="str">
        <f t="shared" si="92"/>
        <v>T</v>
      </c>
      <c r="AN131" s="14" t="str">
        <f t="shared" si="93"/>
        <v/>
      </c>
      <c r="AO131" s="14" t="str">
        <f t="shared" si="94"/>
        <v/>
      </c>
      <c r="AP131" s="14" t="str">
        <f t="shared" si="95"/>
        <v/>
      </c>
      <c r="AQ131" s="14" t="str">
        <f t="shared" si="71"/>
        <v/>
      </c>
      <c r="AR131" s="15">
        <f t="shared" si="18"/>
        <v>0</v>
      </c>
      <c r="AT131" s="17">
        <f t="shared" si="96"/>
        <v>0</v>
      </c>
    </row>
    <row r="132" spans="2:46" ht="12.75" x14ac:dyDescent="0.2">
      <c r="B132" s="65"/>
      <c r="C132" s="15" t="s">
        <v>53</v>
      </c>
      <c r="D132" s="30" t="str">
        <f t="shared" si="88"/>
        <v/>
      </c>
      <c r="E132" s="14" t="str">
        <f t="shared" si="74"/>
        <v/>
      </c>
      <c r="F132" s="14" t="str">
        <f t="shared" si="75"/>
        <v/>
      </c>
      <c r="G132" s="14" t="str">
        <f t="shared" si="76"/>
        <v/>
      </c>
      <c r="H132" s="14" t="str">
        <f t="shared" si="77"/>
        <v/>
      </c>
      <c r="I132" s="14" t="str">
        <f t="shared" si="78"/>
        <v/>
      </c>
      <c r="J132" s="14" t="str">
        <f t="shared" si="79"/>
        <v/>
      </c>
      <c r="K132" s="14" t="str">
        <f t="shared" si="80"/>
        <v/>
      </c>
      <c r="L132" s="14" t="str">
        <f t="shared" si="81"/>
        <v/>
      </c>
      <c r="M132" s="14" t="str">
        <f t="shared" si="82"/>
        <v/>
      </c>
      <c r="N132" s="14" t="str">
        <f t="shared" si="83"/>
        <v/>
      </c>
      <c r="O132" s="14" t="s">
        <v>11</v>
      </c>
      <c r="P132" s="14" t="s">
        <v>11</v>
      </c>
      <c r="Q132" s="14" t="s">
        <v>11</v>
      </c>
      <c r="R132" s="14" t="s">
        <v>13</v>
      </c>
      <c r="S132" s="14" t="s">
        <v>11</v>
      </c>
      <c r="T132" s="14" t="s">
        <v>11</v>
      </c>
      <c r="U132" s="14" t="s">
        <v>11</v>
      </c>
      <c r="V132" s="14" t="s">
        <v>11</v>
      </c>
      <c r="W132" s="14" t="s">
        <v>11</v>
      </c>
      <c r="X132" s="14" t="s">
        <v>11</v>
      </c>
      <c r="Y132" s="14" t="str">
        <f t="shared" si="89"/>
        <v/>
      </c>
      <c r="Z132" s="14" t="str">
        <f t="shared" si="90"/>
        <v/>
      </c>
      <c r="AA132" s="15">
        <f t="shared" si="13"/>
        <v>0</v>
      </c>
      <c r="AB132" s="14" t="s">
        <v>11</v>
      </c>
      <c r="AC132" s="14" t="s">
        <v>41</v>
      </c>
      <c r="AD132" s="14" t="s">
        <v>11</v>
      </c>
      <c r="AE132" s="14" t="s">
        <v>11</v>
      </c>
      <c r="AF132" s="14" t="s">
        <v>13</v>
      </c>
      <c r="AG132" s="14" t="s">
        <v>11</v>
      </c>
      <c r="AH132" s="14" t="s">
        <v>11</v>
      </c>
      <c r="AI132" s="14" t="s">
        <v>11</v>
      </c>
      <c r="AJ132" s="14" t="s">
        <v>11</v>
      </c>
      <c r="AK132" s="14" t="s">
        <v>11</v>
      </c>
      <c r="AL132" s="14" t="str">
        <f t="shared" si="91"/>
        <v>T</v>
      </c>
      <c r="AM132" s="14" t="str">
        <f t="shared" si="92"/>
        <v>T</v>
      </c>
      <c r="AN132" s="14" t="str">
        <f t="shared" si="93"/>
        <v/>
      </c>
      <c r="AO132" s="14" t="str">
        <f t="shared" si="94"/>
        <v/>
      </c>
      <c r="AP132" s="14" t="str">
        <f t="shared" si="95"/>
        <v/>
      </c>
      <c r="AQ132" s="14" t="str">
        <f t="shared" si="71"/>
        <v/>
      </c>
      <c r="AR132" s="15">
        <f t="shared" si="18"/>
        <v>0</v>
      </c>
      <c r="AT132" s="17">
        <f t="shared" si="96"/>
        <v>0</v>
      </c>
    </row>
    <row r="133" spans="2:46" ht="15" x14ac:dyDescent="0.2">
      <c r="B133" s="64"/>
      <c r="C133" s="15" t="s">
        <v>53</v>
      </c>
      <c r="D133" s="30" t="str">
        <f t="shared" si="88"/>
        <v/>
      </c>
      <c r="E133" s="14" t="str">
        <f t="shared" si="74"/>
        <v/>
      </c>
      <c r="F133" s="14" t="str">
        <f t="shared" si="75"/>
        <v/>
      </c>
      <c r="G133" s="14" t="str">
        <f t="shared" si="76"/>
        <v/>
      </c>
      <c r="H133" s="14" t="str">
        <f t="shared" si="77"/>
        <v/>
      </c>
      <c r="I133" s="14" t="str">
        <f t="shared" si="78"/>
        <v/>
      </c>
      <c r="J133" s="14" t="str">
        <f t="shared" si="79"/>
        <v/>
      </c>
      <c r="K133" s="14" t="str">
        <f t="shared" si="80"/>
        <v/>
      </c>
      <c r="L133" s="14" t="str">
        <f t="shared" si="81"/>
        <v/>
      </c>
      <c r="M133" s="14" t="str">
        <f t="shared" si="82"/>
        <v/>
      </c>
      <c r="N133" s="14" t="str">
        <f t="shared" si="83"/>
        <v/>
      </c>
      <c r="O133" s="14" t="s">
        <v>11</v>
      </c>
      <c r="P133" s="14" t="s">
        <v>11</v>
      </c>
      <c r="Q133" s="14" t="s">
        <v>11</v>
      </c>
      <c r="R133" s="14" t="s">
        <v>13</v>
      </c>
      <c r="S133" s="14" t="s">
        <v>11</v>
      </c>
      <c r="T133" s="14" t="s">
        <v>11</v>
      </c>
      <c r="U133" s="14" t="s">
        <v>11</v>
      </c>
      <c r="V133" s="14" t="s">
        <v>11</v>
      </c>
      <c r="W133" s="14" t="s">
        <v>11</v>
      </c>
      <c r="X133" s="14" t="s">
        <v>11</v>
      </c>
      <c r="Y133" s="14" t="str">
        <f t="shared" si="89"/>
        <v/>
      </c>
      <c r="Z133" s="14" t="str">
        <f t="shared" si="90"/>
        <v/>
      </c>
      <c r="AA133" s="15">
        <f t="shared" si="13"/>
        <v>0</v>
      </c>
      <c r="AB133" s="14" t="s">
        <v>11</v>
      </c>
      <c r="AC133" s="14" t="s">
        <v>41</v>
      </c>
      <c r="AD133" s="14" t="s">
        <v>11</v>
      </c>
      <c r="AE133" s="14" t="s">
        <v>11</v>
      </c>
      <c r="AF133" s="14" t="s">
        <v>13</v>
      </c>
      <c r="AG133" s="14" t="s">
        <v>11</v>
      </c>
      <c r="AH133" s="14" t="s">
        <v>11</v>
      </c>
      <c r="AI133" s="14" t="s">
        <v>11</v>
      </c>
      <c r="AJ133" s="14" t="s">
        <v>11</v>
      </c>
      <c r="AK133" s="14" t="s">
        <v>11</v>
      </c>
      <c r="AL133" s="14" t="str">
        <f t="shared" si="91"/>
        <v>T</v>
      </c>
      <c r="AM133" s="14" t="str">
        <f t="shared" si="92"/>
        <v>T</v>
      </c>
      <c r="AN133" s="14" t="str">
        <f t="shared" si="93"/>
        <v/>
      </c>
      <c r="AO133" s="14" t="str">
        <f t="shared" si="94"/>
        <v/>
      </c>
      <c r="AP133" s="14" t="str">
        <f t="shared" si="95"/>
        <v/>
      </c>
      <c r="AQ133" s="14" t="str">
        <f t="shared" si="71"/>
        <v/>
      </c>
      <c r="AR133" s="15">
        <f t="shared" si="18"/>
        <v>0</v>
      </c>
      <c r="AT133" s="17">
        <f t="shared" si="96"/>
        <v>0</v>
      </c>
    </row>
    <row r="134" spans="2:46" ht="15" x14ac:dyDescent="0.2">
      <c r="B134" s="64"/>
      <c r="C134" s="15" t="s">
        <v>53</v>
      </c>
      <c r="D134" s="30" t="str">
        <f t="shared" si="88"/>
        <v/>
      </c>
      <c r="E134" s="14" t="str">
        <f t="shared" si="74"/>
        <v/>
      </c>
      <c r="F134" s="14" t="str">
        <f t="shared" si="75"/>
        <v/>
      </c>
      <c r="G134" s="14" t="str">
        <f t="shared" si="76"/>
        <v/>
      </c>
      <c r="H134" s="14" t="str">
        <f t="shared" si="77"/>
        <v/>
      </c>
      <c r="I134" s="14" t="str">
        <f t="shared" si="78"/>
        <v/>
      </c>
      <c r="J134" s="14" t="str">
        <f t="shared" si="79"/>
        <v/>
      </c>
      <c r="K134" s="14" t="str">
        <f t="shared" si="80"/>
        <v/>
      </c>
      <c r="L134" s="14" t="str">
        <f t="shared" si="81"/>
        <v/>
      </c>
      <c r="M134" s="14" t="str">
        <f t="shared" si="82"/>
        <v/>
      </c>
      <c r="N134" s="14" t="str">
        <f t="shared" si="83"/>
        <v/>
      </c>
      <c r="O134" s="14" t="s">
        <v>11</v>
      </c>
      <c r="P134" s="14" t="s">
        <v>11</v>
      </c>
      <c r="Q134" s="14" t="s">
        <v>11</v>
      </c>
      <c r="R134" s="14" t="s">
        <v>13</v>
      </c>
      <c r="S134" s="14" t="s">
        <v>11</v>
      </c>
      <c r="T134" s="14" t="s">
        <v>11</v>
      </c>
      <c r="U134" s="14" t="s">
        <v>11</v>
      </c>
      <c r="V134" s="14" t="s">
        <v>11</v>
      </c>
      <c r="W134" s="14" t="s">
        <v>11</v>
      </c>
      <c r="X134" s="14" t="s">
        <v>11</v>
      </c>
      <c r="Y134" s="14" t="str">
        <f t="shared" si="89"/>
        <v/>
      </c>
      <c r="Z134" s="14" t="str">
        <f t="shared" si="90"/>
        <v/>
      </c>
      <c r="AA134" s="15">
        <f t="shared" si="13"/>
        <v>0</v>
      </c>
      <c r="AB134" s="14" t="s">
        <v>11</v>
      </c>
      <c r="AC134" s="14" t="s">
        <v>11</v>
      </c>
      <c r="AD134" s="14" t="s">
        <v>11</v>
      </c>
      <c r="AE134" s="14" t="s">
        <v>11</v>
      </c>
      <c r="AF134" s="14" t="s">
        <v>13</v>
      </c>
      <c r="AG134" s="14" t="s">
        <v>11</v>
      </c>
      <c r="AH134" s="14" t="s">
        <v>11</v>
      </c>
      <c r="AI134" s="14" t="s">
        <v>11</v>
      </c>
      <c r="AJ134" s="14" t="s">
        <v>11</v>
      </c>
      <c r="AK134" s="14" t="s">
        <v>11</v>
      </c>
      <c r="AL134" s="14" t="str">
        <f t="shared" si="91"/>
        <v>T</v>
      </c>
      <c r="AM134" s="14" t="str">
        <f t="shared" si="92"/>
        <v>T</v>
      </c>
      <c r="AN134" s="14" t="str">
        <f t="shared" si="93"/>
        <v/>
      </c>
      <c r="AO134" s="14" t="str">
        <f t="shared" si="94"/>
        <v/>
      </c>
      <c r="AP134" s="14" t="str">
        <f t="shared" si="95"/>
        <v/>
      </c>
      <c r="AQ134" s="14" t="str">
        <f t="shared" si="71"/>
        <v/>
      </c>
      <c r="AR134" s="15">
        <f t="shared" si="18"/>
        <v>0</v>
      </c>
      <c r="AT134" s="17">
        <f t="shared" si="96"/>
        <v>0</v>
      </c>
    </row>
    <row r="135" spans="2:46" ht="15" x14ac:dyDescent="0.2">
      <c r="B135" s="64"/>
      <c r="C135" s="15" t="s">
        <v>53</v>
      </c>
      <c r="D135" s="30" t="str">
        <f t="shared" si="88"/>
        <v/>
      </c>
      <c r="E135" s="14" t="str">
        <f t="shared" si="74"/>
        <v/>
      </c>
      <c r="F135" s="14" t="str">
        <f t="shared" si="75"/>
        <v/>
      </c>
      <c r="G135" s="14" t="str">
        <f t="shared" si="76"/>
        <v/>
      </c>
      <c r="H135" s="14" t="str">
        <f t="shared" si="77"/>
        <v/>
      </c>
      <c r="I135" s="14" t="str">
        <f t="shared" si="78"/>
        <v/>
      </c>
      <c r="J135" s="14" t="str">
        <f t="shared" si="79"/>
        <v/>
      </c>
      <c r="K135" s="14" t="str">
        <f t="shared" si="80"/>
        <v/>
      </c>
      <c r="L135" s="14" t="str">
        <f t="shared" si="81"/>
        <v/>
      </c>
      <c r="M135" s="14" t="str">
        <f t="shared" si="82"/>
        <v/>
      </c>
      <c r="N135" s="14" t="str">
        <f t="shared" si="83"/>
        <v/>
      </c>
      <c r="O135" s="14" t="s">
        <v>11</v>
      </c>
      <c r="P135" s="14" t="s">
        <v>11</v>
      </c>
      <c r="Q135" s="14" t="s">
        <v>11</v>
      </c>
      <c r="R135" s="14" t="s">
        <v>13</v>
      </c>
      <c r="S135" s="14" t="s">
        <v>11</v>
      </c>
      <c r="T135" s="14" t="s">
        <v>11</v>
      </c>
      <c r="U135" s="14" t="s">
        <v>11</v>
      </c>
      <c r="V135" s="14" t="s">
        <v>11</v>
      </c>
      <c r="W135" s="14" t="s">
        <v>11</v>
      </c>
      <c r="X135" s="14" t="s">
        <v>11</v>
      </c>
      <c r="Y135" s="14" t="str">
        <f t="shared" si="89"/>
        <v/>
      </c>
      <c r="Z135" s="14" t="str">
        <f t="shared" si="90"/>
        <v/>
      </c>
      <c r="AA135" s="15">
        <f t="shared" si="13"/>
        <v>0</v>
      </c>
      <c r="AB135" s="14" t="s">
        <v>11</v>
      </c>
      <c r="AC135" s="14" t="s">
        <v>11</v>
      </c>
      <c r="AD135" s="14" t="s">
        <v>11</v>
      </c>
      <c r="AE135" s="14" t="s">
        <v>11</v>
      </c>
      <c r="AF135" s="14" t="s">
        <v>13</v>
      </c>
      <c r="AG135" s="14" t="s">
        <v>11</v>
      </c>
      <c r="AH135" s="14" t="s">
        <v>11</v>
      </c>
      <c r="AI135" s="14" t="s">
        <v>11</v>
      </c>
      <c r="AJ135" s="14" t="s">
        <v>11</v>
      </c>
      <c r="AK135" s="14" t="s">
        <v>11</v>
      </c>
      <c r="AL135" s="14" t="str">
        <f t="shared" si="91"/>
        <v>T</v>
      </c>
      <c r="AM135" s="14" t="str">
        <f t="shared" si="92"/>
        <v>T</v>
      </c>
      <c r="AN135" s="14" t="str">
        <f t="shared" si="93"/>
        <v/>
      </c>
      <c r="AO135" s="14" t="str">
        <f t="shared" si="94"/>
        <v/>
      </c>
      <c r="AP135" s="14" t="str">
        <f t="shared" si="95"/>
        <v/>
      </c>
      <c r="AQ135" s="14" t="str">
        <f t="shared" si="71"/>
        <v/>
      </c>
      <c r="AR135" s="15">
        <f t="shared" si="18"/>
        <v>0</v>
      </c>
      <c r="AT135" s="17">
        <f t="shared" si="96"/>
        <v>0</v>
      </c>
    </row>
    <row r="136" spans="2:46" ht="15" x14ac:dyDescent="0.2">
      <c r="B136" s="64"/>
      <c r="C136" s="15" t="s">
        <v>53</v>
      </c>
      <c r="D136" s="30" t="str">
        <f t="shared" si="88"/>
        <v/>
      </c>
      <c r="E136" s="14" t="str">
        <f t="shared" si="74"/>
        <v/>
      </c>
      <c r="F136" s="14" t="str">
        <f t="shared" si="75"/>
        <v/>
      </c>
      <c r="G136" s="14" t="str">
        <f t="shared" si="76"/>
        <v/>
      </c>
      <c r="H136" s="14" t="str">
        <f t="shared" si="77"/>
        <v/>
      </c>
      <c r="I136" s="14" t="str">
        <f t="shared" si="78"/>
        <v/>
      </c>
      <c r="J136" s="14" t="str">
        <f t="shared" si="79"/>
        <v/>
      </c>
      <c r="K136" s="14" t="str">
        <f t="shared" si="80"/>
        <v/>
      </c>
      <c r="L136" s="14" t="str">
        <f t="shared" si="81"/>
        <v/>
      </c>
      <c r="M136" s="14" t="str">
        <f t="shared" si="82"/>
        <v/>
      </c>
      <c r="N136" s="14" t="str">
        <f t="shared" si="83"/>
        <v/>
      </c>
      <c r="O136" s="14" t="s">
        <v>11</v>
      </c>
      <c r="P136" s="14" t="s">
        <v>11</v>
      </c>
      <c r="Q136" s="14" t="s">
        <v>11</v>
      </c>
      <c r="R136" s="14" t="s">
        <v>13</v>
      </c>
      <c r="S136" s="14" t="s">
        <v>11</v>
      </c>
      <c r="T136" s="14" t="s">
        <v>11</v>
      </c>
      <c r="U136" s="14" t="s">
        <v>11</v>
      </c>
      <c r="V136" s="14" t="s">
        <v>11</v>
      </c>
      <c r="W136" s="14" t="s">
        <v>11</v>
      </c>
      <c r="X136" s="14" t="s">
        <v>11</v>
      </c>
      <c r="Y136" s="14" t="str">
        <f t="shared" si="89"/>
        <v/>
      </c>
      <c r="Z136" s="14" t="str">
        <f t="shared" si="90"/>
        <v/>
      </c>
      <c r="AA136" s="15">
        <f t="shared" si="13"/>
        <v>0</v>
      </c>
      <c r="AB136" s="14" t="s">
        <v>11</v>
      </c>
      <c r="AC136" s="14" t="s">
        <v>11</v>
      </c>
      <c r="AD136" s="14" t="s">
        <v>11</v>
      </c>
      <c r="AE136" s="14" t="s">
        <v>11</v>
      </c>
      <c r="AF136" s="14" t="s">
        <v>13</v>
      </c>
      <c r="AG136" s="14" t="s">
        <v>11</v>
      </c>
      <c r="AH136" s="14" t="s">
        <v>11</v>
      </c>
      <c r="AI136" s="14" t="s">
        <v>11</v>
      </c>
      <c r="AJ136" s="14" t="s">
        <v>11</v>
      </c>
      <c r="AK136" s="14" t="s">
        <v>11</v>
      </c>
      <c r="AL136" s="14" t="str">
        <f t="shared" si="91"/>
        <v>T</v>
      </c>
      <c r="AM136" s="14" t="str">
        <f t="shared" si="92"/>
        <v>T</v>
      </c>
      <c r="AN136" s="14" t="str">
        <f t="shared" si="93"/>
        <v/>
      </c>
      <c r="AO136" s="14" t="str">
        <f t="shared" si="94"/>
        <v/>
      </c>
      <c r="AP136" s="14" t="str">
        <f t="shared" si="95"/>
        <v/>
      </c>
      <c r="AQ136" s="14" t="str">
        <f t="shared" ref="AQ136:AQ199" si="97">LOWER(AP136)</f>
        <v/>
      </c>
      <c r="AR136" s="15">
        <f t="shared" si="18"/>
        <v>0</v>
      </c>
      <c r="AT136" s="17">
        <f t="shared" si="96"/>
        <v>0</v>
      </c>
    </row>
    <row r="137" spans="2:46" ht="15" x14ac:dyDescent="0.2">
      <c r="B137" s="64"/>
      <c r="C137" s="15" t="s">
        <v>53</v>
      </c>
      <c r="D137" s="30" t="str">
        <f t="shared" si="88"/>
        <v/>
      </c>
      <c r="E137" s="14" t="str">
        <f t="shared" si="74"/>
        <v/>
      </c>
      <c r="F137" s="14" t="str">
        <f t="shared" si="75"/>
        <v/>
      </c>
      <c r="G137" s="14" t="str">
        <f t="shared" si="76"/>
        <v/>
      </c>
      <c r="H137" s="14" t="str">
        <f t="shared" si="77"/>
        <v/>
      </c>
      <c r="I137" s="14" t="str">
        <f t="shared" si="78"/>
        <v/>
      </c>
      <c r="J137" s="14" t="str">
        <f t="shared" si="79"/>
        <v/>
      </c>
      <c r="K137" s="14" t="str">
        <f t="shared" si="80"/>
        <v/>
      </c>
      <c r="L137" s="14" t="str">
        <f t="shared" si="81"/>
        <v/>
      </c>
      <c r="M137" s="14" t="str">
        <f t="shared" si="82"/>
        <v/>
      </c>
      <c r="N137" s="14" t="str">
        <f t="shared" si="83"/>
        <v/>
      </c>
      <c r="O137" s="14" t="s">
        <v>11</v>
      </c>
      <c r="P137" s="14" t="s">
        <v>11</v>
      </c>
      <c r="Q137" s="14" t="s">
        <v>11</v>
      </c>
      <c r="R137" s="14" t="s">
        <v>13</v>
      </c>
      <c r="S137" s="14" t="s">
        <v>11</v>
      </c>
      <c r="T137" s="14" t="s">
        <v>11</v>
      </c>
      <c r="U137" s="14" t="s">
        <v>11</v>
      </c>
      <c r="V137" s="14" t="s">
        <v>11</v>
      </c>
      <c r="W137" s="14" t="s">
        <v>11</v>
      </c>
      <c r="X137" s="14" t="s">
        <v>11</v>
      </c>
      <c r="Y137" s="14" t="str">
        <f t="shared" si="89"/>
        <v/>
      </c>
      <c r="Z137" s="14" t="str">
        <f t="shared" si="90"/>
        <v/>
      </c>
      <c r="AA137" s="15">
        <f t="shared" si="13"/>
        <v>0</v>
      </c>
      <c r="AB137" s="14" t="s">
        <v>11</v>
      </c>
      <c r="AC137" s="14" t="s">
        <v>11</v>
      </c>
      <c r="AD137" s="14" t="s">
        <v>11</v>
      </c>
      <c r="AE137" s="14" t="s">
        <v>11</v>
      </c>
      <c r="AF137" s="14" t="s">
        <v>13</v>
      </c>
      <c r="AG137" s="14" t="s">
        <v>11</v>
      </c>
      <c r="AH137" s="14" t="s">
        <v>11</v>
      </c>
      <c r="AI137" s="14" t="s">
        <v>11</v>
      </c>
      <c r="AJ137" s="14" t="s">
        <v>11</v>
      </c>
      <c r="AK137" s="14" t="s">
        <v>11</v>
      </c>
      <c r="AL137" s="14" t="str">
        <f t="shared" si="91"/>
        <v>T</v>
      </c>
      <c r="AM137" s="14" t="str">
        <f t="shared" si="92"/>
        <v>T</v>
      </c>
      <c r="AN137" s="14" t="str">
        <f t="shared" si="93"/>
        <v/>
      </c>
      <c r="AO137" s="14" t="str">
        <f t="shared" si="94"/>
        <v/>
      </c>
      <c r="AP137" s="14" t="str">
        <f t="shared" si="95"/>
        <v/>
      </c>
      <c r="AQ137" s="14" t="str">
        <f t="shared" si="97"/>
        <v/>
      </c>
      <c r="AR137" s="15">
        <f t="shared" si="18"/>
        <v>0</v>
      </c>
      <c r="AT137" s="17">
        <f t="shared" si="96"/>
        <v>0</v>
      </c>
    </row>
    <row r="138" spans="2:46" ht="15" x14ac:dyDescent="0.2">
      <c r="B138" s="64"/>
      <c r="C138" s="15" t="s">
        <v>53</v>
      </c>
      <c r="D138" s="30" t="str">
        <f t="shared" si="88"/>
        <v/>
      </c>
      <c r="E138" s="14" t="str">
        <f t="shared" si="74"/>
        <v/>
      </c>
      <c r="F138" s="14" t="str">
        <f t="shared" si="75"/>
        <v/>
      </c>
      <c r="G138" s="14" t="str">
        <f t="shared" si="76"/>
        <v/>
      </c>
      <c r="H138" s="14" t="str">
        <f t="shared" si="77"/>
        <v/>
      </c>
      <c r="I138" s="14" t="str">
        <f t="shared" si="78"/>
        <v/>
      </c>
      <c r="J138" s="14" t="str">
        <f t="shared" si="79"/>
        <v/>
      </c>
      <c r="K138" s="14" t="str">
        <f t="shared" si="80"/>
        <v/>
      </c>
      <c r="L138" s="14" t="str">
        <f t="shared" si="81"/>
        <v/>
      </c>
      <c r="M138" s="14" t="str">
        <f t="shared" si="82"/>
        <v/>
      </c>
      <c r="N138" s="14" t="str">
        <f t="shared" si="83"/>
        <v/>
      </c>
      <c r="O138" s="14" t="s">
        <v>11</v>
      </c>
      <c r="P138" s="14" t="s">
        <v>11</v>
      </c>
      <c r="Q138" s="14" t="s">
        <v>11</v>
      </c>
      <c r="R138" s="14" t="s">
        <v>13</v>
      </c>
      <c r="S138" s="14" t="s">
        <v>11</v>
      </c>
      <c r="T138" s="14" t="s">
        <v>11</v>
      </c>
      <c r="U138" s="14" t="s">
        <v>11</v>
      </c>
      <c r="V138" s="14" t="s">
        <v>11</v>
      </c>
      <c r="W138" s="14" t="s">
        <v>11</v>
      </c>
      <c r="X138" s="14" t="s">
        <v>11</v>
      </c>
      <c r="Y138" s="14" t="str">
        <f t="shared" si="89"/>
        <v/>
      </c>
      <c r="Z138" s="14" t="str">
        <f t="shared" si="90"/>
        <v/>
      </c>
      <c r="AA138" s="15">
        <f t="shared" si="13"/>
        <v>0</v>
      </c>
      <c r="AB138" s="14" t="s">
        <v>11</v>
      </c>
      <c r="AC138" s="14" t="s">
        <v>11</v>
      </c>
      <c r="AD138" s="14" t="s">
        <v>11</v>
      </c>
      <c r="AE138" s="14" t="s">
        <v>11</v>
      </c>
      <c r="AF138" s="14" t="s">
        <v>13</v>
      </c>
      <c r="AG138" s="14" t="s">
        <v>11</v>
      </c>
      <c r="AH138" s="14" t="s">
        <v>11</v>
      </c>
      <c r="AI138" s="14" t="s">
        <v>11</v>
      </c>
      <c r="AJ138" s="14" t="s">
        <v>11</v>
      </c>
      <c r="AK138" s="14" t="s">
        <v>11</v>
      </c>
      <c r="AL138" s="14" t="str">
        <f t="shared" si="91"/>
        <v>T</v>
      </c>
      <c r="AM138" s="14" t="str">
        <f t="shared" si="92"/>
        <v>T</v>
      </c>
      <c r="AN138" s="14" t="str">
        <f t="shared" si="93"/>
        <v/>
      </c>
      <c r="AO138" s="14" t="str">
        <f t="shared" si="94"/>
        <v/>
      </c>
      <c r="AP138" s="14" t="str">
        <f t="shared" si="95"/>
        <v/>
      </c>
      <c r="AQ138" s="14" t="str">
        <f t="shared" si="97"/>
        <v/>
      </c>
      <c r="AR138" s="15">
        <f t="shared" si="18"/>
        <v>0</v>
      </c>
      <c r="AT138" s="17">
        <f t="shared" si="96"/>
        <v>0</v>
      </c>
    </row>
    <row r="139" spans="2:46" ht="15" x14ac:dyDescent="0.2">
      <c r="B139" s="64"/>
      <c r="C139" s="15" t="s">
        <v>53</v>
      </c>
      <c r="D139" s="30" t="str">
        <f t="shared" si="88"/>
        <v/>
      </c>
      <c r="E139" s="14" t="str">
        <f t="shared" si="74"/>
        <v/>
      </c>
      <c r="F139" s="14" t="str">
        <f t="shared" si="75"/>
        <v/>
      </c>
      <c r="G139" s="14" t="str">
        <f t="shared" si="76"/>
        <v/>
      </c>
      <c r="H139" s="14" t="str">
        <f t="shared" si="77"/>
        <v/>
      </c>
      <c r="I139" s="14" t="str">
        <f t="shared" si="78"/>
        <v/>
      </c>
      <c r="J139" s="14" t="str">
        <f t="shared" si="79"/>
        <v/>
      </c>
      <c r="K139" s="14" t="str">
        <f t="shared" si="80"/>
        <v/>
      </c>
      <c r="L139" s="14" t="str">
        <f t="shared" si="81"/>
        <v/>
      </c>
      <c r="M139" s="14" t="str">
        <f t="shared" si="82"/>
        <v/>
      </c>
      <c r="N139" s="14" t="str">
        <f t="shared" si="83"/>
        <v/>
      </c>
      <c r="O139" s="14" t="s">
        <v>11</v>
      </c>
      <c r="P139" s="14" t="s">
        <v>11</v>
      </c>
      <c r="Q139" s="14" t="s">
        <v>11</v>
      </c>
      <c r="R139" s="14" t="s">
        <v>13</v>
      </c>
      <c r="S139" s="14" t="s">
        <v>11</v>
      </c>
      <c r="T139" s="14" t="s">
        <v>11</v>
      </c>
      <c r="U139" s="14" t="s">
        <v>11</v>
      </c>
      <c r="V139" s="14" t="s">
        <v>11</v>
      </c>
      <c r="W139" s="14" t="s">
        <v>11</v>
      </c>
      <c r="X139" s="14" t="s">
        <v>11</v>
      </c>
      <c r="Y139" s="14" t="str">
        <f t="shared" si="89"/>
        <v/>
      </c>
      <c r="Z139" s="14" t="str">
        <f t="shared" si="90"/>
        <v/>
      </c>
      <c r="AA139" s="15">
        <f t="shared" si="13"/>
        <v>0</v>
      </c>
      <c r="AB139" s="14" t="s">
        <v>11</v>
      </c>
      <c r="AC139" s="14" t="s">
        <v>11</v>
      </c>
      <c r="AD139" s="14" t="s">
        <v>11</v>
      </c>
      <c r="AE139" s="14" t="s">
        <v>11</v>
      </c>
      <c r="AF139" s="14" t="s">
        <v>13</v>
      </c>
      <c r="AG139" s="14" t="s">
        <v>11</v>
      </c>
      <c r="AH139" s="14" t="s">
        <v>11</v>
      </c>
      <c r="AI139" s="14" t="s">
        <v>11</v>
      </c>
      <c r="AJ139" s="14" t="s">
        <v>11</v>
      </c>
      <c r="AK139" s="14" t="s">
        <v>11</v>
      </c>
      <c r="AL139" s="14" t="str">
        <f t="shared" si="91"/>
        <v>T</v>
      </c>
      <c r="AM139" s="14" t="str">
        <f t="shared" si="92"/>
        <v>T</v>
      </c>
      <c r="AN139" s="14" t="str">
        <f t="shared" si="93"/>
        <v/>
      </c>
      <c r="AO139" s="14" t="str">
        <f t="shared" si="94"/>
        <v/>
      </c>
      <c r="AP139" s="14" t="str">
        <f t="shared" si="95"/>
        <v/>
      </c>
      <c r="AQ139" s="14" t="str">
        <f t="shared" si="97"/>
        <v/>
      </c>
      <c r="AR139" s="15">
        <f t="shared" si="18"/>
        <v>0</v>
      </c>
      <c r="AT139" s="17">
        <f t="shared" si="96"/>
        <v>0</v>
      </c>
    </row>
    <row r="140" spans="2:46" ht="15" x14ac:dyDescent="0.2">
      <c r="B140" s="64"/>
      <c r="C140" s="15" t="s">
        <v>53</v>
      </c>
      <c r="D140" s="30" t="str">
        <f t="shared" si="88"/>
        <v/>
      </c>
      <c r="E140" s="14" t="str">
        <f t="shared" si="74"/>
        <v/>
      </c>
      <c r="F140" s="14" t="str">
        <f t="shared" si="75"/>
        <v/>
      </c>
      <c r="G140" s="14" t="str">
        <f t="shared" si="76"/>
        <v/>
      </c>
      <c r="H140" s="14" t="str">
        <f t="shared" si="77"/>
        <v/>
      </c>
      <c r="I140" s="14" t="str">
        <f t="shared" si="78"/>
        <v/>
      </c>
      <c r="J140" s="14" t="str">
        <f t="shared" si="79"/>
        <v/>
      </c>
      <c r="K140" s="14" t="str">
        <f t="shared" si="80"/>
        <v/>
      </c>
      <c r="L140" s="14" t="str">
        <f t="shared" si="81"/>
        <v/>
      </c>
      <c r="M140" s="14" t="str">
        <f t="shared" si="82"/>
        <v/>
      </c>
      <c r="N140" s="14" t="str">
        <f t="shared" si="83"/>
        <v/>
      </c>
      <c r="O140" s="14" t="s">
        <v>11</v>
      </c>
      <c r="P140" s="14" t="s">
        <v>11</v>
      </c>
      <c r="Q140" s="14" t="s">
        <v>11</v>
      </c>
      <c r="R140" s="14" t="s">
        <v>13</v>
      </c>
      <c r="S140" s="14" t="s">
        <v>11</v>
      </c>
      <c r="T140" s="14" t="s">
        <v>11</v>
      </c>
      <c r="U140" s="14" t="s">
        <v>11</v>
      </c>
      <c r="V140" s="14" t="s">
        <v>11</v>
      </c>
      <c r="W140" s="14" t="s">
        <v>11</v>
      </c>
      <c r="X140" s="14" t="s">
        <v>11</v>
      </c>
      <c r="Y140" s="14" t="str">
        <f t="shared" si="89"/>
        <v/>
      </c>
      <c r="Z140" s="14" t="str">
        <f t="shared" si="90"/>
        <v/>
      </c>
      <c r="AA140" s="15">
        <f t="shared" si="13"/>
        <v>0</v>
      </c>
      <c r="AB140" s="14" t="s">
        <v>11</v>
      </c>
      <c r="AC140" s="14" t="s">
        <v>11</v>
      </c>
      <c r="AD140" s="14" t="s">
        <v>11</v>
      </c>
      <c r="AE140" s="14" t="s">
        <v>11</v>
      </c>
      <c r="AF140" s="14" t="s">
        <v>13</v>
      </c>
      <c r="AG140" s="14" t="s">
        <v>11</v>
      </c>
      <c r="AH140" s="14" t="s">
        <v>11</v>
      </c>
      <c r="AI140" s="14" t="s">
        <v>11</v>
      </c>
      <c r="AJ140" s="14" t="s">
        <v>11</v>
      </c>
      <c r="AK140" s="14" t="s">
        <v>11</v>
      </c>
      <c r="AL140" s="14" t="str">
        <f t="shared" si="91"/>
        <v>T</v>
      </c>
      <c r="AM140" s="14" t="str">
        <f t="shared" si="92"/>
        <v>T</v>
      </c>
      <c r="AN140" s="14" t="str">
        <f t="shared" si="93"/>
        <v/>
      </c>
      <c r="AO140" s="14" t="str">
        <f t="shared" si="94"/>
        <v/>
      </c>
      <c r="AP140" s="14" t="str">
        <f t="shared" si="95"/>
        <v/>
      </c>
      <c r="AQ140" s="14" t="str">
        <f t="shared" si="97"/>
        <v/>
      </c>
      <c r="AR140" s="15">
        <f t="shared" si="18"/>
        <v>0</v>
      </c>
      <c r="AT140" s="17">
        <f t="shared" si="96"/>
        <v>0</v>
      </c>
    </row>
    <row r="141" spans="2:46" ht="15" x14ac:dyDescent="0.2">
      <c r="B141" s="64"/>
      <c r="C141" s="15" t="s">
        <v>53</v>
      </c>
      <c r="D141" s="30" t="str">
        <f t="shared" si="88"/>
        <v/>
      </c>
      <c r="E141" s="14" t="str">
        <f t="shared" si="74"/>
        <v/>
      </c>
      <c r="F141" s="14" t="str">
        <f t="shared" si="75"/>
        <v/>
      </c>
      <c r="G141" s="14" t="str">
        <f t="shared" si="76"/>
        <v/>
      </c>
      <c r="H141" s="14" t="str">
        <f t="shared" si="77"/>
        <v/>
      </c>
      <c r="I141" s="14" t="str">
        <f t="shared" si="78"/>
        <v/>
      </c>
      <c r="J141" s="14" t="str">
        <f t="shared" si="79"/>
        <v/>
      </c>
      <c r="K141" s="14" t="str">
        <f t="shared" si="80"/>
        <v/>
      </c>
      <c r="L141" s="14" t="str">
        <f t="shared" si="81"/>
        <v/>
      </c>
      <c r="M141" s="14" t="str">
        <f t="shared" si="82"/>
        <v/>
      </c>
      <c r="N141" s="14" t="str">
        <f t="shared" si="83"/>
        <v/>
      </c>
      <c r="O141" s="14" t="s">
        <v>11</v>
      </c>
      <c r="P141" s="14" t="s">
        <v>11</v>
      </c>
      <c r="Q141" s="14" t="s">
        <v>11</v>
      </c>
      <c r="R141" s="14" t="s">
        <v>13</v>
      </c>
      <c r="S141" s="14" t="s">
        <v>11</v>
      </c>
      <c r="T141" s="14" t="s">
        <v>11</v>
      </c>
      <c r="U141" s="14" t="s">
        <v>11</v>
      </c>
      <c r="V141" s="14" t="s">
        <v>11</v>
      </c>
      <c r="W141" s="14" t="s">
        <v>11</v>
      </c>
      <c r="X141" s="14" t="s">
        <v>11</v>
      </c>
      <c r="Y141" s="14" t="str">
        <f t="shared" si="89"/>
        <v/>
      </c>
      <c r="Z141" s="14" t="str">
        <f t="shared" si="90"/>
        <v/>
      </c>
      <c r="AA141" s="15">
        <f t="shared" si="13"/>
        <v>0</v>
      </c>
      <c r="AB141" s="14" t="s">
        <v>11</v>
      </c>
      <c r="AC141" s="14" t="s">
        <v>11</v>
      </c>
      <c r="AD141" s="14" t="s">
        <v>11</v>
      </c>
      <c r="AE141" s="14" t="s">
        <v>11</v>
      </c>
      <c r="AF141" s="14" t="s">
        <v>13</v>
      </c>
      <c r="AG141" s="14" t="s">
        <v>11</v>
      </c>
      <c r="AH141" s="14" t="s">
        <v>11</v>
      </c>
      <c r="AI141" s="14" t="s">
        <v>11</v>
      </c>
      <c r="AJ141" s="14" t="s">
        <v>11</v>
      </c>
      <c r="AK141" s="14" t="s">
        <v>11</v>
      </c>
      <c r="AL141" s="14" t="str">
        <f t="shared" si="91"/>
        <v>T</v>
      </c>
      <c r="AM141" s="14" t="str">
        <f t="shared" si="92"/>
        <v>T</v>
      </c>
      <c r="AN141" s="14" t="str">
        <f t="shared" si="93"/>
        <v/>
      </c>
      <c r="AO141" s="14" t="str">
        <f t="shared" si="94"/>
        <v/>
      </c>
      <c r="AP141" s="14" t="str">
        <f t="shared" si="95"/>
        <v/>
      </c>
      <c r="AQ141" s="14" t="str">
        <f t="shared" si="97"/>
        <v/>
      </c>
      <c r="AR141" s="15">
        <f t="shared" si="18"/>
        <v>0</v>
      </c>
      <c r="AT141" s="17">
        <f t="shared" si="96"/>
        <v>0</v>
      </c>
    </row>
    <row r="142" spans="2:46" ht="15" x14ac:dyDescent="0.2">
      <c r="B142" s="64"/>
      <c r="C142" s="15" t="s">
        <v>53</v>
      </c>
      <c r="D142" s="30" t="str">
        <f t="shared" si="88"/>
        <v/>
      </c>
      <c r="E142" s="14" t="str">
        <f t="shared" si="74"/>
        <v/>
      </c>
      <c r="F142" s="14" t="str">
        <f t="shared" si="75"/>
        <v/>
      </c>
      <c r="G142" s="14" t="str">
        <f t="shared" si="76"/>
        <v/>
      </c>
      <c r="H142" s="14" t="str">
        <f t="shared" si="77"/>
        <v/>
      </c>
      <c r="I142" s="14" t="str">
        <f t="shared" si="78"/>
        <v/>
      </c>
      <c r="J142" s="14" t="str">
        <f t="shared" si="79"/>
        <v/>
      </c>
      <c r="K142" s="14" t="str">
        <f t="shared" si="80"/>
        <v/>
      </c>
      <c r="L142" s="14" t="str">
        <f t="shared" si="81"/>
        <v/>
      </c>
      <c r="M142" s="14" t="str">
        <f t="shared" si="82"/>
        <v/>
      </c>
      <c r="N142" s="14" t="str">
        <f t="shared" si="83"/>
        <v/>
      </c>
      <c r="O142" s="14" t="s">
        <v>11</v>
      </c>
      <c r="P142" s="14" t="s">
        <v>11</v>
      </c>
      <c r="Q142" s="14" t="s">
        <v>11</v>
      </c>
      <c r="R142" s="14" t="s">
        <v>13</v>
      </c>
      <c r="S142" s="14" t="s">
        <v>11</v>
      </c>
      <c r="T142" s="14" t="s">
        <v>11</v>
      </c>
      <c r="U142" s="14" t="s">
        <v>11</v>
      </c>
      <c r="V142" s="14" t="s">
        <v>11</v>
      </c>
      <c r="W142" s="14" t="s">
        <v>11</v>
      </c>
      <c r="X142" s="14" t="s">
        <v>11</v>
      </c>
      <c r="Y142" s="14" t="str">
        <f t="shared" si="89"/>
        <v/>
      </c>
      <c r="Z142" s="14" t="str">
        <f t="shared" si="90"/>
        <v/>
      </c>
      <c r="AA142" s="15">
        <f t="shared" si="13"/>
        <v>0</v>
      </c>
      <c r="AB142" s="14" t="s">
        <v>11</v>
      </c>
      <c r="AC142" s="14" t="s">
        <v>11</v>
      </c>
      <c r="AD142" s="14" t="s">
        <v>11</v>
      </c>
      <c r="AE142" s="14" t="s">
        <v>11</v>
      </c>
      <c r="AF142" s="14" t="s">
        <v>13</v>
      </c>
      <c r="AG142" s="14" t="s">
        <v>11</v>
      </c>
      <c r="AH142" s="14" t="s">
        <v>11</v>
      </c>
      <c r="AI142" s="14" t="s">
        <v>11</v>
      </c>
      <c r="AJ142" s="14" t="s">
        <v>11</v>
      </c>
      <c r="AK142" s="14" t="s">
        <v>11</v>
      </c>
      <c r="AL142" s="14" t="str">
        <f t="shared" si="91"/>
        <v>T</v>
      </c>
      <c r="AM142" s="14" t="str">
        <f t="shared" si="92"/>
        <v>T</v>
      </c>
      <c r="AN142" s="14" t="str">
        <f t="shared" si="93"/>
        <v/>
      </c>
      <c r="AO142" s="14" t="str">
        <f t="shared" si="94"/>
        <v/>
      </c>
      <c r="AP142" s="14" t="str">
        <f t="shared" si="95"/>
        <v/>
      </c>
      <c r="AQ142" s="14" t="str">
        <f t="shared" si="97"/>
        <v/>
      </c>
      <c r="AR142" s="15">
        <f t="shared" si="18"/>
        <v>0</v>
      </c>
      <c r="AT142" s="17">
        <f t="shared" si="96"/>
        <v>0</v>
      </c>
    </row>
    <row r="143" spans="2:46" ht="15" x14ac:dyDescent="0.2">
      <c r="B143" s="66"/>
      <c r="C143" s="15" t="s">
        <v>53</v>
      </c>
      <c r="D143" s="30" t="str">
        <f t="shared" si="88"/>
        <v/>
      </c>
      <c r="E143" s="14" t="str">
        <f t="shared" si="74"/>
        <v/>
      </c>
      <c r="F143" s="14" t="str">
        <f t="shared" si="75"/>
        <v/>
      </c>
      <c r="G143" s="14" t="str">
        <f t="shared" si="76"/>
        <v/>
      </c>
      <c r="H143" s="14" t="str">
        <f t="shared" si="77"/>
        <v/>
      </c>
      <c r="I143" s="14" t="str">
        <f t="shared" si="78"/>
        <v/>
      </c>
      <c r="J143" s="14" t="str">
        <f t="shared" si="79"/>
        <v/>
      </c>
      <c r="K143" s="14" t="str">
        <f t="shared" si="80"/>
        <v/>
      </c>
      <c r="L143" s="14" t="str">
        <f t="shared" si="81"/>
        <v/>
      </c>
      <c r="M143" s="14" t="str">
        <f t="shared" si="82"/>
        <v/>
      </c>
      <c r="N143" s="14" t="str">
        <f t="shared" si="83"/>
        <v/>
      </c>
      <c r="O143" s="14" t="s">
        <v>11</v>
      </c>
      <c r="P143" s="14" t="s">
        <v>11</v>
      </c>
      <c r="Q143" s="14" t="s">
        <v>11</v>
      </c>
      <c r="R143" s="14" t="s">
        <v>13</v>
      </c>
      <c r="S143" s="14" t="s">
        <v>11</v>
      </c>
      <c r="T143" s="14" t="s">
        <v>11</v>
      </c>
      <c r="U143" s="14" t="s">
        <v>11</v>
      </c>
      <c r="V143" s="14" t="s">
        <v>11</v>
      </c>
      <c r="W143" s="14" t="s">
        <v>11</v>
      </c>
      <c r="X143" s="14" t="s">
        <v>11</v>
      </c>
      <c r="Y143" s="14" t="str">
        <f t="shared" si="89"/>
        <v/>
      </c>
      <c r="Z143" s="14" t="str">
        <f t="shared" si="90"/>
        <v/>
      </c>
      <c r="AA143" s="15">
        <f t="shared" si="13"/>
        <v>0</v>
      </c>
      <c r="AB143" s="14" t="s">
        <v>11</v>
      </c>
      <c r="AC143" s="14" t="s">
        <v>11</v>
      </c>
      <c r="AD143" s="14" t="s">
        <v>11</v>
      </c>
      <c r="AE143" s="14" t="s">
        <v>11</v>
      </c>
      <c r="AF143" s="14" t="s">
        <v>13</v>
      </c>
      <c r="AG143" s="14" t="s">
        <v>11</v>
      </c>
      <c r="AH143" s="14" t="s">
        <v>11</v>
      </c>
      <c r="AI143" s="14" t="s">
        <v>11</v>
      </c>
      <c r="AJ143" s="14" t="s">
        <v>11</v>
      </c>
      <c r="AK143" s="14" t="s">
        <v>11</v>
      </c>
      <c r="AL143" s="14" t="str">
        <f t="shared" si="91"/>
        <v>T</v>
      </c>
      <c r="AM143" s="14" t="str">
        <f t="shared" si="92"/>
        <v>T</v>
      </c>
      <c r="AN143" s="14" t="str">
        <f t="shared" si="93"/>
        <v/>
      </c>
      <c r="AO143" s="14" t="str">
        <f t="shared" si="94"/>
        <v/>
      </c>
      <c r="AP143" s="14" t="str">
        <f t="shared" si="95"/>
        <v/>
      </c>
      <c r="AQ143" s="14" t="str">
        <f t="shared" si="97"/>
        <v/>
      </c>
      <c r="AR143" s="15">
        <f t="shared" si="18"/>
        <v>0</v>
      </c>
      <c r="AT143" s="17">
        <f t="shared" si="96"/>
        <v>0</v>
      </c>
    </row>
    <row r="144" spans="2:46" ht="15" x14ac:dyDescent="0.2">
      <c r="B144" s="66"/>
      <c r="C144" s="15" t="s">
        <v>53</v>
      </c>
      <c r="D144" s="30" t="str">
        <f t="shared" si="88"/>
        <v/>
      </c>
      <c r="E144" s="14" t="str">
        <f t="shared" si="74"/>
        <v/>
      </c>
      <c r="F144" s="14" t="str">
        <f t="shared" si="75"/>
        <v/>
      </c>
      <c r="G144" s="14" t="str">
        <f t="shared" si="76"/>
        <v/>
      </c>
      <c r="H144" s="14" t="str">
        <f t="shared" si="77"/>
        <v/>
      </c>
      <c r="I144" s="14" t="str">
        <f t="shared" si="78"/>
        <v/>
      </c>
      <c r="J144" s="14" t="str">
        <f t="shared" si="79"/>
        <v/>
      </c>
      <c r="K144" s="14" t="str">
        <f t="shared" si="80"/>
        <v/>
      </c>
      <c r="L144" s="14" t="str">
        <f t="shared" si="81"/>
        <v/>
      </c>
      <c r="M144" s="14" t="str">
        <f t="shared" si="82"/>
        <v/>
      </c>
      <c r="N144" s="14" t="str">
        <f t="shared" si="83"/>
        <v/>
      </c>
      <c r="O144" s="14" t="s">
        <v>11</v>
      </c>
      <c r="P144" s="14" t="s">
        <v>11</v>
      </c>
      <c r="Q144" s="14" t="s">
        <v>11</v>
      </c>
      <c r="R144" s="14" t="s">
        <v>13</v>
      </c>
      <c r="S144" s="14" t="s">
        <v>11</v>
      </c>
      <c r="T144" s="14" t="s">
        <v>11</v>
      </c>
      <c r="U144" s="14" t="s">
        <v>11</v>
      </c>
      <c r="V144" s="14" t="s">
        <v>11</v>
      </c>
      <c r="W144" s="14" t="s">
        <v>11</v>
      </c>
      <c r="X144" s="14" t="s">
        <v>11</v>
      </c>
      <c r="Y144" s="14" t="str">
        <f t="shared" si="89"/>
        <v/>
      </c>
      <c r="Z144" s="14" t="str">
        <f t="shared" si="90"/>
        <v/>
      </c>
      <c r="AA144" s="15">
        <f t="shared" si="13"/>
        <v>0</v>
      </c>
      <c r="AB144" s="14" t="s">
        <v>11</v>
      </c>
      <c r="AC144" s="14" t="s">
        <v>11</v>
      </c>
      <c r="AD144" s="14" t="s">
        <v>11</v>
      </c>
      <c r="AE144" s="14" t="s">
        <v>11</v>
      </c>
      <c r="AF144" s="14" t="s">
        <v>13</v>
      </c>
      <c r="AG144" s="14" t="s">
        <v>11</v>
      </c>
      <c r="AH144" s="14" t="s">
        <v>11</v>
      </c>
      <c r="AI144" s="14" t="s">
        <v>11</v>
      </c>
      <c r="AJ144" s="14" t="s">
        <v>11</v>
      </c>
      <c r="AK144" s="14" t="s">
        <v>11</v>
      </c>
      <c r="AL144" s="14" t="str">
        <f t="shared" si="91"/>
        <v>T</v>
      </c>
      <c r="AM144" s="14" t="str">
        <f t="shared" si="92"/>
        <v>T</v>
      </c>
      <c r="AN144" s="14" t="str">
        <f t="shared" si="93"/>
        <v/>
      </c>
      <c r="AO144" s="14" t="str">
        <f t="shared" si="94"/>
        <v/>
      </c>
      <c r="AP144" s="14" t="str">
        <f t="shared" si="95"/>
        <v/>
      </c>
      <c r="AQ144" s="14" t="str">
        <f t="shared" si="97"/>
        <v/>
      </c>
      <c r="AR144" s="15">
        <f t="shared" si="18"/>
        <v>0</v>
      </c>
      <c r="AT144" s="17">
        <f t="shared" si="96"/>
        <v>0</v>
      </c>
    </row>
    <row r="145" spans="2:46" x14ac:dyDescent="0.2">
      <c r="B145" s="16"/>
      <c r="C145" s="15" t="s">
        <v>53</v>
      </c>
      <c r="D145" s="30" t="str">
        <f t="shared" si="88"/>
        <v/>
      </c>
      <c r="E145" s="14" t="str">
        <f t="shared" si="74"/>
        <v/>
      </c>
      <c r="F145" s="14" t="str">
        <f t="shared" si="75"/>
        <v/>
      </c>
      <c r="G145" s="14" t="str">
        <f t="shared" si="76"/>
        <v/>
      </c>
      <c r="H145" s="14" t="str">
        <f t="shared" si="77"/>
        <v/>
      </c>
      <c r="I145" s="14" t="str">
        <f t="shared" si="78"/>
        <v/>
      </c>
      <c r="J145" s="14" t="str">
        <f t="shared" si="79"/>
        <v/>
      </c>
      <c r="K145" s="14" t="str">
        <f t="shared" si="80"/>
        <v/>
      </c>
      <c r="L145" s="14" t="str">
        <f t="shared" si="81"/>
        <v/>
      </c>
      <c r="M145" s="14" t="str">
        <f t="shared" si="82"/>
        <v/>
      </c>
      <c r="N145" s="14" t="str">
        <f t="shared" si="83"/>
        <v/>
      </c>
      <c r="O145" s="14" t="s">
        <v>11</v>
      </c>
      <c r="P145" s="14" t="s">
        <v>11</v>
      </c>
      <c r="Q145" s="14" t="s">
        <v>11</v>
      </c>
      <c r="R145" s="14" t="s">
        <v>13</v>
      </c>
      <c r="S145" s="14" t="s">
        <v>11</v>
      </c>
      <c r="T145" s="14" t="s">
        <v>11</v>
      </c>
      <c r="U145" s="14" t="s">
        <v>11</v>
      </c>
      <c r="V145" s="14" t="s">
        <v>11</v>
      </c>
      <c r="W145" s="14" t="s">
        <v>11</v>
      </c>
      <c r="X145" s="14" t="s">
        <v>11</v>
      </c>
      <c r="Y145" s="14" t="str">
        <f t="shared" si="89"/>
        <v/>
      </c>
      <c r="Z145" s="14" t="str">
        <f t="shared" si="90"/>
        <v/>
      </c>
      <c r="AA145" s="15">
        <f t="shared" si="13"/>
        <v>0</v>
      </c>
      <c r="AB145" s="14" t="s">
        <v>11</v>
      </c>
      <c r="AC145" s="14" t="s">
        <v>11</v>
      </c>
      <c r="AD145" s="14" t="s">
        <v>11</v>
      </c>
      <c r="AE145" s="14" t="s">
        <v>11</v>
      </c>
      <c r="AF145" s="14" t="s">
        <v>13</v>
      </c>
      <c r="AG145" s="14" t="s">
        <v>11</v>
      </c>
      <c r="AH145" s="14" t="s">
        <v>11</v>
      </c>
      <c r="AI145" s="14" t="s">
        <v>11</v>
      </c>
      <c r="AJ145" s="14" t="s">
        <v>11</v>
      </c>
      <c r="AK145" s="14" t="s">
        <v>11</v>
      </c>
      <c r="AL145" s="14" t="str">
        <f t="shared" si="91"/>
        <v>T</v>
      </c>
      <c r="AM145" s="14" t="str">
        <f t="shared" si="92"/>
        <v>T</v>
      </c>
      <c r="AN145" s="14" t="str">
        <f t="shared" si="93"/>
        <v/>
      </c>
      <c r="AO145" s="14" t="str">
        <f t="shared" si="94"/>
        <v/>
      </c>
      <c r="AP145" s="14" t="str">
        <f t="shared" si="95"/>
        <v/>
      </c>
      <c r="AQ145" s="14" t="str">
        <f t="shared" si="97"/>
        <v/>
      </c>
      <c r="AR145" s="15">
        <f t="shared" si="18"/>
        <v>0</v>
      </c>
      <c r="AT145" s="17">
        <f t="shared" si="96"/>
        <v>0</v>
      </c>
    </row>
    <row r="146" spans="2:46" x14ac:dyDescent="0.2">
      <c r="B146" s="16"/>
      <c r="C146" s="15" t="s">
        <v>53</v>
      </c>
      <c r="D146" s="30" t="str">
        <f t="shared" si="88"/>
        <v/>
      </c>
      <c r="E146" s="14" t="str">
        <f t="shared" si="74"/>
        <v/>
      </c>
      <c r="F146" s="14" t="str">
        <f t="shared" si="75"/>
        <v/>
      </c>
      <c r="G146" s="14" t="str">
        <f t="shared" si="76"/>
        <v/>
      </c>
      <c r="H146" s="14" t="str">
        <f t="shared" si="77"/>
        <v/>
      </c>
      <c r="I146" s="14" t="str">
        <f t="shared" si="78"/>
        <v/>
      </c>
      <c r="J146" s="14" t="str">
        <f t="shared" si="79"/>
        <v/>
      </c>
      <c r="K146" s="14" t="str">
        <f t="shared" si="80"/>
        <v/>
      </c>
      <c r="L146" s="14" t="str">
        <f t="shared" si="81"/>
        <v/>
      </c>
      <c r="M146" s="14" t="str">
        <f t="shared" si="82"/>
        <v/>
      </c>
      <c r="N146" s="14" t="str">
        <f t="shared" si="83"/>
        <v/>
      </c>
      <c r="O146" s="14" t="s">
        <v>11</v>
      </c>
      <c r="P146" s="14" t="s">
        <v>11</v>
      </c>
      <c r="Q146" s="14" t="s">
        <v>11</v>
      </c>
      <c r="R146" s="14" t="s">
        <v>13</v>
      </c>
      <c r="S146" s="14" t="s">
        <v>11</v>
      </c>
      <c r="T146" s="14" t="s">
        <v>11</v>
      </c>
      <c r="U146" s="14" t="s">
        <v>11</v>
      </c>
      <c r="V146" s="14" t="s">
        <v>11</v>
      </c>
      <c r="W146" s="14" t="s">
        <v>11</v>
      </c>
      <c r="X146" s="14" t="s">
        <v>11</v>
      </c>
      <c r="Y146" s="14" t="str">
        <f t="shared" si="89"/>
        <v/>
      </c>
      <c r="Z146" s="14" t="str">
        <f t="shared" si="90"/>
        <v/>
      </c>
      <c r="AA146" s="15">
        <f t="shared" si="13"/>
        <v>0</v>
      </c>
      <c r="AB146" s="14" t="s">
        <v>11</v>
      </c>
      <c r="AC146" s="14" t="s">
        <v>11</v>
      </c>
      <c r="AD146" s="14" t="s">
        <v>11</v>
      </c>
      <c r="AE146" s="14" t="s">
        <v>11</v>
      </c>
      <c r="AF146" s="14" t="s">
        <v>13</v>
      </c>
      <c r="AG146" s="14" t="s">
        <v>11</v>
      </c>
      <c r="AH146" s="14" t="s">
        <v>11</v>
      </c>
      <c r="AI146" s="14" t="s">
        <v>11</v>
      </c>
      <c r="AJ146" s="14" t="s">
        <v>11</v>
      </c>
      <c r="AK146" s="14" t="s">
        <v>11</v>
      </c>
      <c r="AL146" s="14" t="str">
        <f t="shared" si="91"/>
        <v>T</v>
      </c>
      <c r="AM146" s="14" t="str">
        <f t="shared" si="92"/>
        <v>T</v>
      </c>
      <c r="AN146" s="14" t="str">
        <f t="shared" si="93"/>
        <v/>
      </c>
      <c r="AO146" s="14" t="str">
        <f t="shared" si="94"/>
        <v/>
      </c>
      <c r="AP146" s="14" t="str">
        <f t="shared" si="95"/>
        <v/>
      </c>
      <c r="AQ146" s="14" t="str">
        <f t="shared" si="97"/>
        <v/>
      </c>
      <c r="AR146" s="15">
        <f t="shared" si="18"/>
        <v>0</v>
      </c>
      <c r="AT146" s="17">
        <f t="shared" si="96"/>
        <v>0</v>
      </c>
    </row>
    <row r="147" spans="2:46" x14ac:dyDescent="0.2">
      <c r="B147" s="16"/>
      <c r="C147" s="15" t="s">
        <v>53</v>
      </c>
      <c r="D147" s="30" t="str">
        <f t="shared" si="88"/>
        <v/>
      </c>
      <c r="E147" s="14" t="str">
        <f t="shared" si="74"/>
        <v/>
      </c>
      <c r="F147" s="14" t="str">
        <f t="shared" si="75"/>
        <v/>
      </c>
      <c r="G147" s="14" t="str">
        <f t="shared" si="76"/>
        <v/>
      </c>
      <c r="H147" s="14" t="str">
        <f t="shared" si="77"/>
        <v/>
      </c>
      <c r="I147" s="14" t="str">
        <f t="shared" si="78"/>
        <v/>
      </c>
      <c r="J147" s="14" t="str">
        <f t="shared" si="79"/>
        <v/>
      </c>
      <c r="K147" s="14" t="str">
        <f t="shared" si="80"/>
        <v/>
      </c>
      <c r="L147" s="14" t="str">
        <f t="shared" si="81"/>
        <v/>
      </c>
      <c r="M147" s="14" t="str">
        <f t="shared" si="82"/>
        <v/>
      </c>
      <c r="N147" s="14" t="str">
        <f t="shared" si="83"/>
        <v/>
      </c>
      <c r="O147" s="14" t="s">
        <v>11</v>
      </c>
      <c r="P147" s="14" t="s">
        <v>11</v>
      </c>
      <c r="Q147" s="14" t="s">
        <v>11</v>
      </c>
      <c r="R147" s="14" t="s">
        <v>13</v>
      </c>
      <c r="S147" s="14" t="s">
        <v>11</v>
      </c>
      <c r="T147" s="14" t="s">
        <v>11</v>
      </c>
      <c r="U147" s="14" t="s">
        <v>11</v>
      </c>
      <c r="V147" s="14" t="s">
        <v>11</v>
      </c>
      <c r="W147" s="14" t="s">
        <v>11</v>
      </c>
      <c r="X147" s="14" t="s">
        <v>11</v>
      </c>
      <c r="Y147" s="14" t="str">
        <f t="shared" si="89"/>
        <v/>
      </c>
      <c r="Z147" s="14" t="str">
        <f t="shared" si="90"/>
        <v/>
      </c>
      <c r="AA147" s="15">
        <f t="shared" si="13"/>
        <v>0</v>
      </c>
      <c r="AB147" s="14" t="s">
        <v>11</v>
      </c>
      <c r="AC147" s="14" t="s">
        <v>11</v>
      </c>
      <c r="AD147" s="14" t="s">
        <v>11</v>
      </c>
      <c r="AE147" s="14" t="s">
        <v>11</v>
      </c>
      <c r="AF147" s="14" t="s">
        <v>13</v>
      </c>
      <c r="AG147" s="14" t="s">
        <v>11</v>
      </c>
      <c r="AH147" s="14" t="s">
        <v>11</v>
      </c>
      <c r="AI147" s="14" t="s">
        <v>11</v>
      </c>
      <c r="AJ147" s="14" t="s">
        <v>11</v>
      </c>
      <c r="AK147" s="14" t="s">
        <v>11</v>
      </c>
      <c r="AL147" s="14" t="str">
        <f t="shared" si="91"/>
        <v>T</v>
      </c>
      <c r="AM147" s="14" t="str">
        <f t="shared" si="92"/>
        <v>T</v>
      </c>
      <c r="AN147" s="14" t="str">
        <f t="shared" si="93"/>
        <v/>
      </c>
      <c r="AO147" s="14" t="str">
        <f t="shared" si="94"/>
        <v/>
      </c>
      <c r="AP147" s="14" t="str">
        <f t="shared" si="95"/>
        <v/>
      </c>
      <c r="AQ147" s="14" t="str">
        <f t="shared" si="97"/>
        <v/>
      </c>
      <c r="AR147" s="15">
        <f t="shared" si="18"/>
        <v>0</v>
      </c>
      <c r="AT147" s="17">
        <f t="shared" si="96"/>
        <v>0</v>
      </c>
    </row>
    <row r="148" spans="2:46" x14ac:dyDescent="0.2">
      <c r="B148" s="16"/>
      <c r="C148" s="15" t="s">
        <v>53</v>
      </c>
      <c r="D148" s="30" t="str">
        <f t="shared" si="88"/>
        <v/>
      </c>
      <c r="E148" s="14" t="str">
        <f t="shared" si="74"/>
        <v/>
      </c>
      <c r="F148" s="14" t="str">
        <f t="shared" si="75"/>
        <v/>
      </c>
      <c r="G148" s="14" t="str">
        <f t="shared" si="76"/>
        <v/>
      </c>
      <c r="H148" s="14" t="str">
        <f t="shared" si="77"/>
        <v/>
      </c>
      <c r="I148" s="14" t="str">
        <f t="shared" si="78"/>
        <v/>
      </c>
      <c r="J148" s="14" t="str">
        <f t="shared" si="79"/>
        <v/>
      </c>
      <c r="K148" s="14" t="str">
        <f t="shared" si="80"/>
        <v/>
      </c>
      <c r="L148" s="14" t="str">
        <f t="shared" si="81"/>
        <v/>
      </c>
      <c r="M148" s="14" t="str">
        <f t="shared" si="82"/>
        <v/>
      </c>
      <c r="N148" s="14" t="str">
        <f t="shared" si="83"/>
        <v/>
      </c>
      <c r="O148" s="14" t="s">
        <v>11</v>
      </c>
      <c r="P148" s="14" t="s">
        <v>11</v>
      </c>
      <c r="Q148" s="14" t="s">
        <v>11</v>
      </c>
      <c r="R148" s="14" t="s">
        <v>13</v>
      </c>
      <c r="S148" s="14" t="s">
        <v>11</v>
      </c>
      <c r="T148" s="14" t="s">
        <v>11</v>
      </c>
      <c r="U148" s="14" t="s">
        <v>11</v>
      </c>
      <c r="V148" s="14" t="s">
        <v>11</v>
      </c>
      <c r="W148" s="14" t="s">
        <v>11</v>
      </c>
      <c r="X148" s="14" t="s">
        <v>11</v>
      </c>
      <c r="Y148" s="14" t="str">
        <f t="shared" si="89"/>
        <v/>
      </c>
      <c r="Z148" s="14" t="str">
        <f t="shared" si="90"/>
        <v/>
      </c>
      <c r="AA148" s="15">
        <f t="shared" si="13"/>
        <v>0</v>
      </c>
      <c r="AB148" s="14" t="s">
        <v>11</v>
      </c>
      <c r="AC148" s="14" t="s">
        <v>11</v>
      </c>
      <c r="AD148" s="14" t="s">
        <v>11</v>
      </c>
      <c r="AE148" s="14" t="s">
        <v>11</v>
      </c>
      <c r="AF148" s="14" t="s">
        <v>13</v>
      </c>
      <c r="AG148" s="14" t="s">
        <v>11</v>
      </c>
      <c r="AH148" s="14" t="s">
        <v>11</v>
      </c>
      <c r="AI148" s="14" t="s">
        <v>11</v>
      </c>
      <c r="AJ148" s="14" t="s">
        <v>11</v>
      </c>
      <c r="AK148" s="14" t="s">
        <v>11</v>
      </c>
      <c r="AL148" s="14" t="str">
        <f t="shared" si="91"/>
        <v>T</v>
      </c>
      <c r="AM148" s="14" t="str">
        <f t="shared" si="92"/>
        <v>T</v>
      </c>
      <c r="AN148" s="14" t="str">
        <f t="shared" si="93"/>
        <v/>
      </c>
      <c r="AO148" s="14" t="str">
        <f t="shared" si="94"/>
        <v/>
      </c>
      <c r="AP148" s="14" t="str">
        <f t="shared" si="95"/>
        <v/>
      </c>
      <c r="AQ148" s="14" t="str">
        <f t="shared" si="97"/>
        <v/>
      </c>
      <c r="AR148" s="15">
        <f t="shared" si="18"/>
        <v>0</v>
      </c>
      <c r="AT148" s="17">
        <f t="shared" si="96"/>
        <v>0</v>
      </c>
    </row>
    <row r="149" spans="2:46" x14ac:dyDescent="0.2">
      <c r="B149" s="16"/>
      <c r="C149" s="15" t="s">
        <v>53</v>
      </c>
      <c r="D149" s="30" t="str">
        <f t="shared" si="88"/>
        <v/>
      </c>
      <c r="E149" s="14" t="str">
        <f t="shared" si="74"/>
        <v/>
      </c>
      <c r="F149" s="14" t="str">
        <f t="shared" si="75"/>
        <v/>
      </c>
      <c r="G149" s="14" t="str">
        <f t="shared" si="76"/>
        <v/>
      </c>
      <c r="H149" s="14" t="str">
        <f t="shared" si="77"/>
        <v/>
      </c>
      <c r="I149" s="14" t="str">
        <f t="shared" si="78"/>
        <v/>
      </c>
      <c r="J149" s="14" t="str">
        <f t="shared" si="79"/>
        <v/>
      </c>
      <c r="K149" s="14" t="str">
        <f t="shared" si="80"/>
        <v/>
      </c>
      <c r="L149" s="14" t="str">
        <f t="shared" si="81"/>
        <v/>
      </c>
      <c r="M149" s="14" t="str">
        <f t="shared" si="82"/>
        <v/>
      </c>
      <c r="N149" s="14" t="str">
        <f t="shared" si="83"/>
        <v/>
      </c>
      <c r="O149" s="14" t="s">
        <v>11</v>
      </c>
      <c r="P149" s="14" t="s">
        <v>11</v>
      </c>
      <c r="Q149" s="14" t="s">
        <v>11</v>
      </c>
      <c r="R149" s="14" t="s">
        <v>13</v>
      </c>
      <c r="S149" s="14" t="s">
        <v>11</v>
      </c>
      <c r="T149" s="14" t="s">
        <v>11</v>
      </c>
      <c r="U149" s="14" t="s">
        <v>11</v>
      </c>
      <c r="V149" s="14" t="s">
        <v>11</v>
      </c>
      <c r="W149" s="14" t="s">
        <v>11</v>
      </c>
      <c r="X149" s="14" t="s">
        <v>11</v>
      </c>
      <c r="Y149" s="14" t="str">
        <f t="shared" si="89"/>
        <v/>
      </c>
      <c r="Z149" s="14" t="str">
        <f t="shared" si="90"/>
        <v/>
      </c>
      <c r="AA149" s="15">
        <f t="shared" si="13"/>
        <v>0</v>
      </c>
      <c r="AB149" s="14" t="s">
        <v>11</v>
      </c>
      <c r="AC149" s="14" t="s">
        <v>11</v>
      </c>
      <c r="AD149" s="14" t="s">
        <v>11</v>
      </c>
      <c r="AE149" s="14" t="s">
        <v>11</v>
      </c>
      <c r="AF149" s="14" t="s">
        <v>13</v>
      </c>
      <c r="AG149" s="14" t="s">
        <v>11</v>
      </c>
      <c r="AH149" s="14" t="s">
        <v>11</v>
      </c>
      <c r="AI149" s="14" t="s">
        <v>11</v>
      </c>
      <c r="AJ149" s="14" t="s">
        <v>11</v>
      </c>
      <c r="AK149" s="14" t="s">
        <v>11</v>
      </c>
      <c r="AL149" s="14" t="str">
        <f t="shared" si="91"/>
        <v>T</v>
      </c>
      <c r="AM149" s="14" t="str">
        <f t="shared" si="92"/>
        <v>T</v>
      </c>
      <c r="AN149" s="14" t="str">
        <f t="shared" si="93"/>
        <v/>
      </c>
      <c r="AO149" s="14" t="str">
        <f t="shared" si="94"/>
        <v/>
      </c>
      <c r="AP149" s="14" t="str">
        <f t="shared" si="95"/>
        <v/>
      </c>
      <c r="AQ149" s="14" t="str">
        <f t="shared" si="97"/>
        <v/>
      </c>
      <c r="AR149" s="15">
        <f t="shared" si="18"/>
        <v>0</v>
      </c>
      <c r="AT149" s="17">
        <f t="shared" si="96"/>
        <v>0</v>
      </c>
    </row>
    <row r="150" spans="2:46" x14ac:dyDescent="0.2">
      <c r="B150" s="16"/>
      <c r="C150" s="15" t="s">
        <v>53</v>
      </c>
      <c r="D150" s="30" t="str">
        <f t="shared" si="88"/>
        <v/>
      </c>
      <c r="E150" s="14" t="str">
        <f t="shared" si="74"/>
        <v/>
      </c>
      <c r="F150" s="14" t="str">
        <f t="shared" si="75"/>
        <v/>
      </c>
      <c r="G150" s="14" t="str">
        <f t="shared" si="76"/>
        <v/>
      </c>
      <c r="H150" s="14" t="str">
        <f t="shared" si="77"/>
        <v/>
      </c>
      <c r="I150" s="14" t="str">
        <f t="shared" si="78"/>
        <v/>
      </c>
      <c r="J150" s="14" t="str">
        <f t="shared" si="79"/>
        <v/>
      </c>
      <c r="K150" s="14" t="str">
        <f t="shared" si="80"/>
        <v/>
      </c>
      <c r="L150" s="14" t="str">
        <f t="shared" si="81"/>
        <v/>
      </c>
      <c r="M150" s="14" t="str">
        <f t="shared" si="82"/>
        <v/>
      </c>
      <c r="N150" s="14" t="str">
        <f t="shared" si="83"/>
        <v/>
      </c>
      <c r="O150" s="14" t="s">
        <v>11</v>
      </c>
      <c r="P150" s="14" t="s">
        <v>11</v>
      </c>
      <c r="Q150" s="14" t="s">
        <v>11</v>
      </c>
      <c r="R150" s="14" t="s">
        <v>13</v>
      </c>
      <c r="S150" s="14" t="s">
        <v>11</v>
      </c>
      <c r="T150" s="14" t="s">
        <v>11</v>
      </c>
      <c r="U150" s="14" t="s">
        <v>11</v>
      </c>
      <c r="V150" s="14" t="s">
        <v>11</v>
      </c>
      <c r="W150" s="14" t="s">
        <v>11</v>
      </c>
      <c r="X150" s="14" t="s">
        <v>11</v>
      </c>
      <c r="Y150" s="14" t="str">
        <f t="shared" si="89"/>
        <v/>
      </c>
      <c r="Z150" s="14" t="str">
        <f t="shared" si="90"/>
        <v/>
      </c>
      <c r="AA150" s="15">
        <f t="shared" si="13"/>
        <v>0</v>
      </c>
      <c r="AB150" s="14" t="s">
        <v>11</v>
      </c>
      <c r="AC150" s="14" t="s">
        <v>11</v>
      </c>
      <c r="AD150" s="14" t="s">
        <v>11</v>
      </c>
      <c r="AE150" s="14" t="s">
        <v>11</v>
      </c>
      <c r="AF150" s="14" t="s">
        <v>13</v>
      </c>
      <c r="AG150" s="14" t="s">
        <v>11</v>
      </c>
      <c r="AH150" s="14" t="s">
        <v>11</v>
      </c>
      <c r="AI150" s="14" t="s">
        <v>11</v>
      </c>
      <c r="AJ150" s="14" t="s">
        <v>11</v>
      </c>
      <c r="AK150" s="14" t="s">
        <v>11</v>
      </c>
      <c r="AL150" s="14" t="str">
        <f t="shared" si="91"/>
        <v>T</v>
      </c>
      <c r="AM150" s="14" t="str">
        <f t="shared" si="92"/>
        <v>T</v>
      </c>
      <c r="AN150" s="14" t="str">
        <f t="shared" si="93"/>
        <v/>
      </c>
      <c r="AO150" s="14" t="str">
        <f t="shared" si="94"/>
        <v/>
      </c>
      <c r="AP150" s="14" t="str">
        <f t="shared" si="95"/>
        <v/>
      </c>
      <c r="AQ150" s="14" t="str">
        <f t="shared" si="97"/>
        <v/>
      </c>
      <c r="AR150" s="15">
        <f t="shared" si="18"/>
        <v>0</v>
      </c>
      <c r="AT150" s="17">
        <f t="shared" si="96"/>
        <v>0</v>
      </c>
    </row>
    <row r="151" spans="2:46" x14ac:dyDescent="0.2">
      <c r="B151" s="16"/>
      <c r="C151" s="15" t="s">
        <v>53</v>
      </c>
      <c r="D151" s="30" t="str">
        <f t="shared" si="88"/>
        <v/>
      </c>
      <c r="E151" s="14" t="str">
        <f t="shared" si="74"/>
        <v/>
      </c>
      <c r="F151" s="14" t="str">
        <f t="shared" si="75"/>
        <v/>
      </c>
      <c r="G151" s="14" t="str">
        <f t="shared" si="76"/>
        <v/>
      </c>
      <c r="H151" s="14" t="str">
        <f t="shared" si="77"/>
        <v/>
      </c>
      <c r="I151" s="14" t="str">
        <f t="shared" si="78"/>
        <v/>
      </c>
      <c r="J151" s="14" t="str">
        <f t="shared" si="79"/>
        <v/>
      </c>
      <c r="K151" s="14" t="str">
        <f t="shared" si="80"/>
        <v/>
      </c>
      <c r="L151" s="14" t="str">
        <f t="shared" si="81"/>
        <v/>
      </c>
      <c r="M151" s="14" t="str">
        <f t="shared" si="82"/>
        <v/>
      </c>
      <c r="N151" s="14" t="str">
        <f t="shared" si="83"/>
        <v/>
      </c>
      <c r="O151" s="14" t="s">
        <v>11</v>
      </c>
      <c r="P151" s="14" t="s">
        <v>11</v>
      </c>
      <c r="Q151" s="14" t="s">
        <v>11</v>
      </c>
      <c r="R151" s="14" t="s">
        <v>13</v>
      </c>
      <c r="S151" s="14" t="s">
        <v>11</v>
      </c>
      <c r="T151" s="14" t="s">
        <v>11</v>
      </c>
      <c r="U151" s="14" t="s">
        <v>11</v>
      </c>
      <c r="V151" s="14" t="s">
        <v>11</v>
      </c>
      <c r="W151" s="14" t="s">
        <v>11</v>
      </c>
      <c r="X151" s="14" t="s">
        <v>11</v>
      </c>
      <c r="Y151" s="14" t="str">
        <f t="shared" si="89"/>
        <v/>
      </c>
      <c r="Z151" s="14" t="str">
        <f t="shared" si="90"/>
        <v/>
      </c>
      <c r="AA151" s="15">
        <f t="shared" si="13"/>
        <v>0</v>
      </c>
      <c r="AB151" s="14" t="s">
        <v>11</v>
      </c>
      <c r="AC151" s="14" t="s">
        <v>11</v>
      </c>
      <c r="AD151" s="14" t="s">
        <v>11</v>
      </c>
      <c r="AE151" s="14" t="s">
        <v>11</v>
      </c>
      <c r="AF151" s="14" t="s">
        <v>13</v>
      </c>
      <c r="AG151" s="14" t="s">
        <v>11</v>
      </c>
      <c r="AH151" s="14" t="s">
        <v>11</v>
      </c>
      <c r="AI151" s="14" t="s">
        <v>11</v>
      </c>
      <c r="AJ151" s="14" t="s">
        <v>11</v>
      </c>
      <c r="AK151" s="14" t="s">
        <v>11</v>
      </c>
      <c r="AL151" s="14" t="str">
        <f t="shared" si="91"/>
        <v>T</v>
      </c>
      <c r="AM151" s="14" t="str">
        <f t="shared" si="92"/>
        <v>T</v>
      </c>
      <c r="AN151" s="14" t="str">
        <f t="shared" si="93"/>
        <v/>
      </c>
      <c r="AO151" s="14" t="str">
        <f t="shared" si="94"/>
        <v/>
      </c>
      <c r="AP151" s="14" t="str">
        <f t="shared" si="95"/>
        <v/>
      </c>
      <c r="AQ151" s="14" t="str">
        <f t="shared" si="97"/>
        <v/>
      </c>
      <c r="AR151" s="15">
        <f t="shared" si="18"/>
        <v>0</v>
      </c>
      <c r="AT151" s="17">
        <f t="shared" si="96"/>
        <v>0</v>
      </c>
    </row>
    <row r="152" spans="2:46" x14ac:dyDescent="0.2">
      <c r="B152" s="16"/>
      <c r="C152" s="15" t="s">
        <v>53</v>
      </c>
      <c r="D152" s="30" t="str">
        <f t="shared" si="88"/>
        <v/>
      </c>
      <c r="E152" s="14" t="str">
        <f t="shared" si="74"/>
        <v/>
      </c>
      <c r="F152" s="14" t="str">
        <f t="shared" si="75"/>
        <v/>
      </c>
      <c r="G152" s="14" t="str">
        <f t="shared" si="76"/>
        <v/>
      </c>
      <c r="H152" s="14" t="str">
        <f t="shared" si="77"/>
        <v/>
      </c>
      <c r="I152" s="14" t="str">
        <f t="shared" si="78"/>
        <v/>
      </c>
      <c r="J152" s="14" t="str">
        <f t="shared" si="79"/>
        <v/>
      </c>
      <c r="K152" s="14" t="str">
        <f t="shared" si="80"/>
        <v/>
      </c>
      <c r="L152" s="14" t="str">
        <f t="shared" si="81"/>
        <v/>
      </c>
      <c r="M152" s="14" t="str">
        <f t="shared" si="82"/>
        <v/>
      </c>
      <c r="N152" s="14" t="str">
        <f t="shared" si="83"/>
        <v/>
      </c>
      <c r="O152" s="14" t="s">
        <v>11</v>
      </c>
      <c r="P152" s="14" t="s">
        <v>11</v>
      </c>
      <c r="Q152" s="14" t="s">
        <v>11</v>
      </c>
      <c r="R152" s="14" t="s">
        <v>13</v>
      </c>
      <c r="S152" s="14" t="s">
        <v>11</v>
      </c>
      <c r="T152" s="14" t="s">
        <v>11</v>
      </c>
      <c r="U152" s="14" t="s">
        <v>11</v>
      </c>
      <c r="V152" s="14" t="s">
        <v>11</v>
      </c>
      <c r="W152" s="14" t="s">
        <v>11</v>
      </c>
      <c r="X152" s="14" t="s">
        <v>11</v>
      </c>
      <c r="Y152" s="14" t="str">
        <f t="shared" si="89"/>
        <v/>
      </c>
      <c r="Z152" s="14" t="str">
        <f t="shared" si="90"/>
        <v/>
      </c>
      <c r="AA152" s="15">
        <f t="shared" si="13"/>
        <v>0</v>
      </c>
      <c r="AB152" s="14" t="s">
        <v>11</v>
      </c>
      <c r="AC152" s="14" t="s">
        <v>11</v>
      </c>
      <c r="AD152" s="14" t="s">
        <v>11</v>
      </c>
      <c r="AE152" s="14" t="s">
        <v>11</v>
      </c>
      <c r="AF152" s="14" t="s">
        <v>13</v>
      </c>
      <c r="AG152" s="14" t="s">
        <v>11</v>
      </c>
      <c r="AH152" s="14" t="s">
        <v>11</v>
      </c>
      <c r="AI152" s="14" t="s">
        <v>11</v>
      </c>
      <c r="AJ152" s="14" t="s">
        <v>11</v>
      </c>
      <c r="AK152" s="14" t="s">
        <v>11</v>
      </c>
      <c r="AL152" s="14" t="str">
        <f t="shared" si="91"/>
        <v>T</v>
      </c>
      <c r="AM152" s="14" t="str">
        <f t="shared" si="92"/>
        <v>T</v>
      </c>
      <c r="AN152" s="14" t="str">
        <f t="shared" si="93"/>
        <v/>
      </c>
      <c r="AO152" s="14" t="str">
        <f t="shared" si="94"/>
        <v/>
      </c>
      <c r="AP152" s="14" t="str">
        <f t="shared" si="95"/>
        <v/>
      </c>
      <c r="AQ152" s="14" t="str">
        <f t="shared" si="97"/>
        <v/>
      </c>
      <c r="AR152" s="15">
        <f t="shared" si="18"/>
        <v>0</v>
      </c>
      <c r="AT152" s="17">
        <f t="shared" si="96"/>
        <v>0</v>
      </c>
    </row>
    <row r="153" spans="2:46" x14ac:dyDescent="0.2">
      <c r="B153" s="16"/>
      <c r="C153" s="15" t="s">
        <v>53</v>
      </c>
      <c r="D153" s="30" t="str">
        <f t="shared" si="88"/>
        <v/>
      </c>
      <c r="E153" s="14" t="str">
        <f t="shared" si="74"/>
        <v/>
      </c>
      <c r="F153" s="14" t="str">
        <f t="shared" si="75"/>
        <v/>
      </c>
      <c r="G153" s="14" t="str">
        <f t="shared" si="76"/>
        <v/>
      </c>
      <c r="H153" s="14" t="str">
        <f t="shared" si="77"/>
        <v/>
      </c>
      <c r="I153" s="14" t="str">
        <f t="shared" si="78"/>
        <v/>
      </c>
      <c r="J153" s="14" t="str">
        <f t="shared" si="79"/>
        <v/>
      </c>
      <c r="K153" s="14" t="str">
        <f t="shared" si="80"/>
        <v/>
      </c>
      <c r="L153" s="14" t="str">
        <f t="shared" si="81"/>
        <v/>
      </c>
      <c r="M153" s="14" t="str">
        <f t="shared" si="82"/>
        <v/>
      </c>
      <c r="N153" s="14" t="str">
        <f t="shared" si="83"/>
        <v/>
      </c>
      <c r="O153" s="14" t="s">
        <v>11</v>
      </c>
      <c r="P153" s="14" t="s">
        <v>11</v>
      </c>
      <c r="Q153" s="14" t="s">
        <v>11</v>
      </c>
      <c r="R153" s="14" t="s">
        <v>13</v>
      </c>
      <c r="S153" s="14" t="s">
        <v>11</v>
      </c>
      <c r="T153" s="14" t="s">
        <v>11</v>
      </c>
      <c r="U153" s="14" t="s">
        <v>11</v>
      </c>
      <c r="V153" s="14" t="s">
        <v>11</v>
      </c>
      <c r="W153" s="14" t="s">
        <v>11</v>
      </c>
      <c r="X153" s="14" t="s">
        <v>11</v>
      </c>
      <c r="Y153" s="14" t="str">
        <f t="shared" si="89"/>
        <v/>
      </c>
      <c r="Z153" s="14" t="str">
        <f t="shared" si="90"/>
        <v/>
      </c>
      <c r="AA153" s="15">
        <f t="shared" si="13"/>
        <v>0</v>
      </c>
      <c r="AB153" s="14" t="s">
        <v>11</v>
      </c>
      <c r="AC153" s="14" t="s">
        <v>11</v>
      </c>
      <c r="AD153" s="14" t="s">
        <v>11</v>
      </c>
      <c r="AE153" s="14" t="s">
        <v>11</v>
      </c>
      <c r="AF153" s="14" t="s">
        <v>13</v>
      </c>
      <c r="AG153" s="14" t="s">
        <v>11</v>
      </c>
      <c r="AH153" s="14" t="s">
        <v>11</v>
      </c>
      <c r="AI153" s="14" t="s">
        <v>11</v>
      </c>
      <c r="AJ153" s="14" t="s">
        <v>11</v>
      </c>
      <c r="AK153" s="14" t="s">
        <v>11</v>
      </c>
      <c r="AL153" s="14" t="str">
        <f t="shared" si="91"/>
        <v>T</v>
      </c>
      <c r="AM153" s="14" t="str">
        <f t="shared" si="92"/>
        <v>T</v>
      </c>
      <c r="AN153" s="14" t="str">
        <f t="shared" si="93"/>
        <v/>
      </c>
      <c r="AO153" s="14" t="str">
        <f t="shared" si="94"/>
        <v/>
      </c>
      <c r="AP153" s="14" t="str">
        <f t="shared" si="95"/>
        <v/>
      </c>
      <c r="AQ153" s="14" t="str">
        <f t="shared" si="97"/>
        <v/>
      </c>
      <c r="AR153" s="15">
        <f t="shared" si="18"/>
        <v>0</v>
      </c>
      <c r="AT153" s="17">
        <f t="shared" si="96"/>
        <v>0</v>
      </c>
    </row>
    <row r="154" spans="2:46" x14ac:dyDescent="0.2">
      <c r="B154" s="16"/>
      <c r="C154" s="15" t="s">
        <v>53</v>
      </c>
      <c r="D154" s="30" t="str">
        <f t="shared" si="88"/>
        <v/>
      </c>
      <c r="E154" s="14" t="str">
        <f t="shared" si="74"/>
        <v/>
      </c>
      <c r="F154" s="14" t="str">
        <f t="shared" si="75"/>
        <v/>
      </c>
      <c r="G154" s="14" t="str">
        <f t="shared" si="76"/>
        <v/>
      </c>
      <c r="H154" s="14" t="str">
        <f t="shared" si="77"/>
        <v/>
      </c>
      <c r="I154" s="14" t="str">
        <f t="shared" si="78"/>
        <v/>
      </c>
      <c r="J154" s="14" t="str">
        <f t="shared" si="79"/>
        <v/>
      </c>
      <c r="K154" s="14" t="str">
        <f t="shared" si="80"/>
        <v/>
      </c>
      <c r="L154" s="14" t="str">
        <f t="shared" si="81"/>
        <v/>
      </c>
      <c r="M154" s="14" t="str">
        <f t="shared" si="82"/>
        <v/>
      </c>
      <c r="N154" s="14" t="str">
        <f t="shared" si="83"/>
        <v/>
      </c>
      <c r="O154" s="14" t="s">
        <v>11</v>
      </c>
      <c r="P154" s="14" t="s">
        <v>11</v>
      </c>
      <c r="Q154" s="14" t="s">
        <v>11</v>
      </c>
      <c r="R154" s="14" t="s">
        <v>13</v>
      </c>
      <c r="S154" s="14" t="s">
        <v>11</v>
      </c>
      <c r="T154" s="14" t="s">
        <v>11</v>
      </c>
      <c r="U154" s="14" t="s">
        <v>11</v>
      </c>
      <c r="V154" s="14" t="s">
        <v>11</v>
      </c>
      <c r="W154" s="14" t="s">
        <v>11</v>
      </c>
      <c r="X154" s="14" t="s">
        <v>11</v>
      </c>
      <c r="Y154" s="14" t="str">
        <f t="shared" si="89"/>
        <v/>
      </c>
      <c r="Z154" s="14" t="str">
        <f t="shared" si="90"/>
        <v/>
      </c>
      <c r="AA154" s="15">
        <f t="shared" si="13"/>
        <v>0</v>
      </c>
      <c r="AB154" s="14" t="s">
        <v>11</v>
      </c>
      <c r="AC154" s="14" t="s">
        <v>11</v>
      </c>
      <c r="AD154" s="14" t="s">
        <v>11</v>
      </c>
      <c r="AE154" s="14" t="s">
        <v>11</v>
      </c>
      <c r="AF154" s="14" t="s">
        <v>13</v>
      </c>
      <c r="AG154" s="14" t="s">
        <v>11</v>
      </c>
      <c r="AH154" s="14" t="s">
        <v>11</v>
      </c>
      <c r="AI154" s="14" t="s">
        <v>11</v>
      </c>
      <c r="AJ154" s="14" t="s">
        <v>11</v>
      </c>
      <c r="AK154" s="14" t="s">
        <v>11</v>
      </c>
      <c r="AL154" s="14" t="str">
        <f t="shared" si="91"/>
        <v>T</v>
      </c>
      <c r="AM154" s="14" t="str">
        <f t="shared" si="92"/>
        <v>T</v>
      </c>
      <c r="AN154" s="14" t="str">
        <f t="shared" si="93"/>
        <v/>
      </c>
      <c r="AO154" s="14" t="str">
        <f t="shared" si="94"/>
        <v/>
      </c>
      <c r="AP154" s="14" t="str">
        <f t="shared" si="95"/>
        <v/>
      </c>
      <c r="AQ154" s="14" t="str">
        <f t="shared" si="97"/>
        <v/>
      </c>
      <c r="AR154" s="15">
        <f t="shared" si="18"/>
        <v>0</v>
      </c>
      <c r="AT154" s="17">
        <f t="shared" si="96"/>
        <v>0</v>
      </c>
    </row>
    <row r="155" spans="2:46" x14ac:dyDescent="0.2">
      <c r="B155" s="16"/>
      <c r="C155" s="15" t="s">
        <v>53</v>
      </c>
      <c r="D155" s="30" t="str">
        <f t="shared" si="88"/>
        <v/>
      </c>
      <c r="E155" s="14" t="str">
        <f t="shared" si="74"/>
        <v/>
      </c>
      <c r="F155" s="14" t="str">
        <f t="shared" si="75"/>
        <v/>
      </c>
      <c r="G155" s="14" t="str">
        <f t="shared" si="76"/>
        <v/>
      </c>
      <c r="H155" s="14" t="str">
        <f t="shared" si="77"/>
        <v/>
      </c>
      <c r="I155" s="14" t="str">
        <f t="shared" si="78"/>
        <v/>
      </c>
      <c r="J155" s="14" t="str">
        <f t="shared" si="79"/>
        <v/>
      </c>
      <c r="K155" s="14" t="str">
        <f t="shared" si="80"/>
        <v/>
      </c>
      <c r="L155" s="14" t="str">
        <f t="shared" si="81"/>
        <v/>
      </c>
      <c r="M155" s="14" t="str">
        <f t="shared" si="82"/>
        <v/>
      </c>
      <c r="N155" s="14" t="str">
        <f t="shared" si="83"/>
        <v/>
      </c>
      <c r="O155" s="14" t="s">
        <v>11</v>
      </c>
      <c r="P155" s="14" t="s">
        <v>11</v>
      </c>
      <c r="Q155" s="14" t="s">
        <v>11</v>
      </c>
      <c r="R155" s="14" t="s">
        <v>13</v>
      </c>
      <c r="S155" s="14" t="s">
        <v>11</v>
      </c>
      <c r="T155" s="14" t="s">
        <v>11</v>
      </c>
      <c r="U155" s="14" t="s">
        <v>11</v>
      </c>
      <c r="V155" s="14" t="s">
        <v>11</v>
      </c>
      <c r="W155" s="14" t="s">
        <v>11</v>
      </c>
      <c r="X155" s="14" t="s">
        <v>11</v>
      </c>
      <c r="Y155" s="14" t="str">
        <f t="shared" si="89"/>
        <v/>
      </c>
      <c r="Z155" s="14" t="str">
        <f t="shared" si="90"/>
        <v/>
      </c>
      <c r="AA155" s="15">
        <f t="shared" si="13"/>
        <v>0</v>
      </c>
      <c r="AB155" s="14" t="s">
        <v>11</v>
      </c>
      <c r="AC155" s="14" t="s">
        <v>11</v>
      </c>
      <c r="AD155" s="14" t="s">
        <v>11</v>
      </c>
      <c r="AE155" s="14" t="s">
        <v>11</v>
      </c>
      <c r="AF155" s="14" t="s">
        <v>13</v>
      </c>
      <c r="AG155" s="14" t="s">
        <v>11</v>
      </c>
      <c r="AH155" s="14" t="s">
        <v>11</v>
      </c>
      <c r="AI155" s="14" t="s">
        <v>11</v>
      </c>
      <c r="AJ155" s="14" t="s">
        <v>11</v>
      </c>
      <c r="AK155" s="14" t="s">
        <v>11</v>
      </c>
      <c r="AL155" s="14" t="str">
        <f t="shared" si="91"/>
        <v>T</v>
      </c>
      <c r="AM155" s="14" t="str">
        <f t="shared" si="92"/>
        <v>T</v>
      </c>
      <c r="AN155" s="14" t="str">
        <f t="shared" si="93"/>
        <v/>
      </c>
      <c r="AO155" s="14" t="str">
        <f t="shared" si="94"/>
        <v/>
      </c>
      <c r="AP155" s="14" t="str">
        <f t="shared" si="95"/>
        <v/>
      </c>
      <c r="AQ155" s="14" t="str">
        <f t="shared" si="97"/>
        <v/>
      </c>
      <c r="AR155" s="15">
        <f t="shared" si="18"/>
        <v>0</v>
      </c>
      <c r="AT155" s="17">
        <f t="shared" si="96"/>
        <v>0</v>
      </c>
    </row>
    <row r="156" spans="2:46" x14ac:dyDescent="0.2">
      <c r="B156" s="16"/>
      <c r="C156" s="15" t="s">
        <v>53</v>
      </c>
      <c r="D156" s="30" t="str">
        <f t="shared" si="88"/>
        <v/>
      </c>
      <c r="E156" s="14" t="str">
        <f t="shared" si="74"/>
        <v/>
      </c>
      <c r="F156" s="14" t="str">
        <f t="shared" si="75"/>
        <v/>
      </c>
      <c r="G156" s="14" t="str">
        <f t="shared" si="76"/>
        <v/>
      </c>
      <c r="H156" s="14" t="str">
        <f t="shared" si="77"/>
        <v/>
      </c>
      <c r="I156" s="14" t="str">
        <f t="shared" si="78"/>
        <v/>
      </c>
      <c r="J156" s="14" t="str">
        <f t="shared" si="79"/>
        <v/>
      </c>
      <c r="K156" s="14" t="str">
        <f t="shared" si="80"/>
        <v/>
      </c>
      <c r="L156" s="14" t="str">
        <f t="shared" si="81"/>
        <v/>
      </c>
      <c r="M156" s="14" t="str">
        <f t="shared" si="82"/>
        <v/>
      </c>
      <c r="N156" s="14" t="str">
        <f t="shared" si="83"/>
        <v/>
      </c>
      <c r="O156" s="14" t="s">
        <v>11</v>
      </c>
      <c r="P156" s="14" t="s">
        <v>11</v>
      </c>
      <c r="Q156" s="14" t="s">
        <v>11</v>
      </c>
      <c r="R156" s="14" t="s">
        <v>13</v>
      </c>
      <c r="S156" s="14" t="s">
        <v>11</v>
      </c>
      <c r="T156" s="14" t="s">
        <v>11</v>
      </c>
      <c r="U156" s="14" t="s">
        <v>11</v>
      </c>
      <c r="V156" s="14" t="s">
        <v>11</v>
      </c>
      <c r="W156" s="14" t="s">
        <v>11</v>
      </c>
      <c r="X156" s="14" t="s">
        <v>11</v>
      </c>
      <c r="Y156" s="14" t="str">
        <f t="shared" si="89"/>
        <v/>
      </c>
      <c r="Z156" s="14" t="str">
        <f t="shared" si="90"/>
        <v/>
      </c>
      <c r="AA156" s="15">
        <f t="shared" si="13"/>
        <v>0</v>
      </c>
      <c r="AB156" s="14" t="s">
        <v>11</v>
      </c>
      <c r="AC156" s="14" t="s">
        <v>11</v>
      </c>
      <c r="AD156" s="14" t="s">
        <v>11</v>
      </c>
      <c r="AE156" s="14" t="s">
        <v>11</v>
      </c>
      <c r="AF156" s="14" t="s">
        <v>13</v>
      </c>
      <c r="AG156" s="14" t="s">
        <v>11</v>
      </c>
      <c r="AH156" s="14" t="s">
        <v>11</v>
      </c>
      <c r="AI156" s="14" t="s">
        <v>11</v>
      </c>
      <c r="AJ156" s="14" t="s">
        <v>11</v>
      </c>
      <c r="AK156" s="14" t="s">
        <v>11</v>
      </c>
      <c r="AL156" s="14" t="str">
        <f t="shared" si="91"/>
        <v>T</v>
      </c>
      <c r="AM156" s="14" t="str">
        <f t="shared" si="92"/>
        <v>T</v>
      </c>
      <c r="AN156" s="14" t="str">
        <f t="shared" si="93"/>
        <v/>
      </c>
      <c r="AO156" s="14" t="str">
        <f t="shared" si="94"/>
        <v/>
      </c>
      <c r="AP156" s="14" t="str">
        <f t="shared" si="95"/>
        <v/>
      </c>
      <c r="AQ156" s="14" t="str">
        <f t="shared" si="97"/>
        <v/>
      </c>
      <c r="AR156" s="15">
        <f t="shared" si="18"/>
        <v>0</v>
      </c>
      <c r="AT156" s="17">
        <f t="shared" si="96"/>
        <v>0</v>
      </c>
    </row>
    <row r="157" spans="2:46" x14ac:dyDescent="0.2">
      <c r="B157" s="16"/>
      <c r="C157" s="15" t="s">
        <v>53</v>
      </c>
      <c r="D157" s="30" t="str">
        <f t="shared" si="88"/>
        <v/>
      </c>
      <c r="E157" s="14" t="str">
        <f t="shared" si="74"/>
        <v/>
      </c>
      <c r="F157" s="14" t="str">
        <f t="shared" si="75"/>
        <v/>
      </c>
      <c r="G157" s="14" t="str">
        <f t="shared" si="76"/>
        <v/>
      </c>
      <c r="H157" s="14" t="str">
        <f t="shared" si="77"/>
        <v/>
      </c>
      <c r="I157" s="14" t="str">
        <f t="shared" si="78"/>
        <v/>
      </c>
      <c r="J157" s="14" t="str">
        <f t="shared" si="79"/>
        <v/>
      </c>
      <c r="K157" s="14" t="str">
        <f t="shared" si="80"/>
        <v/>
      </c>
      <c r="L157" s="14" t="str">
        <f t="shared" si="81"/>
        <v/>
      </c>
      <c r="M157" s="14" t="str">
        <f t="shared" si="82"/>
        <v/>
      </c>
      <c r="N157" s="14" t="str">
        <f t="shared" si="83"/>
        <v/>
      </c>
      <c r="O157" s="14" t="s">
        <v>11</v>
      </c>
      <c r="P157" s="14" t="s">
        <v>11</v>
      </c>
      <c r="Q157" s="14" t="s">
        <v>11</v>
      </c>
      <c r="R157" s="14" t="s">
        <v>13</v>
      </c>
      <c r="S157" s="14" t="s">
        <v>11</v>
      </c>
      <c r="T157" s="14" t="s">
        <v>11</v>
      </c>
      <c r="U157" s="14" t="s">
        <v>11</v>
      </c>
      <c r="V157" s="14" t="s">
        <v>11</v>
      </c>
      <c r="W157" s="14" t="s">
        <v>11</v>
      </c>
      <c r="X157" s="14" t="s">
        <v>11</v>
      </c>
      <c r="Y157" s="14" t="str">
        <f t="shared" si="89"/>
        <v/>
      </c>
      <c r="Z157" s="14" t="str">
        <f t="shared" si="90"/>
        <v/>
      </c>
      <c r="AA157" s="15">
        <f t="shared" si="13"/>
        <v>0</v>
      </c>
      <c r="AB157" s="14" t="s">
        <v>11</v>
      </c>
      <c r="AC157" s="14" t="s">
        <v>11</v>
      </c>
      <c r="AD157" s="14" t="s">
        <v>11</v>
      </c>
      <c r="AE157" s="14" t="s">
        <v>11</v>
      </c>
      <c r="AF157" s="14" t="s">
        <v>13</v>
      </c>
      <c r="AG157" s="14" t="s">
        <v>11</v>
      </c>
      <c r="AH157" s="14" t="s">
        <v>11</v>
      </c>
      <c r="AI157" s="14" t="s">
        <v>11</v>
      </c>
      <c r="AJ157" s="14" t="s">
        <v>11</v>
      </c>
      <c r="AK157" s="14" t="s">
        <v>11</v>
      </c>
      <c r="AL157" s="14" t="str">
        <f t="shared" si="91"/>
        <v>T</v>
      </c>
      <c r="AM157" s="14" t="str">
        <f t="shared" si="92"/>
        <v>T</v>
      </c>
      <c r="AN157" s="14" t="str">
        <f t="shared" si="93"/>
        <v/>
      </c>
      <c r="AO157" s="14" t="str">
        <f t="shared" si="94"/>
        <v/>
      </c>
      <c r="AP157" s="14" t="str">
        <f t="shared" si="95"/>
        <v/>
      </c>
      <c r="AQ157" s="14" t="str">
        <f t="shared" si="97"/>
        <v/>
      </c>
      <c r="AR157" s="15">
        <f t="shared" si="18"/>
        <v>0</v>
      </c>
      <c r="AT157" s="17">
        <f t="shared" si="96"/>
        <v>0</v>
      </c>
    </row>
    <row r="158" spans="2:46" x14ac:dyDescent="0.2">
      <c r="B158" s="16"/>
      <c r="C158" s="15" t="s">
        <v>53</v>
      </c>
      <c r="D158" s="30" t="str">
        <f t="shared" ref="D158:D177" si="98">SuprimePreposições(SubstituirTildes(B158))</f>
        <v/>
      </c>
      <c r="E158" s="14" t="str">
        <f t="shared" si="74"/>
        <v/>
      </c>
      <c r="F158" s="14" t="str">
        <f t="shared" si="75"/>
        <v/>
      </c>
      <c r="G158" s="14" t="str">
        <f t="shared" si="76"/>
        <v/>
      </c>
      <c r="H158" s="14" t="str">
        <f t="shared" si="77"/>
        <v/>
      </c>
      <c r="I158" s="14" t="str">
        <f t="shared" si="78"/>
        <v/>
      </c>
      <c r="J158" s="14" t="str">
        <f t="shared" si="79"/>
        <v/>
      </c>
      <c r="K158" s="14" t="str">
        <f t="shared" si="80"/>
        <v/>
      </c>
      <c r="L158" s="14" t="str">
        <f t="shared" si="81"/>
        <v/>
      </c>
      <c r="M158" s="14" t="str">
        <f t="shared" si="82"/>
        <v/>
      </c>
      <c r="N158" s="14" t="str">
        <f t="shared" si="83"/>
        <v/>
      </c>
      <c r="O158" s="14" t="s">
        <v>11</v>
      </c>
      <c r="P158" s="14" t="s">
        <v>11</v>
      </c>
      <c r="Q158" s="14" t="s">
        <v>11</v>
      </c>
      <c r="R158" s="14" t="s">
        <v>13</v>
      </c>
      <c r="S158" s="14" t="s">
        <v>11</v>
      </c>
      <c r="T158" s="14" t="s">
        <v>11</v>
      </c>
      <c r="U158" s="14" t="s">
        <v>11</v>
      </c>
      <c r="V158" s="14" t="s">
        <v>11</v>
      </c>
      <c r="W158" s="14" t="s">
        <v>11</v>
      </c>
      <c r="X158" s="14" t="s">
        <v>11</v>
      </c>
      <c r="Y158" s="14" t="str">
        <f t="shared" ref="Y158:Y177" si="99">IF(C158="E",IF(O158="X",IF(E158&lt;&gt;"",IF(ISERROR(VLOOKUP(E158,ListaThesaurus,2,FALSE)),"***",E158),""),""),IF(C158="A",IF(O158="X",IF(E158&lt;&gt;"",IF(ISERROR(VLOOKUP(E158,ListaNaturezas,2,FALSE)),"***",LOWER(VLOOKUP(E158,ListaNaturezas,2,FALSE))),""),""),"***"))&amp;IF(P158="X",IF(F158&lt;&gt;"",IF(ISERROR(VLOOKUP(F158,ListaThesaurus,2,FALSE)),"***",F158),""),"")&amp;IF(Q158="X",IF(G158&lt;&gt;"",IF(ISERROR(VLOOKUP(G158,ListaThesaurus,2,FALSE)),"***",G158),""),"")&amp;IF(R158="X",IF(H158&lt;&gt;"",IF(ISERROR(VLOOKUP(H158,ListaThesaurus,2,FALSE)),"***",H158),""),"")&amp;IF(S158="X",IF(I158&lt;&gt;"",IF(ISERROR(VLOOKUP(I158,ListaThesaurus,2,FALSE)),"***",I158),""),"")</f>
        <v/>
      </c>
      <c r="Z158" s="14" t="str">
        <f t="shared" ref="Z158:Z177" si="100">IF(OR(C158="E",C158="A"),Y158&amp;IF(T158="X",IF(J158&lt;&gt;"",IF(ISERROR(VLOOKUP(J158,ListaThesaurus,2,FALSE)),"***",J158),""),"")&amp;IF(U158="X",IF(K158&lt;&gt;"",IF(ISERROR(VLOOKUP(K158,ListaThesaurus,2,FALSE)),"***",K158),""),"")&amp;IF(V158="X",IF(L158&lt;&gt;"",IF(ISERROR(VLOOKUP(L158,ListaThesaurus,2,FALSE)),"***",L158),""),"")&amp;IF(W158="X",IF(M158&lt;&gt;"",IF(ISERROR(VLOOKUP(M158,ListaThesaurus,2,FALSE)),"***",M158),""),"")&amp;IF(X158="X",IF(N158&lt;&gt;"",IF(ISERROR(VLOOKUP(N158,ListaThesaurus,2,FALSE)),"***",N158),""),""),"")</f>
        <v/>
      </c>
      <c r="AA158" s="15">
        <f t="shared" si="13"/>
        <v>0</v>
      </c>
      <c r="AB158" s="14" t="s">
        <v>11</v>
      </c>
      <c r="AC158" s="14" t="s">
        <v>11</v>
      </c>
      <c r="AD158" s="14" t="s">
        <v>11</v>
      </c>
      <c r="AE158" s="14" t="s">
        <v>11</v>
      </c>
      <c r="AF158" s="14" t="s">
        <v>13</v>
      </c>
      <c r="AG158" s="14" t="s">
        <v>11</v>
      </c>
      <c r="AH158" s="14" t="s">
        <v>11</v>
      </c>
      <c r="AI158" s="14" t="s">
        <v>11</v>
      </c>
      <c r="AJ158" s="14" t="s">
        <v>11</v>
      </c>
      <c r="AK158" s="14" t="s">
        <v>11</v>
      </c>
      <c r="AL158" s="14" t="str">
        <f t="shared" ref="AL158:AL177" si="101">"T"&amp;IF(AB158="X",IF(E158&lt;&gt;"",IF(ISERROR(VLOOKUP(E158,ListaThesaurus,2,FALSE)),"***",VLOOKUP(E158,ListaThesaurus,2,FALSE)),""),"")&amp;IF(AC158="X",IF(F158&lt;&gt;"",IF(AB158="X","_","")&amp;IF(ISERROR(VLOOKUP(F158,ListaThesaurus,2,FALSE)),"***",VLOOKUP(F158,ListaThesaurus,2,FALSE)),""),"")&amp;IF(AD158="X",IF(G158&lt;&gt;"",IF(OR(AB158="X",AC158="X"),"_","")&amp;IF(ISERROR(VLOOKUP(G158,ListaThesaurus,2,FALSE)),"***",VLOOKUP(G158,ListaThesaurus,2,FALSE)),""),"")&amp;IF(AE158="X",IF(H158&lt;&gt;"",IF(OR(AB158="X",AC158="X",AD158="X"),"_","")&amp;IF(ISERROR(VLOOKUP(H158,ListaThesaurus,2,FALSE)),"***",VLOOKUP(H158,ListaThesaurus,2,FALSE)),""),"")&amp;IF(AF158="X",IF(I158&lt;&gt;"",IF(OR(AB158="X",AC158="X",AD158="X",AE158="X"),"_","")&amp;IF(ISERROR(VLOOKUP(I158,ListaThesaurus,2,FALSE)),"***",VLOOKUP(I158,ListaThesaurus,2,FALSE)),""),"")</f>
        <v>T</v>
      </c>
      <c r="AM158" s="14" t="str">
        <f t="shared" ref="AM158:AM177" si="102">AL158&amp;IF(AG158="X",IF(J158&lt;&gt;"",IF(OR(AB158="X",AC158="X",AD158="X",AE158="X",AF158="X"),"_","")&amp;IF(ISERROR(VLOOKUP(J158,ListaThesaurus,2,FALSE)),"***",VLOOKUP(J158,ListaThesaurus,2,FALSE)),""),"")&amp;IF(AH158="X",IF(K158&lt;&gt;"",IF(OR(AB158="X",AC158="X",AD158="X",AE158="X",AF158="X",AG158="X"),"_","")&amp;IF(ISERROR(VLOOKUP(K158,ListaThesaurus,2,FALSE)),"***",VLOOKUP(K158,ListaThesaurus,2,FALSE)),""),"")&amp;IF(AI158="X",IF(L158&lt;&gt;"",IF(OR(AB158="X",AC158="X",AD158="X",AE158="X",AF158="X",AG158="X",AH158="X"),"_","")&amp;IF(ISERROR(VLOOKUP(L158,ListaThesaurus,2,FALSE)),"***",VLOOKUP(L158,ListaThesaurus,2,FALSE)),""),"")&amp;IF(AJ158="X",IF(M158&lt;&gt;"",IF(OR(AB158="X",AC158="X",AD158="X",AE158="X",AF158="X",AG158="X",AH158="X",AI158="X"),"_","")&amp;IF(ISERROR(VLOOKUP(M158,ListaThesaurus,2,FALSE)),"***",VLOOKUP(M158,ListaThesaurus,2,FALSE)),""),"")&amp;IF(AK158="X",IF(N158&lt;&gt;"",IF(OR(AB158="X",AC158="X",AD158="X",AE158="X",AF158="X",AG158="X",AH158="X",AI158="X",AJ158="X"),"_","")&amp;IF(ISERROR(VLOOKUP(N158,ListaThesaurus,2,FALSE)),"***",VLOOKUP(N158,ListaThesaurus,2,FALSE)),""),"")</f>
        <v>T</v>
      </c>
      <c r="AN158" s="14" t="str">
        <f t="shared" ref="AN158:AN177" si="103">IF(AB158="X",IF(E158&lt;&gt;"",IF(ISERROR(VLOOKUP(E158,ListaNaturezas,3,FALSE)),"***",VLOOKUP(E158,ListaNaturezas,3,FALSE)),""),"")&amp;IF(AC158="X",IF(F158&lt;&gt;"",IF(ISERROR(VLOOKUP(F158,ListaThesaurus,2,FALSE)),"***",VLOOKUP(F158,ListaThesaurus,2,FALSE)),""),"")&amp;IF(AD158="X",IF(G158&lt;&gt;"",IF(AC158="X","_","")&amp;IF(ISERROR(VLOOKUP(G158,ListaThesaurus,2,FALSE)),"***",VLOOKUP(G158,ListaThesaurus,2,FALSE)),""),"")&amp;IF(AE158="X",IF(H158&lt;&gt;"",IF(OR(AC158="X",AD158="X"),"_","")&amp;IF(ISERROR(VLOOKUP(H158,ListaThesaurus,2,FALSE)),"***",VLOOKUP(H158,ListaThesaurus,2,FALSE)),""),"")&amp;IF(AF158="X",IF(I158&lt;&gt;"",IF(OR(AC158="X",AD158="X",AE158="X"),"_","")&amp;IF(ISERROR(VLOOKUP(I158,ListaThesaurus,2,FALSE)),"***",VLOOKUP(I158,ListaThesaurus,2,FALSE)),""),"")</f>
        <v/>
      </c>
      <c r="AO158" s="14" t="str">
        <f t="shared" ref="AO158:AO177" si="104">AN158&amp;IF(AG158="X",IF(J158&lt;&gt;"",IF(OR(AC158="X",AD158="X",AE158="X",AF158="X"),"_","")&amp;IF(ISERROR(VLOOKUP(J158,ListaThesaurus,2,FALSE)),"***",VLOOKUP(J158,ListaThesaurus,2,FALSE)),""),"")&amp;IF(AH158="X",IF(K158&lt;&gt;"",IF(OR(AC158="X",AD158="X",AE158="X",AF158="X",AG158="X"),"_","")&amp;IF(ISERROR(VLOOKUP(K158,ListaThesaurus,2,FALSE)),"***",VLOOKUP(K158,ListaThesaurus,2,FALSE)),""),"")&amp;IF(AI158="X",IF(L158&lt;&gt;"",IF(OR(AC158="X",AD158="X",AE158="X",AF158="X",AG158="X",AH158="X"),"_","")&amp;IF(ISERROR(VLOOKUP(L158,ListaThesaurus,2,FALSE)),"***",VLOOKUP(L158,ListaThesaurus,2,FALSE)),""),"")&amp;IF(AJ158="X",IF(M158&lt;&gt;"",IF(OR(AC158="X",AD158="X",AE158="X",AF158="X",AG158="X",AH158="X",AI158="X"),"_","")&amp;IF(ISERROR(VLOOKUP(M158,ListaThesaurus,2,FALSE)),"***",VLOOKUP(M158,ListaThesaurus,2,FALSE)),""),"")&amp;IF(AK158="X",IF(N158&lt;&gt;"",IF(OR(AC158="X",AD158="X",AE158="X",AF158="X",AG158="X",AH158="X",AI158="X",AJ158="X"),"_","")&amp;IF(ISERROR(VLOOKUP(N158,ListaThesaurus,2,FALSE)),"***",VLOOKUP(N158,ListaThesaurus,2,FALSE)),""),"")</f>
        <v/>
      </c>
      <c r="AP158" s="14" t="str">
        <f t="shared" ref="AP158:AP177" si="105">IF(C158="A",AO158,IF(C158="E",AM158,""))</f>
        <v/>
      </c>
      <c r="AQ158" s="14" t="str">
        <f t="shared" si="97"/>
        <v/>
      </c>
      <c r="AR158" s="15">
        <f t="shared" si="18"/>
        <v>0</v>
      </c>
      <c r="AT158" s="17">
        <f t="shared" si="96"/>
        <v>0</v>
      </c>
    </row>
    <row r="159" spans="2:46" x14ac:dyDescent="0.2">
      <c r="B159" s="16"/>
      <c r="C159" s="15" t="s">
        <v>53</v>
      </c>
      <c r="D159" s="30" t="str">
        <f t="shared" si="98"/>
        <v/>
      </c>
      <c r="E159" s="14" t="str">
        <f t="shared" si="74"/>
        <v/>
      </c>
      <c r="F159" s="14" t="str">
        <f t="shared" si="75"/>
        <v/>
      </c>
      <c r="G159" s="14" t="str">
        <f t="shared" si="76"/>
        <v/>
      </c>
      <c r="H159" s="14" t="str">
        <f t="shared" si="77"/>
        <v/>
      </c>
      <c r="I159" s="14" t="str">
        <f t="shared" si="78"/>
        <v/>
      </c>
      <c r="J159" s="14" t="str">
        <f t="shared" si="79"/>
        <v/>
      </c>
      <c r="K159" s="14" t="str">
        <f t="shared" si="80"/>
        <v/>
      </c>
      <c r="L159" s="14" t="str">
        <f t="shared" si="81"/>
        <v/>
      </c>
      <c r="M159" s="14" t="str">
        <f t="shared" si="82"/>
        <v/>
      </c>
      <c r="N159" s="14" t="str">
        <f t="shared" si="83"/>
        <v/>
      </c>
      <c r="O159" s="14" t="s">
        <v>11</v>
      </c>
      <c r="P159" s="14" t="s">
        <v>11</v>
      </c>
      <c r="Q159" s="14" t="s">
        <v>11</v>
      </c>
      <c r="R159" s="14" t="s">
        <v>13</v>
      </c>
      <c r="S159" s="14" t="s">
        <v>11</v>
      </c>
      <c r="T159" s="14" t="s">
        <v>11</v>
      </c>
      <c r="U159" s="14" t="s">
        <v>11</v>
      </c>
      <c r="V159" s="14" t="s">
        <v>11</v>
      </c>
      <c r="W159" s="14" t="s">
        <v>11</v>
      </c>
      <c r="X159" s="14" t="s">
        <v>11</v>
      </c>
      <c r="Y159" s="14" t="str">
        <f t="shared" si="99"/>
        <v/>
      </c>
      <c r="Z159" s="14" t="str">
        <f t="shared" si="100"/>
        <v/>
      </c>
      <c r="AA159" s="15">
        <f t="shared" si="13"/>
        <v>0</v>
      </c>
      <c r="AB159" s="14" t="s">
        <v>11</v>
      </c>
      <c r="AC159" s="14" t="s">
        <v>11</v>
      </c>
      <c r="AD159" s="14" t="s">
        <v>11</v>
      </c>
      <c r="AE159" s="14" t="s">
        <v>11</v>
      </c>
      <c r="AF159" s="14" t="s">
        <v>13</v>
      </c>
      <c r="AG159" s="14" t="s">
        <v>11</v>
      </c>
      <c r="AH159" s="14" t="s">
        <v>11</v>
      </c>
      <c r="AI159" s="14" t="s">
        <v>11</v>
      </c>
      <c r="AJ159" s="14" t="s">
        <v>11</v>
      </c>
      <c r="AK159" s="14" t="s">
        <v>11</v>
      </c>
      <c r="AL159" s="14" t="str">
        <f t="shared" si="101"/>
        <v>T</v>
      </c>
      <c r="AM159" s="14" t="str">
        <f t="shared" si="102"/>
        <v>T</v>
      </c>
      <c r="AN159" s="14" t="str">
        <f t="shared" si="103"/>
        <v/>
      </c>
      <c r="AO159" s="14" t="str">
        <f t="shared" si="104"/>
        <v/>
      </c>
      <c r="AP159" s="14" t="str">
        <f t="shared" si="105"/>
        <v/>
      </c>
      <c r="AQ159" s="14" t="str">
        <f t="shared" si="97"/>
        <v/>
      </c>
      <c r="AR159" s="15">
        <f t="shared" si="18"/>
        <v>0</v>
      </c>
      <c r="AT159" s="17">
        <f t="shared" si="96"/>
        <v>0</v>
      </c>
    </row>
    <row r="160" spans="2:46" ht="12" thickBot="1" x14ac:dyDescent="0.25">
      <c r="B160" s="67"/>
      <c r="C160" s="68" t="s">
        <v>53</v>
      </c>
      <c r="D160" s="28" t="str">
        <f t="shared" si="98"/>
        <v/>
      </c>
      <c r="E160" s="18" t="str">
        <f t="shared" si="74"/>
        <v/>
      </c>
      <c r="F160" s="18" t="str">
        <f t="shared" si="75"/>
        <v/>
      </c>
      <c r="G160" s="18" t="str">
        <f t="shared" si="76"/>
        <v/>
      </c>
      <c r="H160" s="18" t="str">
        <f t="shared" si="77"/>
        <v/>
      </c>
      <c r="I160" s="18" t="str">
        <f t="shared" si="78"/>
        <v/>
      </c>
      <c r="J160" s="18" t="str">
        <f t="shared" si="79"/>
        <v/>
      </c>
      <c r="K160" s="18" t="str">
        <f t="shared" si="80"/>
        <v/>
      </c>
      <c r="L160" s="18" t="str">
        <f t="shared" si="81"/>
        <v/>
      </c>
      <c r="M160" s="18" t="str">
        <f t="shared" si="82"/>
        <v/>
      </c>
      <c r="N160" s="18" t="str">
        <f t="shared" si="83"/>
        <v/>
      </c>
      <c r="O160" s="18" t="s">
        <v>11</v>
      </c>
      <c r="P160" s="18" t="s">
        <v>11</v>
      </c>
      <c r="Q160" s="18" t="s">
        <v>11</v>
      </c>
      <c r="R160" s="18" t="s">
        <v>13</v>
      </c>
      <c r="S160" s="18" t="s">
        <v>11</v>
      </c>
      <c r="T160" s="18" t="s">
        <v>11</v>
      </c>
      <c r="U160" s="18" t="s">
        <v>11</v>
      </c>
      <c r="V160" s="18" t="s">
        <v>11</v>
      </c>
      <c r="W160" s="18" t="s">
        <v>11</v>
      </c>
      <c r="X160" s="18" t="s">
        <v>11</v>
      </c>
      <c r="Y160" s="18" t="str">
        <f t="shared" si="99"/>
        <v/>
      </c>
      <c r="Z160" s="18" t="str">
        <f t="shared" si="100"/>
        <v/>
      </c>
      <c r="AA160" s="68">
        <f t="shared" si="13"/>
        <v>0</v>
      </c>
      <c r="AB160" s="18" t="s">
        <v>11</v>
      </c>
      <c r="AC160" s="18" t="s">
        <v>11</v>
      </c>
      <c r="AD160" s="18" t="s">
        <v>11</v>
      </c>
      <c r="AE160" s="18" t="s">
        <v>11</v>
      </c>
      <c r="AF160" s="18" t="s">
        <v>13</v>
      </c>
      <c r="AG160" s="18" t="s">
        <v>11</v>
      </c>
      <c r="AH160" s="18" t="s">
        <v>11</v>
      </c>
      <c r="AI160" s="18" t="s">
        <v>11</v>
      </c>
      <c r="AJ160" s="18" t="s">
        <v>11</v>
      </c>
      <c r="AK160" s="18" t="s">
        <v>11</v>
      </c>
      <c r="AL160" s="18" t="str">
        <f t="shared" si="101"/>
        <v>T</v>
      </c>
      <c r="AM160" s="18" t="str">
        <f t="shared" si="102"/>
        <v>T</v>
      </c>
      <c r="AN160" s="18" t="str">
        <f t="shared" si="103"/>
        <v/>
      </c>
      <c r="AO160" s="18" t="str">
        <f t="shared" si="104"/>
        <v/>
      </c>
      <c r="AP160" s="18" t="str">
        <f t="shared" si="105"/>
        <v/>
      </c>
      <c r="AQ160" s="14" t="str">
        <f t="shared" si="97"/>
        <v/>
      </c>
      <c r="AR160" s="68">
        <f t="shared" si="18"/>
        <v>0</v>
      </c>
      <c r="AT160" s="17">
        <f t="shared" si="96"/>
        <v>0</v>
      </c>
    </row>
    <row r="161" spans="2:46" x14ac:dyDescent="0.2">
      <c r="B161" s="73"/>
      <c r="C161" s="74" t="s">
        <v>53</v>
      </c>
      <c r="D161" s="75" t="str">
        <f t="shared" si="98"/>
        <v/>
      </c>
      <c r="E161" s="76" t="str">
        <f t="shared" si="74"/>
        <v/>
      </c>
      <c r="F161" s="76" t="str">
        <f t="shared" si="75"/>
        <v/>
      </c>
      <c r="G161" s="76" t="str">
        <f t="shared" si="76"/>
        <v/>
      </c>
      <c r="H161" s="76" t="str">
        <f t="shared" si="77"/>
        <v/>
      </c>
      <c r="I161" s="76" t="str">
        <f t="shared" si="78"/>
        <v/>
      </c>
      <c r="J161" s="76" t="str">
        <f t="shared" si="79"/>
        <v/>
      </c>
      <c r="K161" s="76" t="str">
        <f t="shared" si="80"/>
        <v/>
      </c>
      <c r="L161" s="76" t="str">
        <f t="shared" si="81"/>
        <v/>
      </c>
      <c r="M161" s="76" t="str">
        <f t="shared" si="82"/>
        <v/>
      </c>
      <c r="N161" s="76" t="str">
        <f t="shared" si="83"/>
        <v/>
      </c>
      <c r="O161" s="76" t="s">
        <v>11</v>
      </c>
      <c r="P161" s="76" t="s">
        <v>11</v>
      </c>
      <c r="Q161" s="76" t="s">
        <v>11</v>
      </c>
      <c r="R161" s="76" t="s">
        <v>13</v>
      </c>
      <c r="S161" s="76" t="s">
        <v>11</v>
      </c>
      <c r="T161" s="76" t="s">
        <v>11</v>
      </c>
      <c r="U161" s="76" t="s">
        <v>11</v>
      </c>
      <c r="V161" s="76" t="s">
        <v>11</v>
      </c>
      <c r="W161" s="76" t="s">
        <v>11</v>
      </c>
      <c r="X161" s="76" t="s">
        <v>11</v>
      </c>
      <c r="Y161" s="76" t="str">
        <f t="shared" si="99"/>
        <v/>
      </c>
      <c r="Z161" s="76" t="str">
        <f t="shared" si="100"/>
        <v/>
      </c>
      <c r="AA161" s="74">
        <f t="shared" si="13"/>
        <v>0</v>
      </c>
      <c r="AB161" s="76" t="s">
        <v>11</v>
      </c>
      <c r="AC161" s="76" t="s">
        <v>41</v>
      </c>
      <c r="AD161" s="76" t="s">
        <v>11</v>
      </c>
      <c r="AE161" s="76" t="s">
        <v>11</v>
      </c>
      <c r="AF161" s="76" t="s">
        <v>13</v>
      </c>
      <c r="AG161" s="76" t="s">
        <v>11</v>
      </c>
      <c r="AH161" s="76" t="s">
        <v>11</v>
      </c>
      <c r="AI161" s="76" t="s">
        <v>11</v>
      </c>
      <c r="AJ161" s="76" t="s">
        <v>11</v>
      </c>
      <c r="AK161" s="76" t="s">
        <v>11</v>
      </c>
      <c r="AL161" s="76" t="str">
        <f t="shared" si="101"/>
        <v>T</v>
      </c>
      <c r="AM161" s="76" t="str">
        <f t="shared" si="102"/>
        <v>T</v>
      </c>
      <c r="AN161" s="76" t="str">
        <f t="shared" si="103"/>
        <v/>
      </c>
      <c r="AO161" s="76" t="str">
        <f t="shared" si="104"/>
        <v/>
      </c>
      <c r="AP161" s="76" t="str">
        <f t="shared" si="105"/>
        <v/>
      </c>
      <c r="AQ161" s="14" t="str">
        <f t="shared" si="97"/>
        <v/>
      </c>
      <c r="AR161" s="77">
        <f t="shared" si="18"/>
        <v>0</v>
      </c>
      <c r="AT161" s="17">
        <f t="shared" si="96"/>
        <v>0</v>
      </c>
    </row>
    <row r="162" spans="2:46" x14ac:dyDescent="0.2">
      <c r="B162" s="78"/>
      <c r="C162" s="15" t="s">
        <v>53</v>
      </c>
      <c r="D162" s="30" t="str">
        <f t="shared" si="98"/>
        <v/>
      </c>
      <c r="E162" s="14" t="str">
        <f t="shared" si="74"/>
        <v/>
      </c>
      <c r="F162" s="14" t="str">
        <f t="shared" si="75"/>
        <v/>
      </c>
      <c r="G162" s="14" t="str">
        <f t="shared" si="76"/>
        <v/>
      </c>
      <c r="H162" s="14" t="str">
        <f t="shared" si="77"/>
        <v/>
      </c>
      <c r="I162" s="14" t="str">
        <f t="shared" si="78"/>
        <v/>
      </c>
      <c r="J162" s="14" t="str">
        <f t="shared" si="79"/>
        <v/>
      </c>
      <c r="K162" s="14" t="str">
        <f t="shared" si="80"/>
        <v/>
      </c>
      <c r="L162" s="14" t="str">
        <f t="shared" si="81"/>
        <v/>
      </c>
      <c r="M162" s="14" t="str">
        <f t="shared" si="82"/>
        <v/>
      </c>
      <c r="N162" s="14" t="str">
        <f t="shared" si="83"/>
        <v/>
      </c>
      <c r="O162" s="14" t="s">
        <v>11</v>
      </c>
      <c r="P162" s="14" t="s">
        <v>11</v>
      </c>
      <c r="Q162" s="14" t="s">
        <v>11</v>
      </c>
      <c r="R162" s="14" t="s">
        <v>13</v>
      </c>
      <c r="S162" s="14" t="s">
        <v>11</v>
      </c>
      <c r="T162" s="14" t="s">
        <v>11</v>
      </c>
      <c r="U162" s="14" t="s">
        <v>11</v>
      </c>
      <c r="V162" s="14" t="s">
        <v>11</v>
      </c>
      <c r="W162" s="14" t="s">
        <v>11</v>
      </c>
      <c r="X162" s="14" t="s">
        <v>11</v>
      </c>
      <c r="Y162" s="14" t="str">
        <f t="shared" si="99"/>
        <v/>
      </c>
      <c r="Z162" s="14" t="str">
        <f t="shared" si="100"/>
        <v/>
      </c>
      <c r="AA162" s="15">
        <f t="shared" si="13"/>
        <v>0</v>
      </c>
      <c r="AB162" s="14" t="s">
        <v>11</v>
      </c>
      <c r="AC162" s="14" t="s">
        <v>11</v>
      </c>
      <c r="AD162" s="14" t="s">
        <v>11</v>
      </c>
      <c r="AE162" s="14" t="s">
        <v>11</v>
      </c>
      <c r="AF162" s="14" t="s">
        <v>13</v>
      </c>
      <c r="AG162" s="14" t="s">
        <v>11</v>
      </c>
      <c r="AH162" s="14" t="s">
        <v>11</v>
      </c>
      <c r="AI162" s="14" t="s">
        <v>11</v>
      </c>
      <c r="AJ162" s="14" t="s">
        <v>11</v>
      </c>
      <c r="AK162" s="14" t="s">
        <v>11</v>
      </c>
      <c r="AL162" s="14" t="str">
        <f t="shared" si="101"/>
        <v>T</v>
      </c>
      <c r="AM162" s="14" t="str">
        <f t="shared" si="102"/>
        <v>T</v>
      </c>
      <c r="AN162" s="14" t="str">
        <f t="shared" si="103"/>
        <v/>
      </c>
      <c r="AO162" s="14" t="str">
        <f t="shared" si="104"/>
        <v/>
      </c>
      <c r="AP162" s="14" t="str">
        <f t="shared" si="105"/>
        <v/>
      </c>
      <c r="AQ162" s="14" t="str">
        <f t="shared" si="97"/>
        <v/>
      </c>
      <c r="AR162" s="79">
        <f t="shared" si="18"/>
        <v>0</v>
      </c>
      <c r="AT162" s="17">
        <f t="shared" si="96"/>
        <v>0</v>
      </c>
    </row>
    <row r="163" spans="2:46" x14ac:dyDescent="0.2">
      <c r="B163" s="78"/>
      <c r="C163" s="15" t="s">
        <v>53</v>
      </c>
      <c r="D163" s="30" t="str">
        <f t="shared" si="98"/>
        <v/>
      </c>
      <c r="E163" s="14" t="str">
        <f t="shared" si="74"/>
        <v/>
      </c>
      <c r="F163" s="14" t="str">
        <f t="shared" si="75"/>
        <v/>
      </c>
      <c r="G163" s="14" t="str">
        <f t="shared" si="76"/>
        <v/>
      </c>
      <c r="H163" s="14" t="str">
        <f t="shared" si="77"/>
        <v/>
      </c>
      <c r="I163" s="14" t="str">
        <f t="shared" si="78"/>
        <v/>
      </c>
      <c r="J163" s="14" t="str">
        <f t="shared" si="79"/>
        <v/>
      </c>
      <c r="K163" s="14" t="str">
        <f t="shared" si="80"/>
        <v/>
      </c>
      <c r="L163" s="14" t="str">
        <f t="shared" si="81"/>
        <v/>
      </c>
      <c r="M163" s="14" t="str">
        <f t="shared" si="82"/>
        <v/>
      </c>
      <c r="N163" s="14" t="str">
        <f t="shared" si="83"/>
        <v/>
      </c>
      <c r="O163" s="14" t="s">
        <v>11</v>
      </c>
      <c r="P163" s="14" t="s">
        <v>11</v>
      </c>
      <c r="Q163" s="14" t="s">
        <v>11</v>
      </c>
      <c r="R163" s="14" t="s">
        <v>13</v>
      </c>
      <c r="S163" s="14" t="s">
        <v>11</v>
      </c>
      <c r="T163" s="14" t="s">
        <v>11</v>
      </c>
      <c r="U163" s="14" t="s">
        <v>11</v>
      </c>
      <c r="V163" s="14" t="s">
        <v>11</v>
      </c>
      <c r="W163" s="14" t="s">
        <v>11</v>
      </c>
      <c r="X163" s="14" t="s">
        <v>11</v>
      </c>
      <c r="Y163" s="14" t="str">
        <f t="shared" si="99"/>
        <v/>
      </c>
      <c r="Z163" s="14" t="str">
        <f t="shared" si="100"/>
        <v/>
      </c>
      <c r="AA163" s="15">
        <f t="shared" si="13"/>
        <v>0</v>
      </c>
      <c r="AB163" s="14" t="s">
        <v>11</v>
      </c>
      <c r="AC163" s="14" t="s">
        <v>11</v>
      </c>
      <c r="AD163" s="14" t="s">
        <v>11</v>
      </c>
      <c r="AE163" s="14" t="s">
        <v>11</v>
      </c>
      <c r="AF163" s="14" t="s">
        <v>13</v>
      </c>
      <c r="AG163" s="14" t="s">
        <v>11</v>
      </c>
      <c r="AH163" s="14" t="s">
        <v>11</v>
      </c>
      <c r="AI163" s="14" t="s">
        <v>11</v>
      </c>
      <c r="AJ163" s="14" t="s">
        <v>11</v>
      </c>
      <c r="AK163" s="14" t="s">
        <v>11</v>
      </c>
      <c r="AL163" s="14" t="str">
        <f t="shared" si="101"/>
        <v>T</v>
      </c>
      <c r="AM163" s="14" t="str">
        <f t="shared" si="102"/>
        <v>T</v>
      </c>
      <c r="AN163" s="14" t="str">
        <f t="shared" si="103"/>
        <v/>
      </c>
      <c r="AO163" s="14" t="str">
        <f t="shared" si="104"/>
        <v/>
      </c>
      <c r="AP163" s="14" t="str">
        <f t="shared" si="105"/>
        <v/>
      </c>
      <c r="AQ163" s="14" t="str">
        <f t="shared" si="97"/>
        <v/>
      </c>
      <c r="AR163" s="79">
        <f t="shared" si="18"/>
        <v>0</v>
      </c>
      <c r="AT163" s="17">
        <f t="shared" si="96"/>
        <v>0</v>
      </c>
    </row>
    <row r="164" spans="2:46" x14ac:dyDescent="0.2">
      <c r="B164" s="78"/>
      <c r="C164" s="15" t="s">
        <v>53</v>
      </c>
      <c r="D164" s="30" t="str">
        <f t="shared" si="98"/>
        <v/>
      </c>
      <c r="E164" s="14" t="str">
        <f t="shared" si="74"/>
        <v/>
      </c>
      <c r="F164" s="14" t="str">
        <f t="shared" si="75"/>
        <v/>
      </c>
      <c r="G164" s="14" t="str">
        <f t="shared" si="76"/>
        <v/>
      </c>
      <c r="H164" s="14" t="str">
        <f t="shared" si="77"/>
        <v/>
      </c>
      <c r="I164" s="14" t="str">
        <f t="shared" si="78"/>
        <v/>
      </c>
      <c r="J164" s="14" t="str">
        <f t="shared" si="79"/>
        <v/>
      </c>
      <c r="K164" s="14" t="str">
        <f t="shared" si="80"/>
        <v/>
      </c>
      <c r="L164" s="14" t="str">
        <f t="shared" si="81"/>
        <v/>
      </c>
      <c r="M164" s="14" t="str">
        <f t="shared" si="82"/>
        <v/>
      </c>
      <c r="N164" s="14" t="str">
        <f t="shared" si="83"/>
        <v/>
      </c>
      <c r="O164" s="14" t="s">
        <v>11</v>
      </c>
      <c r="P164" s="14" t="s">
        <v>11</v>
      </c>
      <c r="Q164" s="14" t="s">
        <v>11</v>
      </c>
      <c r="R164" s="14" t="s">
        <v>13</v>
      </c>
      <c r="S164" s="14" t="s">
        <v>11</v>
      </c>
      <c r="T164" s="14" t="s">
        <v>11</v>
      </c>
      <c r="U164" s="14" t="s">
        <v>11</v>
      </c>
      <c r="V164" s="14" t="s">
        <v>11</v>
      </c>
      <c r="W164" s="14" t="s">
        <v>11</v>
      </c>
      <c r="X164" s="14" t="s">
        <v>11</v>
      </c>
      <c r="Y164" s="14" t="str">
        <f t="shared" si="99"/>
        <v/>
      </c>
      <c r="Z164" s="14" t="str">
        <f t="shared" si="100"/>
        <v/>
      </c>
      <c r="AA164" s="15">
        <f t="shared" si="13"/>
        <v>0</v>
      </c>
      <c r="AB164" s="14" t="s">
        <v>11</v>
      </c>
      <c r="AC164" s="14" t="s">
        <v>11</v>
      </c>
      <c r="AD164" s="14" t="s">
        <v>11</v>
      </c>
      <c r="AE164" s="14" t="s">
        <v>11</v>
      </c>
      <c r="AF164" s="14" t="s">
        <v>13</v>
      </c>
      <c r="AG164" s="14" t="s">
        <v>11</v>
      </c>
      <c r="AH164" s="14" t="s">
        <v>11</v>
      </c>
      <c r="AI164" s="14" t="s">
        <v>11</v>
      </c>
      <c r="AJ164" s="14" t="s">
        <v>11</v>
      </c>
      <c r="AK164" s="14" t="s">
        <v>11</v>
      </c>
      <c r="AL164" s="14" t="str">
        <f t="shared" si="101"/>
        <v>T</v>
      </c>
      <c r="AM164" s="14" t="str">
        <f t="shared" si="102"/>
        <v>T</v>
      </c>
      <c r="AN164" s="14" t="str">
        <f t="shared" si="103"/>
        <v/>
      </c>
      <c r="AO164" s="14" t="str">
        <f t="shared" si="104"/>
        <v/>
      </c>
      <c r="AP164" s="14" t="str">
        <f t="shared" si="105"/>
        <v/>
      </c>
      <c r="AQ164" s="14" t="str">
        <f t="shared" si="97"/>
        <v/>
      </c>
      <c r="AR164" s="79">
        <f t="shared" si="18"/>
        <v>0</v>
      </c>
      <c r="AT164" s="17">
        <f t="shared" si="96"/>
        <v>0</v>
      </c>
    </row>
    <row r="165" spans="2:46" x14ac:dyDescent="0.2">
      <c r="B165" s="78"/>
      <c r="C165" s="15" t="s">
        <v>53</v>
      </c>
      <c r="D165" s="30" t="str">
        <f t="shared" si="98"/>
        <v/>
      </c>
      <c r="E165" s="14" t="str">
        <f t="shared" si="74"/>
        <v/>
      </c>
      <c r="F165" s="14" t="str">
        <f t="shared" si="75"/>
        <v/>
      </c>
      <c r="G165" s="14" t="str">
        <f t="shared" si="76"/>
        <v/>
      </c>
      <c r="H165" s="14" t="str">
        <f t="shared" si="77"/>
        <v/>
      </c>
      <c r="I165" s="14" t="str">
        <f t="shared" si="78"/>
        <v/>
      </c>
      <c r="J165" s="14" t="str">
        <f t="shared" si="79"/>
        <v/>
      </c>
      <c r="K165" s="14" t="str">
        <f t="shared" si="80"/>
        <v/>
      </c>
      <c r="L165" s="14" t="str">
        <f t="shared" si="81"/>
        <v/>
      </c>
      <c r="M165" s="14" t="str">
        <f t="shared" si="82"/>
        <v/>
      </c>
      <c r="N165" s="14" t="str">
        <f t="shared" si="83"/>
        <v/>
      </c>
      <c r="O165" s="14" t="s">
        <v>11</v>
      </c>
      <c r="P165" s="14" t="s">
        <v>11</v>
      </c>
      <c r="Q165" s="14" t="s">
        <v>11</v>
      </c>
      <c r="R165" s="14" t="s">
        <v>13</v>
      </c>
      <c r="S165" s="14" t="s">
        <v>11</v>
      </c>
      <c r="T165" s="14" t="s">
        <v>11</v>
      </c>
      <c r="U165" s="14" t="s">
        <v>11</v>
      </c>
      <c r="V165" s="14" t="s">
        <v>11</v>
      </c>
      <c r="W165" s="14" t="s">
        <v>11</v>
      </c>
      <c r="X165" s="14" t="s">
        <v>11</v>
      </c>
      <c r="Y165" s="14" t="str">
        <f t="shared" si="99"/>
        <v/>
      </c>
      <c r="Z165" s="14" t="str">
        <f t="shared" si="100"/>
        <v/>
      </c>
      <c r="AA165" s="15">
        <f t="shared" si="13"/>
        <v>0</v>
      </c>
      <c r="AB165" s="14" t="s">
        <v>11</v>
      </c>
      <c r="AC165" s="14" t="s">
        <v>11</v>
      </c>
      <c r="AD165" s="14" t="s">
        <v>11</v>
      </c>
      <c r="AE165" s="14" t="s">
        <v>11</v>
      </c>
      <c r="AF165" s="14" t="s">
        <v>13</v>
      </c>
      <c r="AG165" s="14" t="s">
        <v>11</v>
      </c>
      <c r="AH165" s="14" t="s">
        <v>11</v>
      </c>
      <c r="AI165" s="14" t="s">
        <v>11</v>
      </c>
      <c r="AJ165" s="14" t="s">
        <v>11</v>
      </c>
      <c r="AK165" s="14" t="s">
        <v>11</v>
      </c>
      <c r="AL165" s="14" t="str">
        <f t="shared" si="101"/>
        <v>T</v>
      </c>
      <c r="AM165" s="14" t="str">
        <f t="shared" si="102"/>
        <v>T</v>
      </c>
      <c r="AN165" s="14" t="str">
        <f t="shared" si="103"/>
        <v/>
      </c>
      <c r="AO165" s="14" t="str">
        <f t="shared" si="104"/>
        <v/>
      </c>
      <c r="AP165" s="14" t="str">
        <f t="shared" si="105"/>
        <v/>
      </c>
      <c r="AQ165" s="14" t="str">
        <f t="shared" si="97"/>
        <v/>
      </c>
      <c r="AR165" s="79">
        <f t="shared" si="18"/>
        <v>0</v>
      </c>
      <c r="AT165" s="17">
        <f t="shared" si="96"/>
        <v>0</v>
      </c>
    </row>
    <row r="166" spans="2:46" x14ac:dyDescent="0.2">
      <c r="B166" s="78"/>
      <c r="C166" s="15" t="s">
        <v>53</v>
      </c>
      <c r="D166" s="30" t="str">
        <f t="shared" si="98"/>
        <v/>
      </c>
      <c r="E166" s="14" t="str">
        <f t="shared" si="74"/>
        <v/>
      </c>
      <c r="F166" s="14" t="str">
        <f t="shared" si="75"/>
        <v/>
      </c>
      <c r="G166" s="14" t="str">
        <f t="shared" si="76"/>
        <v/>
      </c>
      <c r="H166" s="14" t="str">
        <f t="shared" si="77"/>
        <v/>
      </c>
      <c r="I166" s="14" t="str">
        <f t="shared" si="78"/>
        <v/>
      </c>
      <c r="J166" s="14" t="str">
        <f t="shared" si="79"/>
        <v/>
      </c>
      <c r="K166" s="14" t="str">
        <f t="shared" si="80"/>
        <v/>
      </c>
      <c r="L166" s="14" t="str">
        <f t="shared" si="81"/>
        <v/>
      </c>
      <c r="M166" s="14" t="str">
        <f t="shared" si="82"/>
        <v/>
      </c>
      <c r="N166" s="14" t="str">
        <f t="shared" si="83"/>
        <v/>
      </c>
      <c r="O166" s="14" t="s">
        <v>11</v>
      </c>
      <c r="P166" s="14" t="s">
        <v>11</v>
      </c>
      <c r="Q166" s="14" t="s">
        <v>11</v>
      </c>
      <c r="R166" s="14" t="s">
        <v>13</v>
      </c>
      <c r="S166" s="14" t="s">
        <v>11</v>
      </c>
      <c r="T166" s="14" t="s">
        <v>11</v>
      </c>
      <c r="U166" s="14" t="s">
        <v>11</v>
      </c>
      <c r="V166" s="14" t="s">
        <v>11</v>
      </c>
      <c r="W166" s="14" t="s">
        <v>11</v>
      </c>
      <c r="X166" s="14" t="s">
        <v>11</v>
      </c>
      <c r="Y166" s="14" t="str">
        <f t="shared" si="99"/>
        <v/>
      </c>
      <c r="Z166" s="14" t="str">
        <f t="shared" si="100"/>
        <v/>
      </c>
      <c r="AA166" s="15">
        <f t="shared" si="13"/>
        <v>0</v>
      </c>
      <c r="AB166" s="14" t="s">
        <v>11</v>
      </c>
      <c r="AC166" s="14" t="s">
        <v>11</v>
      </c>
      <c r="AD166" s="14" t="s">
        <v>11</v>
      </c>
      <c r="AE166" s="14" t="s">
        <v>11</v>
      </c>
      <c r="AF166" s="14" t="s">
        <v>13</v>
      </c>
      <c r="AG166" s="14" t="s">
        <v>11</v>
      </c>
      <c r="AH166" s="14" t="s">
        <v>11</v>
      </c>
      <c r="AI166" s="14" t="s">
        <v>11</v>
      </c>
      <c r="AJ166" s="14" t="s">
        <v>11</v>
      </c>
      <c r="AK166" s="14" t="s">
        <v>11</v>
      </c>
      <c r="AL166" s="14" t="str">
        <f t="shared" si="101"/>
        <v>T</v>
      </c>
      <c r="AM166" s="14" t="str">
        <f t="shared" si="102"/>
        <v>T</v>
      </c>
      <c r="AN166" s="14" t="str">
        <f t="shared" si="103"/>
        <v/>
      </c>
      <c r="AO166" s="14" t="str">
        <f t="shared" si="104"/>
        <v/>
      </c>
      <c r="AP166" s="14" t="str">
        <f t="shared" si="105"/>
        <v/>
      </c>
      <c r="AQ166" s="14" t="str">
        <f t="shared" si="97"/>
        <v/>
      </c>
      <c r="AR166" s="79">
        <f t="shared" si="18"/>
        <v>0</v>
      </c>
      <c r="AT166" s="17">
        <f t="shared" si="96"/>
        <v>0</v>
      </c>
    </row>
    <row r="167" spans="2:46" x14ac:dyDescent="0.2">
      <c r="B167" s="78"/>
      <c r="C167" s="15" t="s">
        <v>53</v>
      </c>
      <c r="D167" s="30" t="str">
        <f t="shared" si="98"/>
        <v/>
      </c>
      <c r="E167" s="14" t="str">
        <f t="shared" si="74"/>
        <v/>
      </c>
      <c r="F167" s="14" t="str">
        <f t="shared" si="75"/>
        <v/>
      </c>
      <c r="G167" s="14" t="str">
        <f t="shared" si="76"/>
        <v/>
      </c>
      <c r="H167" s="14" t="str">
        <f t="shared" si="77"/>
        <v/>
      </c>
      <c r="I167" s="14" t="str">
        <f t="shared" si="78"/>
        <v/>
      </c>
      <c r="J167" s="14" t="str">
        <f t="shared" si="79"/>
        <v/>
      </c>
      <c r="K167" s="14" t="str">
        <f t="shared" si="80"/>
        <v/>
      </c>
      <c r="L167" s="14" t="str">
        <f t="shared" si="81"/>
        <v/>
      </c>
      <c r="M167" s="14" t="str">
        <f t="shared" si="82"/>
        <v/>
      </c>
      <c r="N167" s="14" t="str">
        <f t="shared" si="83"/>
        <v/>
      </c>
      <c r="O167" s="14" t="s">
        <v>11</v>
      </c>
      <c r="P167" s="14" t="s">
        <v>11</v>
      </c>
      <c r="Q167" s="14" t="s">
        <v>11</v>
      </c>
      <c r="R167" s="14" t="s">
        <v>13</v>
      </c>
      <c r="S167" s="14" t="s">
        <v>11</v>
      </c>
      <c r="T167" s="14" t="s">
        <v>11</v>
      </c>
      <c r="U167" s="14" t="s">
        <v>11</v>
      </c>
      <c r="V167" s="14" t="s">
        <v>11</v>
      </c>
      <c r="W167" s="14" t="s">
        <v>11</v>
      </c>
      <c r="X167" s="14" t="s">
        <v>11</v>
      </c>
      <c r="Y167" s="14" t="str">
        <f t="shared" si="99"/>
        <v/>
      </c>
      <c r="Z167" s="14" t="str">
        <f t="shared" si="100"/>
        <v/>
      </c>
      <c r="AA167" s="15">
        <f t="shared" si="13"/>
        <v>0</v>
      </c>
      <c r="AB167" s="14" t="s">
        <v>11</v>
      </c>
      <c r="AC167" s="14" t="s">
        <v>11</v>
      </c>
      <c r="AD167" s="14" t="s">
        <v>11</v>
      </c>
      <c r="AE167" s="14" t="s">
        <v>11</v>
      </c>
      <c r="AF167" s="14" t="s">
        <v>13</v>
      </c>
      <c r="AG167" s="14" t="s">
        <v>11</v>
      </c>
      <c r="AH167" s="14" t="s">
        <v>11</v>
      </c>
      <c r="AI167" s="14" t="s">
        <v>11</v>
      </c>
      <c r="AJ167" s="14" t="s">
        <v>11</v>
      </c>
      <c r="AK167" s="14" t="s">
        <v>11</v>
      </c>
      <c r="AL167" s="14" t="str">
        <f t="shared" si="101"/>
        <v>T</v>
      </c>
      <c r="AM167" s="14" t="str">
        <f t="shared" si="102"/>
        <v>T</v>
      </c>
      <c r="AN167" s="14" t="str">
        <f t="shared" si="103"/>
        <v/>
      </c>
      <c r="AO167" s="14" t="str">
        <f t="shared" si="104"/>
        <v/>
      </c>
      <c r="AP167" s="14" t="str">
        <f t="shared" si="105"/>
        <v/>
      </c>
      <c r="AQ167" s="14" t="str">
        <f t="shared" si="97"/>
        <v/>
      </c>
      <c r="AR167" s="79">
        <f t="shared" si="18"/>
        <v>0</v>
      </c>
      <c r="AT167" s="17">
        <f t="shared" si="96"/>
        <v>0</v>
      </c>
    </row>
    <row r="168" spans="2:46" x14ac:dyDescent="0.2">
      <c r="B168" s="78"/>
      <c r="C168" s="15" t="s">
        <v>53</v>
      </c>
      <c r="D168" s="30" t="str">
        <f t="shared" si="98"/>
        <v/>
      </c>
      <c r="E168" s="14" t="str">
        <f t="shared" si="74"/>
        <v/>
      </c>
      <c r="F168" s="14" t="str">
        <f t="shared" si="75"/>
        <v/>
      </c>
      <c r="G168" s="14" t="str">
        <f t="shared" si="76"/>
        <v/>
      </c>
      <c r="H168" s="14" t="str">
        <f t="shared" si="77"/>
        <v/>
      </c>
      <c r="I168" s="14" t="str">
        <f t="shared" si="78"/>
        <v/>
      </c>
      <c r="J168" s="14" t="str">
        <f t="shared" si="79"/>
        <v/>
      </c>
      <c r="K168" s="14" t="str">
        <f t="shared" si="80"/>
        <v/>
      </c>
      <c r="L168" s="14" t="str">
        <f t="shared" si="81"/>
        <v/>
      </c>
      <c r="M168" s="14" t="str">
        <f t="shared" si="82"/>
        <v/>
      </c>
      <c r="N168" s="14" t="str">
        <f t="shared" si="83"/>
        <v/>
      </c>
      <c r="O168" s="14" t="s">
        <v>11</v>
      </c>
      <c r="P168" s="14" t="s">
        <v>11</v>
      </c>
      <c r="Q168" s="14" t="s">
        <v>11</v>
      </c>
      <c r="R168" s="14" t="s">
        <v>13</v>
      </c>
      <c r="S168" s="14" t="s">
        <v>11</v>
      </c>
      <c r="T168" s="14" t="s">
        <v>11</v>
      </c>
      <c r="U168" s="14" t="s">
        <v>11</v>
      </c>
      <c r="V168" s="14" t="s">
        <v>11</v>
      </c>
      <c r="W168" s="14" t="s">
        <v>11</v>
      </c>
      <c r="X168" s="14" t="s">
        <v>11</v>
      </c>
      <c r="Y168" s="14" t="str">
        <f t="shared" si="99"/>
        <v/>
      </c>
      <c r="Z168" s="14" t="str">
        <f t="shared" si="100"/>
        <v/>
      </c>
      <c r="AA168" s="15">
        <f t="shared" si="13"/>
        <v>0</v>
      </c>
      <c r="AB168" s="14" t="s">
        <v>11</v>
      </c>
      <c r="AC168" s="14" t="s">
        <v>11</v>
      </c>
      <c r="AD168" s="14" t="s">
        <v>11</v>
      </c>
      <c r="AE168" s="14" t="s">
        <v>11</v>
      </c>
      <c r="AF168" s="14" t="s">
        <v>13</v>
      </c>
      <c r="AG168" s="14" t="s">
        <v>11</v>
      </c>
      <c r="AH168" s="14" t="s">
        <v>11</v>
      </c>
      <c r="AI168" s="14" t="s">
        <v>11</v>
      </c>
      <c r="AJ168" s="14" t="s">
        <v>11</v>
      </c>
      <c r="AK168" s="14" t="s">
        <v>11</v>
      </c>
      <c r="AL168" s="14" t="str">
        <f t="shared" si="101"/>
        <v>T</v>
      </c>
      <c r="AM168" s="14" t="str">
        <f t="shared" si="102"/>
        <v>T</v>
      </c>
      <c r="AN168" s="14" t="str">
        <f t="shared" si="103"/>
        <v/>
      </c>
      <c r="AO168" s="14" t="str">
        <f t="shared" si="104"/>
        <v/>
      </c>
      <c r="AP168" s="14" t="str">
        <f t="shared" si="105"/>
        <v/>
      </c>
      <c r="AQ168" s="14" t="str">
        <f t="shared" si="97"/>
        <v/>
      </c>
      <c r="AR168" s="79">
        <f t="shared" si="18"/>
        <v>0</v>
      </c>
      <c r="AT168" s="17">
        <f t="shared" si="96"/>
        <v>0</v>
      </c>
    </row>
    <row r="169" spans="2:46" x14ac:dyDescent="0.2">
      <c r="B169" s="78"/>
      <c r="C169" s="15" t="s">
        <v>53</v>
      </c>
      <c r="D169" s="30" t="str">
        <f t="shared" si="98"/>
        <v/>
      </c>
      <c r="E169" s="14" t="str">
        <f t="shared" si="74"/>
        <v/>
      </c>
      <c r="F169" s="14" t="str">
        <f t="shared" si="75"/>
        <v/>
      </c>
      <c r="G169" s="14" t="str">
        <f t="shared" si="76"/>
        <v/>
      </c>
      <c r="H169" s="14" t="str">
        <f t="shared" si="77"/>
        <v/>
      </c>
      <c r="I169" s="14" t="str">
        <f t="shared" si="78"/>
        <v/>
      </c>
      <c r="J169" s="14" t="str">
        <f t="shared" si="79"/>
        <v/>
      </c>
      <c r="K169" s="14" t="str">
        <f t="shared" si="80"/>
        <v/>
      </c>
      <c r="L169" s="14" t="str">
        <f t="shared" si="81"/>
        <v/>
      </c>
      <c r="M169" s="14" t="str">
        <f t="shared" si="82"/>
        <v/>
      </c>
      <c r="N169" s="14" t="str">
        <f t="shared" si="83"/>
        <v/>
      </c>
      <c r="O169" s="14" t="s">
        <v>11</v>
      </c>
      <c r="P169" s="14" t="s">
        <v>11</v>
      </c>
      <c r="Q169" s="14" t="s">
        <v>11</v>
      </c>
      <c r="R169" s="14" t="s">
        <v>13</v>
      </c>
      <c r="S169" s="14" t="s">
        <v>11</v>
      </c>
      <c r="T169" s="14" t="s">
        <v>11</v>
      </c>
      <c r="U169" s="14" t="s">
        <v>11</v>
      </c>
      <c r="V169" s="14" t="s">
        <v>11</v>
      </c>
      <c r="W169" s="14" t="s">
        <v>11</v>
      </c>
      <c r="X169" s="14" t="s">
        <v>11</v>
      </c>
      <c r="Y169" s="14" t="str">
        <f t="shared" si="99"/>
        <v/>
      </c>
      <c r="Z169" s="14" t="str">
        <f t="shared" si="100"/>
        <v/>
      </c>
      <c r="AA169" s="15">
        <f t="shared" si="13"/>
        <v>0</v>
      </c>
      <c r="AB169" s="14" t="s">
        <v>11</v>
      </c>
      <c r="AC169" s="14" t="s">
        <v>11</v>
      </c>
      <c r="AD169" s="14" t="s">
        <v>11</v>
      </c>
      <c r="AE169" s="14" t="s">
        <v>11</v>
      </c>
      <c r="AF169" s="14" t="s">
        <v>13</v>
      </c>
      <c r="AG169" s="14" t="s">
        <v>11</v>
      </c>
      <c r="AH169" s="14" t="s">
        <v>11</v>
      </c>
      <c r="AI169" s="14" t="s">
        <v>11</v>
      </c>
      <c r="AJ169" s="14" t="s">
        <v>11</v>
      </c>
      <c r="AK169" s="14" t="s">
        <v>11</v>
      </c>
      <c r="AL169" s="14" t="str">
        <f t="shared" si="101"/>
        <v>T</v>
      </c>
      <c r="AM169" s="14" t="str">
        <f t="shared" si="102"/>
        <v>T</v>
      </c>
      <c r="AN169" s="14" t="str">
        <f t="shared" si="103"/>
        <v/>
      </c>
      <c r="AO169" s="14" t="str">
        <f t="shared" si="104"/>
        <v/>
      </c>
      <c r="AP169" s="14" t="str">
        <f t="shared" si="105"/>
        <v/>
      </c>
      <c r="AQ169" s="14" t="str">
        <f t="shared" si="97"/>
        <v/>
      </c>
      <c r="AR169" s="79">
        <f t="shared" si="18"/>
        <v>0</v>
      </c>
      <c r="AT169" s="17">
        <f t="shared" si="96"/>
        <v>0</v>
      </c>
    </row>
    <row r="170" spans="2:46" x14ac:dyDescent="0.2">
      <c r="B170" s="78"/>
      <c r="C170" s="15" t="s">
        <v>53</v>
      </c>
      <c r="D170" s="30" t="str">
        <f t="shared" si="98"/>
        <v/>
      </c>
      <c r="E170" s="14" t="str">
        <f t="shared" si="74"/>
        <v/>
      </c>
      <c r="F170" s="14" t="str">
        <f t="shared" si="75"/>
        <v/>
      </c>
      <c r="G170" s="14" t="str">
        <f t="shared" si="76"/>
        <v/>
      </c>
      <c r="H170" s="14" t="str">
        <f t="shared" si="77"/>
        <v/>
      </c>
      <c r="I170" s="14" t="str">
        <f t="shared" si="78"/>
        <v/>
      </c>
      <c r="J170" s="14" t="str">
        <f t="shared" si="79"/>
        <v/>
      </c>
      <c r="K170" s="14" t="str">
        <f t="shared" si="80"/>
        <v/>
      </c>
      <c r="L170" s="14" t="str">
        <f t="shared" si="81"/>
        <v/>
      </c>
      <c r="M170" s="14" t="str">
        <f t="shared" si="82"/>
        <v/>
      </c>
      <c r="N170" s="14" t="str">
        <f t="shared" si="83"/>
        <v/>
      </c>
      <c r="O170" s="14" t="s">
        <v>11</v>
      </c>
      <c r="P170" s="14" t="s">
        <v>11</v>
      </c>
      <c r="Q170" s="14" t="s">
        <v>11</v>
      </c>
      <c r="R170" s="14" t="s">
        <v>13</v>
      </c>
      <c r="S170" s="14" t="s">
        <v>11</v>
      </c>
      <c r="T170" s="14" t="s">
        <v>11</v>
      </c>
      <c r="U170" s="14" t="s">
        <v>11</v>
      </c>
      <c r="V170" s="14" t="s">
        <v>11</v>
      </c>
      <c r="W170" s="14" t="s">
        <v>11</v>
      </c>
      <c r="X170" s="14" t="s">
        <v>11</v>
      </c>
      <c r="Y170" s="14" t="str">
        <f t="shared" si="99"/>
        <v/>
      </c>
      <c r="Z170" s="14" t="str">
        <f t="shared" si="100"/>
        <v/>
      </c>
      <c r="AA170" s="15">
        <f t="shared" si="13"/>
        <v>0</v>
      </c>
      <c r="AB170" s="14" t="s">
        <v>11</v>
      </c>
      <c r="AC170" s="14" t="s">
        <v>11</v>
      </c>
      <c r="AD170" s="14" t="s">
        <v>11</v>
      </c>
      <c r="AE170" s="14" t="s">
        <v>11</v>
      </c>
      <c r="AF170" s="14" t="s">
        <v>13</v>
      </c>
      <c r="AG170" s="14" t="s">
        <v>11</v>
      </c>
      <c r="AH170" s="14" t="s">
        <v>11</v>
      </c>
      <c r="AI170" s="14" t="s">
        <v>11</v>
      </c>
      <c r="AJ170" s="14" t="s">
        <v>11</v>
      </c>
      <c r="AK170" s="14" t="s">
        <v>11</v>
      </c>
      <c r="AL170" s="14" t="str">
        <f t="shared" si="101"/>
        <v>T</v>
      </c>
      <c r="AM170" s="14" t="str">
        <f t="shared" si="102"/>
        <v>T</v>
      </c>
      <c r="AN170" s="14" t="str">
        <f t="shared" si="103"/>
        <v/>
      </c>
      <c r="AO170" s="14" t="str">
        <f t="shared" si="104"/>
        <v/>
      </c>
      <c r="AP170" s="14" t="str">
        <f t="shared" si="105"/>
        <v/>
      </c>
      <c r="AQ170" s="14" t="str">
        <f t="shared" si="97"/>
        <v/>
      </c>
      <c r="AR170" s="79">
        <f t="shared" si="18"/>
        <v>0</v>
      </c>
      <c r="AT170" s="17">
        <f t="shared" si="96"/>
        <v>0</v>
      </c>
    </row>
    <row r="171" spans="2:46" x14ac:dyDescent="0.2">
      <c r="B171" s="78"/>
      <c r="C171" s="15" t="s">
        <v>53</v>
      </c>
      <c r="D171" s="30" t="str">
        <f t="shared" si="98"/>
        <v/>
      </c>
      <c r="E171" s="14" t="str">
        <f t="shared" si="74"/>
        <v/>
      </c>
      <c r="F171" s="14" t="str">
        <f t="shared" si="75"/>
        <v/>
      </c>
      <c r="G171" s="14" t="str">
        <f t="shared" si="76"/>
        <v/>
      </c>
      <c r="H171" s="14" t="str">
        <f t="shared" si="77"/>
        <v/>
      </c>
      <c r="I171" s="14" t="str">
        <f t="shared" si="78"/>
        <v/>
      </c>
      <c r="J171" s="14" t="str">
        <f t="shared" si="79"/>
        <v/>
      </c>
      <c r="K171" s="14" t="str">
        <f t="shared" si="80"/>
        <v/>
      </c>
      <c r="L171" s="14" t="str">
        <f t="shared" si="81"/>
        <v/>
      </c>
      <c r="M171" s="14" t="str">
        <f t="shared" si="82"/>
        <v/>
      </c>
      <c r="N171" s="14" t="str">
        <f t="shared" si="83"/>
        <v/>
      </c>
      <c r="O171" s="14" t="s">
        <v>11</v>
      </c>
      <c r="P171" s="14" t="s">
        <v>11</v>
      </c>
      <c r="Q171" s="14" t="s">
        <v>11</v>
      </c>
      <c r="R171" s="14" t="s">
        <v>13</v>
      </c>
      <c r="S171" s="14" t="s">
        <v>11</v>
      </c>
      <c r="T171" s="14" t="s">
        <v>11</v>
      </c>
      <c r="U171" s="14" t="s">
        <v>11</v>
      </c>
      <c r="V171" s="14" t="s">
        <v>11</v>
      </c>
      <c r="W171" s="14" t="s">
        <v>11</v>
      </c>
      <c r="X171" s="14" t="s">
        <v>11</v>
      </c>
      <c r="Y171" s="14" t="str">
        <f t="shared" si="99"/>
        <v/>
      </c>
      <c r="Z171" s="14" t="str">
        <f t="shared" si="100"/>
        <v/>
      </c>
      <c r="AA171" s="15">
        <f t="shared" si="13"/>
        <v>0</v>
      </c>
      <c r="AB171" s="14" t="s">
        <v>11</v>
      </c>
      <c r="AC171" s="14" t="s">
        <v>11</v>
      </c>
      <c r="AD171" s="14" t="s">
        <v>11</v>
      </c>
      <c r="AE171" s="14" t="s">
        <v>11</v>
      </c>
      <c r="AF171" s="14" t="s">
        <v>13</v>
      </c>
      <c r="AG171" s="14" t="s">
        <v>11</v>
      </c>
      <c r="AH171" s="14" t="s">
        <v>11</v>
      </c>
      <c r="AI171" s="14" t="s">
        <v>11</v>
      </c>
      <c r="AJ171" s="14" t="s">
        <v>11</v>
      </c>
      <c r="AK171" s="14" t="s">
        <v>11</v>
      </c>
      <c r="AL171" s="14" t="str">
        <f t="shared" si="101"/>
        <v>T</v>
      </c>
      <c r="AM171" s="14" t="str">
        <f t="shared" si="102"/>
        <v>T</v>
      </c>
      <c r="AN171" s="14" t="str">
        <f t="shared" si="103"/>
        <v/>
      </c>
      <c r="AO171" s="14" t="str">
        <f t="shared" si="104"/>
        <v/>
      </c>
      <c r="AP171" s="14" t="str">
        <f t="shared" si="105"/>
        <v/>
      </c>
      <c r="AQ171" s="14" t="str">
        <f t="shared" si="97"/>
        <v/>
      </c>
      <c r="AR171" s="79">
        <f t="shared" si="18"/>
        <v>0</v>
      </c>
      <c r="AT171" s="17">
        <f t="shared" si="96"/>
        <v>0</v>
      </c>
    </row>
    <row r="172" spans="2:46" x14ac:dyDescent="0.2">
      <c r="B172" s="78"/>
      <c r="C172" s="15" t="s">
        <v>53</v>
      </c>
      <c r="D172" s="30" t="str">
        <f t="shared" si="98"/>
        <v/>
      </c>
      <c r="E172" s="14" t="str">
        <f t="shared" ref="E172:E235" si="106">MID(D172,E$3,IF(ISERR(SEARCH(" ",D172,E$3)),1000,SEARCH(" ",D172,E$3))-E$3)</f>
        <v/>
      </c>
      <c r="F172" s="14" t="str">
        <f t="shared" ref="F172:F235" si="107">MID(D172,LEN(E172)+F$3,IF(ISERR(SEARCH(" ",D172,LEN(E172)+F$3)),1000,SEARCH(" ",D172,LEN(E172)+F$3)-LEN(E172)-F$3))</f>
        <v/>
      </c>
      <c r="G172" s="14" t="str">
        <f t="shared" ref="G172:G235" si="108">MID(D172,LEN(E172&amp;F172)+G$3,IF(ISERR(SEARCH(" ",D172,LEN(E172&amp;F172)+G$3)),1000,SEARCH(" ",D172,LEN(E172&amp;F172)+G$3)-LEN(E172&amp;F172)-G$3))</f>
        <v/>
      </c>
      <c r="H172" s="14" t="str">
        <f t="shared" ref="H172:H235" si="109">MID(D172,LEN(E172&amp;F172&amp;G172)+H$3,IF(ISERR(SEARCH(" ",D172,LEN(E172&amp;F172&amp;G172)+H$3)),1000,SEARCH(" ",D172,LEN(E172&amp;F172&amp;G172)+H$3)-LEN(E172&amp;F172&amp;G172)-H$3))</f>
        <v/>
      </c>
      <c r="I172" s="14" t="str">
        <f t="shared" ref="I172:I235" si="110">MID(D172,LEN(E172&amp;F172&amp;G172&amp;H172)+I$3,IF(ISERR(SEARCH(" ",D172,LEN(E172&amp;F172&amp;G172&amp;H172)+I$3)),1000,SEARCH(" ",D172,LEN(E172&amp;F172&amp;G172&amp;H172)+I$3)-LEN(E172&amp;F172&amp;G172&amp;H172)-I$3))</f>
        <v/>
      </c>
      <c r="J172" s="14" t="str">
        <f t="shared" ref="J172:J235" si="111">MID(D172,LEN(E172&amp;F172&amp;G172&amp;H172&amp;I172)+J$3,IF(ISERR(SEARCH(" ",D172,LEN(E172&amp;F172&amp;G172&amp;H172&amp;I172)+J$3)),1000,SEARCH(" ",D172,LEN(E172&amp;F172&amp;G172&amp;H172&amp;I172)+J$3)-LEN(E172&amp;F172&amp;G172&amp;H172&amp;I172)-J$3))</f>
        <v/>
      </c>
      <c r="K172" s="14" t="str">
        <f t="shared" ref="K172:K235" si="112">MID(D172,LEN(E172&amp;F172&amp;G172&amp;H172&amp;I172&amp;J172)+K$3,IF(ISERR(SEARCH(" ",D172,LEN(E172&amp;F172&amp;G172&amp;H172&amp;I172&amp;J172)+K$3)),1000,SEARCH(" ",D172,LEN(E172&amp;F172&amp;G172&amp;H172&amp;I172&amp;J172)+K$3)-LEN(E172&amp;F172&amp;G172&amp;H172&amp;I172&amp;J172)-K$3))</f>
        <v/>
      </c>
      <c r="L172" s="14" t="str">
        <f t="shared" ref="L172:L235" si="113">MID(D172,LEN(E172&amp;F172&amp;G172&amp;H172&amp;I172&amp;J172&amp;K172)+L$3,IF(ISERR(SEARCH(" ",D172,LEN(E172&amp;F172&amp;G172&amp;H172&amp;I172&amp;J172&amp;K172)+L$3)),1000,SEARCH(" ",D172,LEN(E172&amp;F172&amp;G172&amp;H172&amp;I172&amp;J172&amp;K172)+L$3)-LEN(E172&amp;F172&amp;G172&amp;H172&amp;I172&amp;J172&amp;K172)-L$3))</f>
        <v/>
      </c>
      <c r="M172" s="14" t="str">
        <f t="shared" ref="M172:M235" si="114">MID(D172,LEN(E172&amp;F172&amp;G172&amp;H172&amp;I172&amp;J172&amp;K172&amp;L172)+M$3,IF(ISERR(SEARCH(" ",D172,LEN(E172&amp;F172&amp;G172&amp;H172&amp;I172&amp;J172&amp;K172&amp;L172)+M$3)),1000,SEARCH(" ",D172,LEN(E172&amp;F172&amp;G172&amp;H172&amp;I172&amp;J172&amp;K172&amp;L172)+M$3)-LEN(E172&amp;F172&amp;G172&amp;H172&amp;I172&amp;J172&amp;K172&amp;L172)-M$3))</f>
        <v/>
      </c>
      <c r="N172" s="14" t="str">
        <f t="shared" ref="N172:N235" si="115">MID(D172,LEN(E172&amp;F172&amp;G172&amp;H172&amp;I172&amp;J172&amp;K172&amp;L172&amp;M172)+N$3,IF(ISERR(SEARCH(" ",D172,LEN(E172&amp;F172&amp;G172&amp;H172&amp;I172&amp;J172&amp;K172&amp;L172&amp;M172)+N$3)),1000,SEARCH(" ",D172,LEN(E172&amp;F172&amp;G172&amp;H172&amp;I172&amp;J172&amp;K172&amp;L172&amp;M172)+N$3)-LEN(E172&amp;F172&amp;G172&amp;H172&amp;I172&amp;J172&amp;K172&amp;L172&amp;M172)-N$3))</f>
        <v/>
      </c>
      <c r="O172" s="14" t="s">
        <v>11</v>
      </c>
      <c r="P172" s="14" t="s">
        <v>11</v>
      </c>
      <c r="Q172" s="14" t="s">
        <v>11</v>
      </c>
      <c r="R172" s="14" t="s">
        <v>13</v>
      </c>
      <c r="S172" s="14" t="s">
        <v>11</v>
      </c>
      <c r="T172" s="14" t="s">
        <v>11</v>
      </c>
      <c r="U172" s="14" t="s">
        <v>11</v>
      </c>
      <c r="V172" s="14" t="s">
        <v>11</v>
      </c>
      <c r="W172" s="14" t="s">
        <v>11</v>
      </c>
      <c r="X172" s="14" t="s">
        <v>11</v>
      </c>
      <c r="Y172" s="14" t="str">
        <f t="shared" si="99"/>
        <v/>
      </c>
      <c r="Z172" s="14" t="str">
        <f t="shared" si="100"/>
        <v/>
      </c>
      <c r="AA172" s="15">
        <f t="shared" si="13"/>
        <v>0</v>
      </c>
      <c r="AB172" s="14" t="s">
        <v>11</v>
      </c>
      <c r="AC172" s="14" t="s">
        <v>11</v>
      </c>
      <c r="AD172" s="14" t="s">
        <v>11</v>
      </c>
      <c r="AE172" s="14" t="s">
        <v>11</v>
      </c>
      <c r="AF172" s="14" t="s">
        <v>13</v>
      </c>
      <c r="AG172" s="14" t="s">
        <v>11</v>
      </c>
      <c r="AH172" s="14" t="s">
        <v>11</v>
      </c>
      <c r="AI172" s="14" t="s">
        <v>11</v>
      </c>
      <c r="AJ172" s="14" t="s">
        <v>11</v>
      </c>
      <c r="AK172" s="14" t="s">
        <v>11</v>
      </c>
      <c r="AL172" s="14" t="str">
        <f t="shared" si="101"/>
        <v>T</v>
      </c>
      <c r="AM172" s="14" t="str">
        <f t="shared" si="102"/>
        <v>T</v>
      </c>
      <c r="AN172" s="14" t="str">
        <f t="shared" si="103"/>
        <v/>
      </c>
      <c r="AO172" s="14" t="str">
        <f t="shared" si="104"/>
        <v/>
      </c>
      <c r="AP172" s="14" t="str">
        <f t="shared" si="105"/>
        <v/>
      </c>
      <c r="AQ172" s="14" t="str">
        <f t="shared" si="97"/>
        <v/>
      </c>
      <c r="AR172" s="79">
        <f t="shared" si="18"/>
        <v>0</v>
      </c>
      <c r="AT172" s="17">
        <f t="shared" si="96"/>
        <v>0</v>
      </c>
    </row>
    <row r="173" spans="2:46" x14ac:dyDescent="0.2">
      <c r="B173" s="78"/>
      <c r="C173" s="15" t="s">
        <v>53</v>
      </c>
      <c r="D173" s="30" t="str">
        <f t="shared" si="98"/>
        <v/>
      </c>
      <c r="E173" s="14" t="str">
        <f t="shared" si="106"/>
        <v/>
      </c>
      <c r="F173" s="14" t="str">
        <f t="shared" si="107"/>
        <v/>
      </c>
      <c r="G173" s="14" t="str">
        <f t="shared" si="108"/>
        <v/>
      </c>
      <c r="H173" s="14" t="str">
        <f t="shared" si="109"/>
        <v/>
      </c>
      <c r="I173" s="14" t="str">
        <f t="shared" si="110"/>
        <v/>
      </c>
      <c r="J173" s="14" t="str">
        <f t="shared" si="111"/>
        <v/>
      </c>
      <c r="K173" s="14" t="str">
        <f t="shared" si="112"/>
        <v/>
      </c>
      <c r="L173" s="14" t="str">
        <f t="shared" si="113"/>
        <v/>
      </c>
      <c r="M173" s="14" t="str">
        <f t="shared" si="114"/>
        <v/>
      </c>
      <c r="N173" s="14" t="str">
        <f t="shared" si="115"/>
        <v/>
      </c>
      <c r="O173" s="14" t="s">
        <v>11</v>
      </c>
      <c r="P173" s="14" t="s">
        <v>11</v>
      </c>
      <c r="Q173" s="14" t="s">
        <v>11</v>
      </c>
      <c r="R173" s="14" t="s">
        <v>13</v>
      </c>
      <c r="S173" s="14" t="s">
        <v>11</v>
      </c>
      <c r="T173" s="14" t="s">
        <v>11</v>
      </c>
      <c r="U173" s="14" t="s">
        <v>11</v>
      </c>
      <c r="V173" s="14" t="s">
        <v>11</v>
      </c>
      <c r="W173" s="14" t="s">
        <v>11</v>
      </c>
      <c r="X173" s="14" t="s">
        <v>11</v>
      </c>
      <c r="Y173" s="14" t="str">
        <f t="shared" si="99"/>
        <v/>
      </c>
      <c r="Z173" s="14" t="str">
        <f t="shared" si="100"/>
        <v/>
      </c>
      <c r="AA173" s="15">
        <f t="shared" si="13"/>
        <v>0</v>
      </c>
      <c r="AB173" s="14" t="s">
        <v>11</v>
      </c>
      <c r="AC173" s="14" t="s">
        <v>11</v>
      </c>
      <c r="AD173" s="14" t="s">
        <v>11</v>
      </c>
      <c r="AE173" s="14" t="s">
        <v>11</v>
      </c>
      <c r="AF173" s="14" t="s">
        <v>13</v>
      </c>
      <c r="AG173" s="14" t="s">
        <v>11</v>
      </c>
      <c r="AH173" s="14" t="s">
        <v>11</v>
      </c>
      <c r="AI173" s="14" t="s">
        <v>11</v>
      </c>
      <c r="AJ173" s="14" t="s">
        <v>11</v>
      </c>
      <c r="AK173" s="14" t="s">
        <v>11</v>
      </c>
      <c r="AL173" s="14" t="str">
        <f t="shared" si="101"/>
        <v>T</v>
      </c>
      <c r="AM173" s="14" t="str">
        <f t="shared" si="102"/>
        <v>T</v>
      </c>
      <c r="AN173" s="14" t="str">
        <f t="shared" si="103"/>
        <v/>
      </c>
      <c r="AO173" s="14" t="str">
        <f t="shared" si="104"/>
        <v/>
      </c>
      <c r="AP173" s="14" t="str">
        <f t="shared" si="105"/>
        <v/>
      </c>
      <c r="AQ173" s="14" t="str">
        <f t="shared" si="97"/>
        <v/>
      </c>
      <c r="AR173" s="79">
        <f t="shared" si="18"/>
        <v>0</v>
      </c>
      <c r="AT173" s="17">
        <f t="shared" si="96"/>
        <v>0</v>
      </c>
    </row>
    <row r="174" spans="2:46" x14ac:dyDescent="0.2">
      <c r="B174" s="78"/>
      <c r="C174" s="15" t="s">
        <v>53</v>
      </c>
      <c r="D174" s="30" t="str">
        <f t="shared" si="98"/>
        <v/>
      </c>
      <c r="E174" s="14" t="str">
        <f t="shared" si="106"/>
        <v/>
      </c>
      <c r="F174" s="14" t="str">
        <f t="shared" si="107"/>
        <v/>
      </c>
      <c r="G174" s="14" t="str">
        <f t="shared" si="108"/>
        <v/>
      </c>
      <c r="H174" s="14" t="str">
        <f t="shared" si="109"/>
        <v/>
      </c>
      <c r="I174" s="14" t="str">
        <f t="shared" si="110"/>
        <v/>
      </c>
      <c r="J174" s="14" t="str">
        <f t="shared" si="111"/>
        <v/>
      </c>
      <c r="K174" s="14" t="str">
        <f t="shared" si="112"/>
        <v/>
      </c>
      <c r="L174" s="14" t="str">
        <f t="shared" si="113"/>
        <v/>
      </c>
      <c r="M174" s="14" t="str">
        <f t="shared" si="114"/>
        <v/>
      </c>
      <c r="N174" s="14" t="str">
        <f t="shared" si="115"/>
        <v/>
      </c>
      <c r="O174" s="14" t="s">
        <v>11</v>
      </c>
      <c r="P174" s="14" t="s">
        <v>11</v>
      </c>
      <c r="Q174" s="14" t="s">
        <v>11</v>
      </c>
      <c r="R174" s="14" t="s">
        <v>13</v>
      </c>
      <c r="S174" s="14" t="s">
        <v>11</v>
      </c>
      <c r="T174" s="14" t="s">
        <v>11</v>
      </c>
      <c r="U174" s="14" t="s">
        <v>11</v>
      </c>
      <c r="V174" s="14" t="s">
        <v>11</v>
      </c>
      <c r="W174" s="14" t="s">
        <v>11</v>
      </c>
      <c r="X174" s="14" t="s">
        <v>11</v>
      </c>
      <c r="Y174" s="14" t="str">
        <f t="shared" si="99"/>
        <v/>
      </c>
      <c r="Z174" s="14" t="str">
        <f t="shared" si="100"/>
        <v/>
      </c>
      <c r="AA174" s="15">
        <f t="shared" si="13"/>
        <v>0</v>
      </c>
      <c r="AB174" s="14" t="s">
        <v>11</v>
      </c>
      <c r="AC174" s="14" t="s">
        <v>11</v>
      </c>
      <c r="AD174" s="14" t="s">
        <v>11</v>
      </c>
      <c r="AE174" s="14" t="s">
        <v>11</v>
      </c>
      <c r="AF174" s="14" t="s">
        <v>13</v>
      </c>
      <c r="AG174" s="14" t="s">
        <v>11</v>
      </c>
      <c r="AH174" s="14" t="s">
        <v>11</v>
      </c>
      <c r="AI174" s="14" t="s">
        <v>11</v>
      </c>
      <c r="AJ174" s="14" t="s">
        <v>11</v>
      </c>
      <c r="AK174" s="14" t="s">
        <v>11</v>
      </c>
      <c r="AL174" s="14" t="str">
        <f t="shared" si="101"/>
        <v>T</v>
      </c>
      <c r="AM174" s="14" t="str">
        <f t="shared" si="102"/>
        <v>T</v>
      </c>
      <c r="AN174" s="14" t="str">
        <f t="shared" si="103"/>
        <v/>
      </c>
      <c r="AO174" s="14" t="str">
        <f t="shared" si="104"/>
        <v/>
      </c>
      <c r="AP174" s="14" t="str">
        <f t="shared" si="105"/>
        <v/>
      </c>
      <c r="AQ174" s="14" t="str">
        <f t="shared" si="97"/>
        <v/>
      </c>
      <c r="AR174" s="79">
        <f t="shared" si="18"/>
        <v>0</v>
      </c>
      <c r="AT174" s="17">
        <f t="shared" si="96"/>
        <v>0</v>
      </c>
    </row>
    <row r="175" spans="2:46" x14ac:dyDescent="0.2">
      <c r="B175" s="78"/>
      <c r="C175" s="15" t="s">
        <v>53</v>
      </c>
      <c r="D175" s="30" t="str">
        <f t="shared" si="98"/>
        <v/>
      </c>
      <c r="E175" s="14" t="str">
        <f t="shared" si="106"/>
        <v/>
      </c>
      <c r="F175" s="14" t="str">
        <f t="shared" si="107"/>
        <v/>
      </c>
      <c r="G175" s="14" t="str">
        <f t="shared" si="108"/>
        <v/>
      </c>
      <c r="H175" s="14" t="str">
        <f t="shared" si="109"/>
        <v/>
      </c>
      <c r="I175" s="14" t="str">
        <f t="shared" si="110"/>
        <v/>
      </c>
      <c r="J175" s="14" t="str">
        <f t="shared" si="111"/>
        <v/>
      </c>
      <c r="K175" s="14" t="str">
        <f t="shared" si="112"/>
        <v/>
      </c>
      <c r="L175" s="14" t="str">
        <f t="shared" si="113"/>
        <v/>
      </c>
      <c r="M175" s="14" t="str">
        <f t="shared" si="114"/>
        <v/>
      </c>
      <c r="N175" s="14" t="str">
        <f t="shared" si="115"/>
        <v/>
      </c>
      <c r="O175" s="14" t="s">
        <v>11</v>
      </c>
      <c r="P175" s="14" t="s">
        <v>11</v>
      </c>
      <c r="Q175" s="14" t="s">
        <v>11</v>
      </c>
      <c r="R175" s="14" t="s">
        <v>13</v>
      </c>
      <c r="S175" s="14" t="s">
        <v>11</v>
      </c>
      <c r="T175" s="14" t="s">
        <v>11</v>
      </c>
      <c r="U175" s="14" t="s">
        <v>11</v>
      </c>
      <c r="V175" s="14" t="s">
        <v>11</v>
      </c>
      <c r="W175" s="14" t="s">
        <v>11</v>
      </c>
      <c r="X175" s="14" t="s">
        <v>11</v>
      </c>
      <c r="Y175" s="14" t="str">
        <f t="shared" si="99"/>
        <v/>
      </c>
      <c r="Z175" s="14" t="str">
        <f t="shared" si="100"/>
        <v/>
      </c>
      <c r="AA175" s="15">
        <f t="shared" si="13"/>
        <v>0</v>
      </c>
      <c r="AB175" s="14" t="s">
        <v>11</v>
      </c>
      <c r="AC175" s="14" t="s">
        <v>41</v>
      </c>
      <c r="AD175" s="14" t="s">
        <v>11</v>
      </c>
      <c r="AE175" s="14" t="s">
        <v>11</v>
      </c>
      <c r="AF175" s="14" t="s">
        <v>13</v>
      </c>
      <c r="AG175" s="14" t="s">
        <v>11</v>
      </c>
      <c r="AH175" s="14" t="s">
        <v>11</v>
      </c>
      <c r="AI175" s="14" t="s">
        <v>11</v>
      </c>
      <c r="AJ175" s="14" t="s">
        <v>11</v>
      </c>
      <c r="AK175" s="14" t="s">
        <v>11</v>
      </c>
      <c r="AL175" s="14" t="str">
        <f t="shared" si="101"/>
        <v>T</v>
      </c>
      <c r="AM175" s="14" t="str">
        <f t="shared" si="102"/>
        <v>T</v>
      </c>
      <c r="AN175" s="14" t="str">
        <f t="shared" si="103"/>
        <v/>
      </c>
      <c r="AO175" s="14" t="str">
        <f t="shared" si="104"/>
        <v/>
      </c>
      <c r="AP175" s="14" t="str">
        <f t="shared" si="105"/>
        <v/>
      </c>
      <c r="AQ175" s="14" t="str">
        <f t="shared" si="97"/>
        <v/>
      </c>
      <c r="AR175" s="79">
        <f t="shared" si="18"/>
        <v>0</v>
      </c>
      <c r="AT175" s="17">
        <f t="shared" si="96"/>
        <v>0</v>
      </c>
    </row>
    <row r="176" spans="2:46" x14ac:dyDescent="0.2">
      <c r="B176" s="78"/>
      <c r="C176" s="15" t="s">
        <v>53</v>
      </c>
      <c r="D176" s="30" t="str">
        <f t="shared" si="98"/>
        <v/>
      </c>
      <c r="E176" s="14" t="str">
        <f t="shared" si="106"/>
        <v/>
      </c>
      <c r="F176" s="14" t="str">
        <f t="shared" si="107"/>
        <v/>
      </c>
      <c r="G176" s="14" t="str">
        <f t="shared" si="108"/>
        <v/>
      </c>
      <c r="H176" s="14" t="str">
        <f t="shared" si="109"/>
        <v/>
      </c>
      <c r="I176" s="14" t="str">
        <f t="shared" si="110"/>
        <v/>
      </c>
      <c r="J176" s="14" t="str">
        <f t="shared" si="111"/>
        <v/>
      </c>
      <c r="K176" s="14" t="str">
        <f t="shared" si="112"/>
        <v/>
      </c>
      <c r="L176" s="14" t="str">
        <f t="shared" si="113"/>
        <v/>
      </c>
      <c r="M176" s="14" t="str">
        <f t="shared" si="114"/>
        <v/>
      </c>
      <c r="N176" s="14" t="str">
        <f t="shared" si="115"/>
        <v/>
      </c>
      <c r="O176" s="14" t="s">
        <v>11</v>
      </c>
      <c r="P176" s="14" t="s">
        <v>11</v>
      </c>
      <c r="Q176" s="14" t="s">
        <v>11</v>
      </c>
      <c r="R176" s="14" t="s">
        <v>13</v>
      </c>
      <c r="S176" s="14" t="s">
        <v>11</v>
      </c>
      <c r="T176" s="14" t="s">
        <v>11</v>
      </c>
      <c r="U176" s="14" t="s">
        <v>11</v>
      </c>
      <c r="V176" s="14" t="s">
        <v>11</v>
      </c>
      <c r="W176" s="14" t="s">
        <v>11</v>
      </c>
      <c r="X176" s="14" t="s">
        <v>11</v>
      </c>
      <c r="Y176" s="14" t="str">
        <f t="shared" si="99"/>
        <v/>
      </c>
      <c r="Z176" s="14" t="str">
        <f t="shared" si="100"/>
        <v/>
      </c>
      <c r="AA176" s="15">
        <f t="shared" si="13"/>
        <v>0</v>
      </c>
      <c r="AB176" s="14" t="s">
        <v>11</v>
      </c>
      <c r="AC176" s="14" t="s">
        <v>41</v>
      </c>
      <c r="AD176" s="14" t="s">
        <v>11</v>
      </c>
      <c r="AE176" s="14" t="s">
        <v>41</v>
      </c>
      <c r="AF176" s="14" t="s">
        <v>13</v>
      </c>
      <c r="AG176" s="14" t="s">
        <v>11</v>
      </c>
      <c r="AH176" s="14" t="s">
        <v>11</v>
      </c>
      <c r="AI176" s="14" t="s">
        <v>11</v>
      </c>
      <c r="AJ176" s="14" t="s">
        <v>11</v>
      </c>
      <c r="AK176" s="14" t="s">
        <v>11</v>
      </c>
      <c r="AL176" s="14" t="str">
        <f t="shared" si="101"/>
        <v>T</v>
      </c>
      <c r="AM176" s="14" t="str">
        <f t="shared" si="102"/>
        <v>T</v>
      </c>
      <c r="AN176" s="14" t="str">
        <f t="shared" si="103"/>
        <v/>
      </c>
      <c r="AO176" s="14" t="str">
        <f t="shared" si="104"/>
        <v/>
      </c>
      <c r="AP176" s="14" t="str">
        <f t="shared" si="105"/>
        <v/>
      </c>
      <c r="AQ176" s="14" t="str">
        <f t="shared" si="97"/>
        <v/>
      </c>
      <c r="AR176" s="79">
        <f t="shared" si="18"/>
        <v>0</v>
      </c>
      <c r="AT176" s="17">
        <f t="shared" si="96"/>
        <v>0</v>
      </c>
    </row>
    <row r="177" spans="2:46" x14ac:dyDescent="0.2">
      <c r="B177" s="78"/>
      <c r="C177" s="15" t="s">
        <v>53</v>
      </c>
      <c r="D177" s="30" t="str">
        <f t="shared" si="98"/>
        <v/>
      </c>
      <c r="E177" s="14" t="str">
        <f t="shared" si="106"/>
        <v/>
      </c>
      <c r="F177" s="14" t="str">
        <f t="shared" si="107"/>
        <v/>
      </c>
      <c r="G177" s="14" t="str">
        <f t="shared" si="108"/>
        <v/>
      </c>
      <c r="H177" s="14" t="str">
        <f t="shared" si="109"/>
        <v/>
      </c>
      <c r="I177" s="14" t="str">
        <f t="shared" si="110"/>
        <v/>
      </c>
      <c r="J177" s="14" t="str">
        <f t="shared" si="111"/>
        <v/>
      </c>
      <c r="K177" s="14" t="str">
        <f t="shared" si="112"/>
        <v/>
      </c>
      <c r="L177" s="14" t="str">
        <f t="shared" si="113"/>
        <v/>
      </c>
      <c r="M177" s="14" t="str">
        <f t="shared" si="114"/>
        <v/>
      </c>
      <c r="N177" s="14" t="str">
        <f t="shared" si="115"/>
        <v/>
      </c>
      <c r="O177" s="14" t="s">
        <v>11</v>
      </c>
      <c r="P177" s="14" t="s">
        <v>11</v>
      </c>
      <c r="Q177" s="14" t="s">
        <v>11</v>
      </c>
      <c r="R177" s="14" t="s">
        <v>13</v>
      </c>
      <c r="S177" s="14" t="s">
        <v>11</v>
      </c>
      <c r="T177" s="14" t="s">
        <v>11</v>
      </c>
      <c r="U177" s="14" t="s">
        <v>11</v>
      </c>
      <c r="V177" s="14" t="s">
        <v>11</v>
      </c>
      <c r="W177" s="14" t="s">
        <v>11</v>
      </c>
      <c r="X177" s="14" t="s">
        <v>11</v>
      </c>
      <c r="Y177" s="14" t="str">
        <f t="shared" si="99"/>
        <v/>
      </c>
      <c r="Z177" s="14" t="str">
        <f t="shared" si="100"/>
        <v/>
      </c>
      <c r="AA177" s="15">
        <f t="shared" si="13"/>
        <v>0</v>
      </c>
      <c r="AB177" s="14" t="s">
        <v>11</v>
      </c>
      <c r="AC177" s="14" t="s">
        <v>11</v>
      </c>
      <c r="AD177" s="14" t="s">
        <v>11</v>
      </c>
      <c r="AE177" s="14" t="s">
        <v>11</v>
      </c>
      <c r="AF177" s="14" t="s">
        <v>13</v>
      </c>
      <c r="AG177" s="14" t="s">
        <v>11</v>
      </c>
      <c r="AH177" s="14" t="s">
        <v>11</v>
      </c>
      <c r="AI177" s="14" t="s">
        <v>11</v>
      </c>
      <c r="AJ177" s="14" t="s">
        <v>11</v>
      </c>
      <c r="AK177" s="14" t="s">
        <v>11</v>
      </c>
      <c r="AL177" s="14" t="str">
        <f t="shared" si="101"/>
        <v>T</v>
      </c>
      <c r="AM177" s="14" t="str">
        <f t="shared" si="102"/>
        <v>T</v>
      </c>
      <c r="AN177" s="14" t="str">
        <f t="shared" si="103"/>
        <v/>
      </c>
      <c r="AO177" s="14" t="str">
        <f t="shared" si="104"/>
        <v/>
      </c>
      <c r="AP177" s="14" t="str">
        <f t="shared" si="105"/>
        <v/>
      </c>
      <c r="AQ177" s="14" t="str">
        <f t="shared" si="97"/>
        <v/>
      </c>
      <c r="AR177" s="79">
        <f t="shared" si="18"/>
        <v>0</v>
      </c>
      <c r="AT177" s="17">
        <f t="shared" si="96"/>
        <v>0</v>
      </c>
    </row>
    <row r="178" spans="2:46" x14ac:dyDescent="0.2">
      <c r="B178" s="78"/>
      <c r="C178" s="15" t="s">
        <v>53</v>
      </c>
      <c r="D178" s="30" t="str">
        <f t="shared" ref="D178:D229" si="116">SuprimePreposições(SubstituirTildes(B178))</f>
        <v/>
      </c>
      <c r="E178" s="14" t="str">
        <f t="shared" si="106"/>
        <v/>
      </c>
      <c r="F178" s="14" t="str">
        <f t="shared" si="107"/>
        <v/>
      </c>
      <c r="G178" s="14" t="str">
        <f t="shared" si="108"/>
        <v/>
      </c>
      <c r="H178" s="14" t="str">
        <f t="shared" si="109"/>
        <v/>
      </c>
      <c r="I178" s="14" t="str">
        <f t="shared" si="110"/>
        <v/>
      </c>
      <c r="J178" s="14" t="str">
        <f t="shared" si="111"/>
        <v/>
      </c>
      <c r="K178" s="14" t="str">
        <f t="shared" si="112"/>
        <v/>
      </c>
      <c r="L178" s="14" t="str">
        <f t="shared" si="113"/>
        <v/>
      </c>
      <c r="M178" s="14" t="str">
        <f t="shared" si="114"/>
        <v/>
      </c>
      <c r="N178" s="14" t="str">
        <f t="shared" si="115"/>
        <v/>
      </c>
      <c r="O178" s="14" t="s">
        <v>11</v>
      </c>
      <c r="P178" s="14" t="s">
        <v>11</v>
      </c>
      <c r="Q178" s="14" t="s">
        <v>11</v>
      </c>
      <c r="R178" s="14" t="s">
        <v>13</v>
      </c>
      <c r="S178" s="14" t="s">
        <v>11</v>
      </c>
      <c r="T178" s="14" t="s">
        <v>11</v>
      </c>
      <c r="U178" s="14" t="s">
        <v>11</v>
      </c>
      <c r="V178" s="14" t="s">
        <v>11</v>
      </c>
      <c r="W178" s="14" t="s">
        <v>11</v>
      </c>
      <c r="X178" s="14" t="s">
        <v>11</v>
      </c>
      <c r="Y178" s="14" t="str">
        <f t="shared" ref="Y178:Y229" si="117">IF(C178="E",IF(O178="X",IF(E178&lt;&gt;"",IF(ISERROR(VLOOKUP(E178,ListaThesaurus,2,FALSE)),"***",E178),""),""),IF(C178="A",IF(O178="X",IF(E178&lt;&gt;"",IF(ISERROR(VLOOKUP(E178,ListaNaturezas,2,FALSE)),"***",LOWER(VLOOKUP(E178,ListaNaturezas,2,FALSE))),""),""),"***"))&amp;IF(P178="X",IF(F178&lt;&gt;"",IF(ISERROR(VLOOKUP(F178,ListaThesaurus,2,FALSE)),"***",F178),""),"")&amp;IF(Q178="X",IF(G178&lt;&gt;"",IF(ISERROR(VLOOKUP(G178,ListaThesaurus,2,FALSE)),"***",G178),""),"")&amp;IF(R178="X",IF(H178&lt;&gt;"",IF(ISERROR(VLOOKUP(H178,ListaThesaurus,2,FALSE)),"***",H178),""),"")&amp;IF(S178="X",IF(I178&lt;&gt;"",IF(ISERROR(VLOOKUP(I178,ListaThesaurus,2,FALSE)),"***",I178),""),"")</f>
        <v/>
      </c>
      <c r="Z178" s="14" t="str">
        <f t="shared" ref="Z178:Z229" si="118">IF(OR(C178="E",C178="A"),Y178&amp;IF(T178="X",IF(J178&lt;&gt;"",IF(ISERROR(VLOOKUP(J178,ListaThesaurus,2,FALSE)),"***",J178),""),"")&amp;IF(U178="X",IF(K178&lt;&gt;"",IF(ISERROR(VLOOKUP(K178,ListaThesaurus,2,FALSE)),"***",K178),""),"")&amp;IF(V178="X",IF(L178&lt;&gt;"",IF(ISERROR(VLOOKUP(L178,ListaThesaurus,2,FALSE)),"***",L178),""),"")&amp;IF(W178="X",IF(M178&lt;&gt;"",IF(ISERROR(VLOOKUP(M178,ListaThesaurus,2,FALSE)),"***",M178),""),"")&amp;IF(X178="X",IF(N178&lt;&gt;"",IF(ISERROR(VLOOKUP(N178,ListaThesaurus,2,FALSE)),"***",N178),""),""),"")</f>
        <v/>
      </c>
      <c r="AA178" s="15">
        <f t="shared" si="13"/>
        <v>0</v>
      </c>
      <c r="AB178" s="14" t="s">
        <v>11</v>
      </c>
      <c r="AC178" s="14" t="s">
        <v>11</v>
      </c>
      <c r="AD178" s="14" t="s">
        <v>11</v>
      </c>
      <c r="AE178" s="14" t="s">
        <v>11</v>
      </c>
      <c r="AF178" s="14" t="s">
        <v>13</v>
      </c>
      <c r="AG178" s="14" t="s">
        <v>11</v>
      </c>
      <c r="AH178" s="14" t="s">
        <v>11</v>
      </c>
      <c r="AI178" s="14" t="s">
        <v>11</v>
      </c>
      <c r="AJ178" s="14" t="s">
        <v>11</v>
      </c>
      <c r="AK178" s="14" t="s">
        <v>11</v>
      </c>
      <c r="AL178" s="14" t="str">
        <f t="shared" ref="AL178:AL229" si="119">"T"&amp;IF(AB178="X",IF(E178&lt;&gt;"",IF(ISERROR(VLOOKUP(E178,ListaThesaurus,2,FALSE)),"***",VLOOKUP(E178,ListaThesaurus,2,FALSE)),""),"")&amp;IF(AC178="X",IF(F178&lt;&gt;"",IF(AB178="X","_","")&amp;IF(ISERROR(VLOOKUP(F178,ListaThesaurus,2,FALSE)),"***",VLOOKUP(F178,ListaThesaurus,2,FALSE)),""),"")&amp;IF(AD178="X",IF(G178&lt;&gt;"",IF(OR(AB178="X",AC178="X"),"_","")&amp;IF(ISERROR(VLOOKUP(G178,ListaThesaurus,2,FALSE)),"***",VLOOKUP(G178,ListaThesaurus,2,FALSE)),""),"")&amp;IF(AE178="X",IF(H178&lt;&gt;"",IF(OR(AB178="X",AC178="X",AD178="X"),"_","")&amp;IF(ISERROR(VLOOKUP(H178,ListaThesaurus,2,FALSE)),"***",VLOOKUP(H178,ListaThesaurus,2,FALSE)),""),"")&amp;IF(AF178="X",IF(I178&lt;&gt;"",IF(OR(AB178="X",AC178="X",AD178="X",AE178="X"),"_","")&amp;IF(ISERROR(VLOOKUP(I178,ListaThesaurus,2,FALSE)),"***",VLOOKUP(I178,ListaThesaurus,2,FALSE)),""),"")</f>
        <v>T</v>
      </c>
      <c r="AM178" s="14" t="str">
        <f t="shared" ref="AM178:AM229" si="120">AL178&amp;IF(AG178="X",IF(J178&lt;&gt;"",IF(OR(AB178="X",AC178="X",AD178="X",AE178="X",AF178="X"),"_","")&amp;IF(ISERROR(VLOOKUP(J178,ListaThesaurus,2,FALSE)),"***",VLOOKUP(J178,ListaThesaurus,2,FALSE)),""),"")&amp;IF(AH178="X",IF(K178&lt;&gt;"",IF(OR(AB178="X",AC178="X",AD178="X",AE178="X",AF178="X",AG178="X"),"_","")&amp;IF(ISERROR(VLOOKUP(K178,ListaThesaurus,2,FALSE)),"***",VLOOKUP(K178,ListaThesaurus,2,FALSE)),""),"")&amp;IF(AI178="X",IF(L178&lt;&gt;"",IF(OR(AB178="X",AC178="X",AD178="X",AE178="X",AF178="X",AG178="X",AH178="X"),"_","")&amp;IF(ISERROR(VLOOKUP(L178,ListaThesaurus,2,FALSE)),"***",VLOOKUP(L178,ListaThesaurus,2,FALSE)),""),"")&amp;IF(AJ178="X",IF(M178&lt;&gt;"",IF(OR(AB178="X",AC178="X",AD178="X",AE178="X",AF178="X",AG178="X",AH178="X",AI178="X"),"_","")&amp;IF(ISERROR(VLOOKUP(M178,ListaThesaurus,2,FALSE)),"***",VLOOKUP(M178,ListaThesaurus,2,FALSE)),""),"")&amp;IF(AK178="X",IF(N178&lt;&gt;"",IF(OR(AB178="X",AC178="X",AD178="X",AE178="X",AF178="X",AG178="X",AH178="X",AI178="X",AJ178="X"),"_","")&amp;IF(ISERROR(VLOOKUP(N178,ListaThesaurus,2,FALSE)),"***",VLOOKUP(N178,ListaThesaurus,2,FALSE)),""),"")</f>
        <v>T</v>
      </c>
      <c r="AN178" s="14" t="str">
        <f t="shared" ref="AN178:AN229" si="121">IF(AB178="X",IF(E178&lt;&gt;"",IF(ISERROR(VLOOKUP(E178,ListaNaturezas,3,FALSE)),"***",VLOOKUP(E178,ListaNaturezas,3,FALSE)),""),"")&amp;IF(AC178="X",IF(F178&lt;&gt;"",IF(ISERROR(VLOOKUP(F178,ListaThesaurus,2,FALSE)),"***",VLOOKUP(F178,ListaThesaurus,2,FALSE)),""),"")&amp;IF(AD178="X",IF(G178&lt;&gt;"",IF(AC178="X","_","")&amp;IF(ISERROR(VLOOKUP(G178,ListaThesaurus,2,FALSE)),"***",VLOOKUP(G178,ListaThesaurus,2,FALSE)),""),"")&amp;IF(AE178="X",IF(H178&lt;&gt;"",IF(OR(AC178="X",AD178="X"),"_","")&amp;IF(ISERROR(VLOOKUP(H178,ListaThesaurus,2,FALSE)),"***",VLOOKUP(H178,ListaThesaurus,2,FALSE)),""),"")&amp;IF(AF178="X",IF(I178&lt;&gt;"",IF(OR(AC178="X",AD178="X",AE178="X"),"_","")&amp;IF(ISERROR(VLOOKUP(I178,ListaThesaurus,2,FALSE)),"***",VLOOKUP(I178,ListaThesaurus,2,FALSE)),""),"")</f>
        <v/>
      </c>
      <c r="AO178" s="14" t="str">
        <f t="shared" ref="AO178:AO229" si="122">AN178&amp;IF(AG178="X",IF(J178&lt;&gt;"",IF(OR(AC178="X",AD178="X",AE178="X",AF178="X"),"_","")&amp;IF(ISERROR(VLOOKUP(J178,ListaThesaurus,2,FALSE)),"***",VLOOKUP(J178,ListaThesaurus,2,FALSE)),""),"")&amp;IF(AH178="X",IF(K178&lt;&gt;"",IF(OR(AC178="X",AD178="X",AE178="X",AF178="X",AG178="X"),"_","")&amp;IF(ISERROR(VLOOKUP(K178,ListaThesaurus,2,FALSE)),"***",VLOOKUP(K178,ListaThesaurus,2,FALSE)),""),"")&amp;IF(AI178="X",IF(L178&lt;&gt;"",IF(OR(AC178="X",AD178="X",AE178="X",AF178="X",AG178="X",AH178="X"),"_","")&amp;IF(ISERROR(VLOOKUP(L178,ListaThesaurus,2,FALSE)),"***",VLOOKUP(L178,ListaThesaurus,2,FALSE)),""),"")&amp;IF(AJ178="X",IF(M178&lt;&gt;"",IF(OR(AC178="X",AD178="X",AE178="X",AF178="X",AG178="X",AH178="X",AI178="X"),"_","")&amp;IF(ISERROR(VLOOKUP(M178,ListaThesaurus,2,FALSE)),"***",VLOOKUP(M178,ListaThesaurus,2,FALSE)),""),"")&amp;IF(AK178="X",IF(N178&lt;&gt;"",IF(OR(AC178="X",AD178="X",AE178="X",AF178="X",AG178="X",AH178="X",AI178="X",AJ178="X"),"_","")&amp;IF(ISERROR(VLOOKUP(N178,ListaThesaurus,2,FALSE)),"***",VLOOKUP(N178,ListaThesaurus,2,FALSE)),""),"")</f>
        <v/>
      </c>
      <c r="AP178" s="14" t="str">
        <f t="shared" ref="AP178:AP229" si="123">IF(C178="A",AO178,IF(C178="E",AM178,""))</f>
        <v/>
      </c>
      <c r="AQ178" s="14" t="str">
        <f t="shared" si="97"/>
        <v/>
      </c>
      <c r="AR178" s="79">
        <f t="shared" si="18"/>
        <v>0</v>
      </c>
      <c r="AT178" s="17">
        <f t="shared" si="96"/>
        <v>0</v>
      </c>
    </row>
    <row r="179" spans="2:46" x14ac:dyDescent="0.2">
      <c r="B179" s="78"/>
      <c r="C179" s="15" t="s">
        <v>53</v>
      </c>
      <c r="D179" s="30" t="str">
        <f t="shared" si="116"/>
        <v/>
      </c>
      <c r="E179" s="14" t="str">
        <f t="shared" si="106"/>
        <v/>
      </c>
      <c r="F179" s="14" t="str">
        <f t="shared" si="107"/>
        <v/>
      </c>
      <c r="G179" s="14" t="str">
        <f t="shared" si="108"/>
        <v/>
      </c>
      <c r="H179" s="14" t="str">
        <f t="shared" si="109"/>
        <v/>
      </c>
      <c r="I179" s="14" t="str">
        <f t="shared" si="110"/>
        <v/>
      </c>
      <c r="J179" s="14" t="str">
        <f t="shared" si="111"/>
        <v/>
      </c>
      <c r="K179" s="14" t="str">
        <f t="shared" si="112"/>
        <v/>
      </c>
      <c r="L179" s="14" t="str">
        <f t="shared" si="113"/>
        <v/>
      </c>
      <c r="M179" s="14" t="str">
        <f t="shared" si="114"/>
        <v/>
      </c>
      <c r="N179" s="14" t="str">
        <f t="shared" si="115"/>
        <v/>
      </c>
      <c r="O179" s="14" t="s">
        <v>11</v>
      </c>
      <c r="P179" s="14" t="s">
        <v>11</v>
      </c>
      <c r="Q179" s="14" t="s">
        <v>11</v>
      </c>
      <c r="R179" s="14" t="s">
        <v>13</v>
      </c>
      <c r="S179" s="14" t="s">
        <v>11</v>
      </c>
      <c r="T179" s="14" t="s">
        <v>11</v>
      </c>
      <c r="U179" s="14" t="s">
        <v>11</v>
      </c>
      <c r="V179" s="14" t="s">
        <v>11</v>
      </c>
      <c r="W179" s="14" t="s">
        <v>11</v>
      </c>
      <c r="X179" s="14" t="s">
        <v>11</v>
      </c>
      <c r="Y179" s="14" t="str">
        <f t="shared" si="117"/>
        <v/>
      </c>
      <c r="Z179" s="14" t="str">
        <f t="shared" si="118"/>
        <v/>
      </c>
      <c r="AA179" s="15">
        <f t="shared" si="13"/>
        <v>0</v>
      </c>
      <c r="AB179" s="14" t="s">
        <v>11</v>
      </c>
      <c r="AC179" s="14" t="s">
        <v>41</v>
      </c>
      <c r="AD179" s="14" t="s">
        <v>11</v>
      </c>
      <c r="AE179" s="14" t="s">
        <v>41</v>
      </c>
      <c r="AF179" s="14" t="s">
        <v>13</v>
      </c>
      <c r="AG179" s="14" t="s">
        <v>11</v>
      </c>
      <c r="AH179" s="14" t="s">
        <v>11</v>
      </c>
      <c r="AI179" s="14" t="s">
        <v>11</v>
      </c>
      <c r="AJ179" s="14" t="s">
        <v>11</v>
      </c>
      <c r="AK179" s="14" t="s">
        <v>11</v>
      </c>
      <c r="AL179" s="14" t="str">
        <f t="shared" si="119"/>
        <v>T</v>
      </c>
      <c r="AM179" s="14" t="str">
        <f t="shared" si="120"/>
        <v>T</v>
      </c>
      <c r="AN179" s="14" t="str">
        <f t="shared" si="121"/>
        <v/>
      </c>
      <c r="AO179" s="14" t="str">
        <f t="shared" si="122"/>
        <v/>
      </c>
      <c r="AP179" s="14" t="str">
        <f t="shared" si="123"/>
        <v/>
      </c>
      <c r="AQ179" s="14" t="str">
        <f t="shared" si="97"/>
        <v/>
      </c>
      <c r="AR179" s="79">
        <f t="shared" si="18"/>
        <v>0</v>
      </c>
      <c r="AT179" s="17">
        <f t="shared" si="96"/>
        <v>0</v>
      </c>
    </row>
    <row r="180" spans="2:46" x14ac:dyDescent="0.2">
      <c r="B180" s="78"/>
      <c r="C180" s="15" t="s">
        <v>53</v>
      </c>
      <c r="D180" s="30" t="str">
        <f t="shared" si="116"/>
        <v/>
      </c>
      <c r="E180" s="14" t="str">
        <f t="shared" si="106"/>
        <v/>
      </c>
      <c r="F180" s="14" t="str">
        <f t="shared" si="107"/>
        <v/>
      </c>
      <c r="G180" s="14" t="str">
        <f t="shared" si="108"/>
        <v/>
      </c>
      <c r="H180" s="14" t="str">
        <f t="shared" si="109"/>
        <v/>
      </c>
      <c r="I180" s="14" t="str">
        <f t="shared" si="110"/>
        <v/>
      </c>
      <c r="J180" s="14" t="str">
        <f t="shared" si="111"/>
        <v/>
      </c>
      <c r="K180" s="14" t="str">
        <f t="shared" si="112"/>
        <v/>
      </c>
      <c r="L180" s="14" t="str">
        <f t="shared" si="113"/>
        <v/>
      </c>
      <c r="M180" s="14" t="str">
        <f t="shared" si="114"/>
        <v/>
      </c>
      <c r="N180" s="14" t="str">
        <f t="shared" si="115"/>
        <v/>
      </c>
      <c r="O180" s="14" t="s">
        <v>11</v>
      </c>
      <c r="P180" s="14" t="s">
        <v>11</v>
      </c>
      <c r="Q180" s="14" t="s">
        <v>11</v>
      </c>
      <c r="R180" s="14" t="s">
        <v>13</v>
      </c>
      <c r="S180" s="14" t="s">
        <v>11</v>
      </c>
      <c r="T180" s="14" t="s">
        <v>11</v>
      </c>
      <c r="U180" s="14" t="s">
        <v>11</v>
      </c>
      <c r="V180" s="14" t="s">
        <v>11</v>
      </c>
      <c r="W180" s="14" t="s">
        <v>11</v>
      </c>
      <c r="X180" s="14" t="s">
        <v>11</v>
      </c>
      <c r="Y180" s="14" t="str">
        <f t="shared" si="117"/>
        <v/>
      </c>
      <c r="Z180" s="14" t="str">
        <f t="shared" si="118"/>
        <v/>
      </c>
      <c r="AA180" s="15">
        <f t="shared" si="13"/>
        <v>0</v>
      </c>
      <c r="AB180" s="14" t="s">
        <v>11</v>
      </c>
      <c r="AC180" s="14" t="s">
        <v>11</v>
      </c>
      <c r="AD180" s="14" t="s">
        <v>11</v>
      </c>
      <c r="AE180" s="14" t="s">
        <v>11</v>
      </c>
      <c r="AF180" s="14" t="s">
        <v>13</v>
      </c>
      <c r="AG180" s="14" t="s">
        <v>11</v>
      </c>
      <c r="AH180" s="14" t="s">
        <v>11</v>
      </c>
      <c r="AI180" s="14" t="s">
        <v>11</v>
      </c>
      <c r="AJ180" s="14" t="s">
        <v>11</v>
      </c>
      <c r="AK180" s="14" t="s">
        <v>11</v>
      </c>
      <c r="AL180" s="14" t="str">
        <f t="shared" si="119"/>
        <v>T</v>
      </c>
      <c r="AM180" s="14" t="str">
        <f t="shared" si="120"/>
        <v>T</v>
      </c>
      <c r="AN180" s="14" t="str">
        <f t="shared" si="121"/>
        <v/>
      </c>
      <c r="AO180" s="14" t="str">
        <f t="shared" si="122"/>
        <v/>
      </c>
      <c r="AP180" s="14" t="str">
        <f t="shared" si="123"/>
        <v/>
      </c>
      <c r="AQ180" s="14" t="str">
        <f t="shared" si="97"/>
        <v/>
      </c>
      <c r="AR180" s="79">
        <f t="shared" si="18"/>
        <v>0</v>
      </c>
      <c r="AT180" s="17">
        <f t="shared" si="96"/>
        <v>0</v>
      </c>
    </row>
    <row r="181" spans="2:46" x14ac:dyDescent="0.2">
      <c r="B181" s="78"/>
      <c r="C181" s="15" t="s">
        <v>53</v>
      </c>
      <c r="D181" s="30" t="str">
        <f t="shared" si="116"/>
        <v/>
      </c>
      <c r="E181" s="14" t="str">
        <f t="shared" si="106"/>
        <v/>
      </c>
      <c r="F181" s="14" t="str">
        <f t="shared" si="107"/>
        <v/>
      </c>
      <c r="G181" s="14" t="str">
        <f t="shared" si="108"/>
        <v/>
      </c>
      <c r="H181" s="14" t="str">
        <f t="shared" si="109"/>
        <v/>
      </c>
      <c r="I181" s="14" t="str">
        <f t="shared" si="110"/>
        <v/>
      </c>
      <c r="J181" s="14" t="str">
        <f t="shared" si="111"/>
        <v/>
      </c>
      <c r="K181" s="14" t="str">
        <f t="shared" si="112"/>
        <v/>
      </c>
      <c r="L181" s="14" t="str">
        <f t="shared" si="113"/>
        <v/>
      </c>
      <c r="M181" s="14" t="str">
        <f t="shared" si="114"/>
        <v/>
      </c>
      <c r="N181" s="14" t="str">
        <f t="shared" si="115"/>
        <v/>
      </c>
      <c r="O181" s="14" t="s">
        <v>11</v>
      </c>
      <c r="P181" s="14" t="s">
        <v>11</v>
      </c>
      <c r="Q181" s="14" t="s">
        <v>11</v>
      </c>
      <c r="R181" s="14" t="s">
        <v>13</v>
      </c>
      <c r="S181" s="14" t="s">
        <v>11</v>
      </c>
      <c r="T181" s="14" t="s">
        <v>11</v>
      </c>
      <c r="U181" s="14" t="s">
        <v>11</v>
      </c>
      <c r="V181" s="14" t="s">
        <v>11</v>
      </c>
      <c r="W181" s="14" t="s">
        <v>11</v>
      </c>
      <c r="X181" s="14" t="s">
        <v>11</v>
      </c>
      <c r="Y181" s="14" t="str">
        <f t="shared" si="117"/>
        <v/>
      </c>
      <c r="Z181" s="14" t="str">
        <f t="shared" si="118"/>
        <v/>
      </c>
      <c r="AA181" s="15">
        <f t="shared" si="13"/>
        <v>0</v>
      </c>
      <c r="AB181" s="14" t="s">
        <v>11</v>
      </c>
      <c r="AC181" s="14" t="s">
        <v>41</v>
      </c>
      <c r="AD181" s="14" t="s">
        <v>11</v>
      </c>
      <c r="AE181" s="14" t="s">
        <v>11</v>
      </c>
      <c r="AF181" s="14" t="s">
        <v>13</v>
      </c>
      <c r="AG181" s="14" t="s">
        <v>11</v>
      </c>
      <c r="AH181" s="14" t="s">
        <v>11</v>
      </c>
      <c r="AI181" s="14" t="s">
        <v>11</v>
      </c>
      <c r="AJ181" s="14" t="s">
        <v>11</v>
      </c>
      <c r="AK181" s="14" t="s">
        <v>11</v>
      </c>
      <c r="AL181" s="14" t="str">
        <f t="shared" si="119"/>
        <v>T</v>
      </c>
      <c r="AM181" s="14" t="str">
        <f t="shared" si="120"/>
        <v>T</v>
      </c>
      <c r="AN181" s="14" t="str">
        <f t="shared" si="121"/>
        <v/>
      </c>
      <c r="AO181" s="14" t="str">
        <f t="shared" si="122"/>
        <v/>
      </c>
      <c r="AP181" s="14" t="str">
        <f t="shared" si="123"/>
        <v/>
      </c>
      <c r="AQ181" s="14" t="str">
        <f t="shared" si="97"/>
        <v/>
      </c>
      <c r="AR181" s="79">
        <f t="shared" si="18"/>
        <v>0</v>
      </c>
      <c r="AT181" s="17">
        <f t="shared" si="96"/>
        <v>0</v>
      </c>
    </row>
    <row r="182" spans="2:46" x14ac:dyDescent="0.2">
      <c r="B182" s="78"/>
      <c r="C182" s="15" t="s">
        <v>53</v>
      </c>
      <c r="D182" s="30" t="str">
        <f t="shared" si="116"/>
        <v/>
      </c>
      <c r="E182" s="14" t="str">
        <f t="shared" si="106"/>
        <v/>
      </c>
      <c r="F182" s="14" t="str">
        <f t="shared" si="107"/>
        <v/>
      </c>
      <c r="G182" s="14" t="str">
        <f t="shared" si="108"/>
        <v/>
      </c>
      <c r="H182" s="14" t="str">
        <f t="shared" si="109"/>
        <v/>
      </c>
      <c r="I182" s="14" t="str">
        <f t="shared" si="110"/>
        <v/>
      </c>
      <c r="J182" s="14" t="str">
        <f t="shared" si="111"/>
        <v/>
      </c>
      <c r="K182" s="14" t="str">
        <f t="shared" si="112"/>
        <v/>
      </c>
      <c r="L182" s="14" t="str">
        <f t="shared" si="113"/>
        <v/>
      </c>
      <c r="M182" s="14" t="str">
        <f t="shared" si="114"/>
        <v/>
      </c>
      <c r="N182" s="14" t="str">
        <f t="shared" si="115"/>
        <v/>
      </c>
      <c r="O182" s="14" t="s">
        <v>11</v>
      </c>
      <c r="P182" s="14" t="s">
        <v>11</v>
      </c>
      <c r="Q182" s="14" t="s">
        <v>11</v>
      </c>
      <c r="R182" s="14" t="s">
        <v>13</v>
      </c>
      <c r="S182" s="14" t="s">
        <v>11</v>
      </c>
      <c r="T182" s="14" t="s">
        <v>11</v>
      </c>
      <c r="U182" s="14" t="s">
        <v>11</v>
      </c>
      <c r="V182" s="14" t="s">
        <v>11</v>
      </c>
      <c r="W182" s="14" t="s">
        <v>11</v>
      </c>
      <c r="X182" s="14" t="s">
        <v>11</v>
      </c>
      <c r="Y182" s="14" t="str">
        <f t="shared" si="117"/>
        <v/>
      </c>
      <c r="Z182" s="14" t="str">
        <f t="shared" si="118"/>
        <v/>
      </c>
      <c r="AA182" s="15">
        <f t="shared" si="13"/>
        <v>0</v>
      </c>
      <c r="AB182" s="14" t="s">
        <v>11</v>
      </c>
      <c r="AC182" s="14" t="s">
        <v>41</v>
      </c>
      <c r="AD182" s="14" t="s">
        <v>11</v>
      </c>
      <c r="AE182" s="14" t="s">
        <v>11</v>
      </c>
      <c r="AF182" s="14" t="s">
        <v>13</v>
      </c>
      <c r="AG182" s="14" t="s">
        <v>11</v>
      </c>
      <c r="AH182" s="14" t="s">
        <v>11</v>
      </c>
      <c r="AI182" s="14" t="s">
        <v>11</v>
      </c>
      <c r="AJ182" s="14" t="s">
        <v>11</v>
      </c>
      <c r="AK182" s="14" t="s">
        <v>11</v>
      </c>
      <c r="AL182" s="14" t="str">
        <f t="shared" si="119"/>
        <v>T</v>
      </c>
      <c r="AM182" s="14" t="str">
        <f t="shared" si="120"/>
        <v>T</v>
      </c>
      <c r="AN182" s="14" t="str">
        <f t="shared" si="121"/>
        <v/>
      </c>
      <c r="AO182" s="14" t="str">
        <f t="shared" si="122"/>
        <v/>
      </c>
      <c r="AP182" s="14" t="str">
        <f t="shared" si="123"/>
        <v/>
      </c>
      <c r="AQ182" s="14" t="str">
        <f t="shared" si="97"/>
        <v/>
      </c>
      <c r="AR182" s="79">
        <f t="shared" si="18"/>
        <v>0</v>
      </c>
      <c r="AT182" s="17">
        <f t="shared" si="96"/>
        <v>0</v>
      </c>
    </row>
    <row r="183" spans="2:46" x14ac:dyDescent="0.2">
      <c r="B183" s="78"/>
      <c r="C183" s="15" t="s">
        <v>53</v>
      </c>
      <c r="D183" s="30" t="str">
        <f t="shared" si="116"/>
        <v/>
      </c>
      <c r="E183" s="14" t="str">
        <f t="shared" si="106"/>
        <v/>
      </c>
      <c r="F183" s="14" t="str">
        <f t="shared" si="107"/>
        <v/>
      </c>
      <c r="G183" s="14" t="str">
        <f t="shared" si="108"/>
        <v/>
      </c>
      <c r="H183" s="14" t="str">
        <f t="shared" si="109"/>
        <v/>
      </c>
      <c r="I183" s="14" t="str">
        <f t="shared" si="110"/>
        <v/>
      </c>
      <c r="J183" s="14" t="str">
        <f t="shared" si="111"/>
        <v/>
      </c>
      <c r="K183" s="14" t="str">
        <f t="shared" si="112"/>
        <v/>
      </c>
      <c r="L183" s="14" t="str">
        <f t="shared" si="113"/>
        <v/>
      </c>
      <c r="M183" s="14" t="str">
        <f t="shared" si="114"/>
        <v/>
      </c>
      <c r="N183" s="14" t="str">
        <f t="shared" si="115"/>
        <v/>
      </c>
      <c r="O183" s="14" t="s">
        <v>11</v>
      </c>
      <c r="P183" s="14" t="s">
        <v>11</v>
      </c>
      <c r="Q183" s="14" t="s">
        <v>11</v>
      </c>
      <c r="R183" s="14" t="s">
        <v>13</v>
      </c>
      <c r="S183" s="14" t="s">
        <v>11</v>
      </c>
      <c r="T183" s="14" t="s">
        <v>11</v>
      </c>
      <c r="U183" s="14" t="s">
        <v>11</v>
      </c>
      <c r="V183" s="14" t="s">
        <v>11</v>
      </c>
      <c r="W183" s="14" t="s">
        <v>11</v>
      </c>
      <c r="X183" s="14" t="s">
        <v>11</v>
      </c>
      <c r="Y183" s="14" t="str">
        <f t="shared" si="117"/>
        <v/>
      </c>
      <c r="Z183" s="14" t="str">
        <f t="shared" si="118"/>
        <v/>
      </c>
      <c r="AA183" s="15">
        <f t="shared" si="13"/>
        <v>0</v>
      </c>
      <c r="AB183" s="14" t="s">
        <v>11</v>
      </c>
      <c r="AC183" s="14" t="s">
        <v>41</v>
      </c>
      <c r="AD183" s="14" t="s">
        <v>11</v>
      </c>
      <c r="AE183" s="14" t="s">
        <v>11</v>
      </c>
      <c r="AF183" s="14" t="s">
        <v>13</v>
      </c>
      <c r="AG183" s="14" t="s">
        <v>11</v>
      </c>
      <c r="AH183" s="14" t="s">
        <v>11</v>
      </c>
      <c r="AI183" s="14" t="s">
        <v>11</v>
      </c>
      <c r="AJ183" s="14" t="s">
        <v>11</v>
      </c>
      <c r="AK183" s="14" t="s">
        <v>11</v>
      </c>
      <c r="AL183" s="14" t="str">
        <f t="shared" si="119"/>
        <v>T</v>
      </c>
      <c r="AM183" s="14" t="str">
        <f t="shared" si="120"/>
        <v>T</v>
      </c>
      <c r="AN183" s="14" t="str">
        <f t="shared" si="121"/>
        <v/>
      </c>
      <c r="AO183" s="14" t="str">
        <f t="shared" si="122"/>
        <v/>
      </c>
      <c r="AP183" s="14" t="str">
        <f t="shared" si="123"/>
        <v/>
      </c>
      <c r="AQ183" s="14" t="str">
        <f t="shared" si="97"/>
        <v/>
      </c>
      <c r="AR183" s="79">
        <f t="shared" si="18"/>
        <v>0</v>
      </c>
      <c r="AT183" s="17">
        <f t="shared" si="96"/>
        <v>0</v>
      </c>
    </row>
    <row r="184" spans="2:46" x14ac:dyDescent="0.2">
      <c r="B184" s="78"/>
      <c r="C184" s="15" t="s">
        <v>53</v>
      </c>
      <c r="D184" s="30" t="str">
        <f t="shared" si="116"/>
        <v/>
      </c>
      <c r="E184" s="14" t="str">
        <f t="shared" si="106"/>
        <v/>
      </c>
      <c r="F184" s="14" t="str">
        <f t="shared" si="107"/>
        <v/>
      </c>
      <c r="G184" s="14" t="str">
        <f t="shared" si="108"/>
        <v/>
      </c>
      <c r="H184" s="14" t="str">
        <f t="shared" si="109"/>
        <v/>
      </c>
      <c r="I184" s="14" t="str">
        <f t="shared" si="110"/>
        <v/>
      </c>
      <c r="J184" s="14" t="str">
        <f t="shared" si="111"/>
        <v/>
      </c>
      <c r="K184" s="14" t="str">
        <f t="shared" si="112"/>
        <v/>
      </c>
      <c r="L184" s="14" t="str">
        <f t="shared" si="113"/>
        <v/>
      </c>
      <c r="M184" s="14" t="str">
        <f t="shared" si="114"/>
        <v/>
      </c>
      <c r="N184" s="14" t="str">
        <f t="shared" si="115"/>
        <v/>
      </c>
      <c r="O184" s="14" t="s">
        <v>11</v>
      </c>
      <c r="P184" s="14" t="s">
        <v>11</v>
      </c>
      <c r="Q184" s="14" t="s">
        <v>11</v>
      </c>
      <c r="R184" s="14" t="s">
        <v>13</v>
      </c>
      <c r="S184" s="14" t="s">
        <v>11</v>
      </c>
      <c r="T184" s="14" t="s">
        <v>11</v>
      </c>
      <c r="U184" s="14" t="s">
        <v>11</v>
      </c>
      <c r="V184" s="14" t="s">
        <v>11</v>
      </c>
      <c r="W184" s="14" t="s">
        <v>11</v>
      </c>
      <c r="X184" s="14" t="s">
        <v>11</v>
      </c>
      <c r="Y184" s="14" t="str">
        <f t="shared" si="117"/>
        <v/>
      </c>
      <c r="Z184" s="14" t="str">
        <f t="shared" si="118"/>
        <v/>
      </c>
      <c r="AA184" s="15">
        <f t="shared" si="13"/>
        <v>0</v>
      </c>
      <c r="AB184" s="14" t="s">
        <v>11</v>
      </c>
      <c r="AC184" s="14" t="s">
        <v>11</v>
      </c>
      <c r="AD184" s="14" t="s">
        <v>11</v>
      </c>
      <c r="AE184" s="14" t="s">
        <v>11</v>
      </c>
      <c r="AF184" s="14" t="s">
        <v>13</v>
      </c>
      <c r="AG184" s="14" t="s">
        <v>11</v>
      </c>
      <c r="AH184" s="14" t="s">
        <v>11</v>
      </c>
      <c r="AI184" s="14" t="s">
        <v>11</v>
      </c>
      <c r="AJ184" s="14" t="s">
        <v>11</v>
      </c>
      <c r="AK184" s="14" t="s">
        <v>11</v>
      </c>
      <c r="AL184" s="14" t="str">
        <f t="shared" si="119"/>
        <v>T</v>
      </c>
      <c r="AM184" s="14" t="str">
        <f t="shared" si="120"/>
        <v>T</v>
      </c>
      <c r="AN184" s="14" t="str">
        <f t="shared" si="121"/>
        <v/>
      </c>
      <c r="AO184" s="14" t="str">
        <f t="shared" si="122"/>
        <v/>
      </c>
      <c r="AP184" s="14" t="str">
        <f t="shared" si="123"/>
        <v/>
      </c>
      <c r="AQ184" s="14" t="str">
        <f t="shared" si="97"/>
        <v/>
      </c>
      <c r="AR184" s="79">
        <f t="shared" si="18"/>
        <v>0</v>
      </c>
      <c r="AT184" s="17">
        <f t="shared" si="96"/>
        <v>0</v>
      </c>
    </row>
    <row r="185" spans="2:46" x14ac:dyDescent="0.2">
      <c r="B185" s="78"/>
      <c r="C185" s="15" t="s">
        <v>53</v>
      </c>
      <c r="D185" s="30" t="str">
        <f t="shared" si="116"/>
        <v/>
      </c>
      <c r="E185" s="14" t="str">
        <f t="shared" si="106"/>
        <v/>
      </c>
      <c r="F185" s="14" t="str">
        <f t="shared" si="107"/>
        <v/>
      </c>
      <c r="G185" s="14" t="str">
        <f t="shared" si="108"/>
        <v/>
      </c>
      <c r="H185" s="14" t="str">
        <f t="shared" si="109"/>
        <v/>
      </c>
      <c r="I185" s="14" t="str">
        <f t="shared" si="110"/>
        <v/>
      </c>
      <c r="J185" s="14" t="str">
        <f t="shared" si="111"/>
        <v/>
      </c>
      <c r="K185" s="14" t="str">
        <f t="shared" si="112"/>
        <v/>
      </c>
      <c r="L185" s="14" t="str">
        <f t="shared" si="113"/>
        <v/>
      </c>
      <c r="M185" s="14" t="str">
        <f t="shared" si="114"/>
        <v/>
      </c>
      <c r="N185" s="14" t="str">
        <f t="shared" si="115"/>
        <v/>
      </c>
      <c r="O185" s="14" t="s">
        <v>11</v>
      </c>
      <c r="P185" s="14" t="s">
        <v>11</v>
      </c>
      <c r="Q185" s="14" t="s">
        <v>11</v>
      </c>
      <c r="R185" s="14" t="s">
        <v>13</v>
      </c>
      <c r="S185" s="14" t="s">
        <v>11</v>
      </c>
      <c r="T185" s="14" t="s">
        <v>11</v>
      </c>
      <c r="U185" s="14" t="s">
        <v>11</v>
      </c>
      <c r="V185" s="14" t="s">
        <v>11</v>
      </c>
      <c r="W185" s="14" t="s">
        <v>11</v>
      </c>
      <c r="X185" s="14" t="s">
        <v>11</v>
      </c>
      <c r="Y185" s="14" t="str">
        <f t="shared" si="117"/>
        <v/>
      </c>
      <c r="Z185" s="14" t="str">
        <f t="shared" si="118"/>
        <v/>
      </c>
      <c r="AA185" s="15">
        <f t="shared" si="13"/>
        <v>0</v>
      </c>
      <c r="AB185" s="14" t="s">
        <v>11</v>
      </c>
      <c r="AC185" s="14" t="s">
        <v>11</v>
      </c>
      <c r="AD185" s="14" t="s">
        <v>11</v>
      </c>
      <c r="AE185" s="14" t="s">
        <v>11</v>
      </c>
      <c r="AF185" s="14" t="s">
        <v>13</v>
      </c>
      <c r="AG185" s="14" t="s">
        <v>11</v>
      </c>
      <c r="AH185" s="14" t="s">
        <v>11</v>
      </c>
      <c r="AI185" s="14" t="s">
        <v>11</v>
      </c>
      <c r="AJ185" s="14" t="s">
        <v>11</v>
      </c>
      <c r="AK185" s="14" t="s">
        <v>11</v>
      </c>
      <c r="AL185" s="14" t="str">
        <f t="shared" si="119"/>
        <v>T</v>
      </c>
      <c r="AM185" s="14" t="str">
        <f t="shared" si="120"/>
        <v>T</v>
      </c>
      <c r="AN185" s="14" t="str">
        <f t="shared" si="121"/>
        <v/>
      </c>
      <c r="AO185" s="14" t="str">
        <f t="shared" si="122"/>
        <v/>
      </c>
      <c r="AP185" s="14" t="str">
        <f t="shared" si="123"/>
        <v/>
      </c>
      <c r="AQ185" s="14" t="str">
        <f t="shared" si="97"/>
        <v/>
      </c>
      <c r="AR185" s="79">
        <f t="shared" si="18"/>
        <v>0</v>
      </c>
      <c r="AT185" s="17">
        <f t="shared" si="96"/>
        <v>0</v>
      </c>
    </row>
    <row r="186" spans="2:46" x14ac:dyDescent="0.2">
      <c r="B186" s="78"/>
      <c r="C186" s="15" t="s">
        <v>53</v>
      </c>
      <c r="D186" s="30" t="str">
        <f t="shared" si="116"/>
        <v/>
      </c>
      <c r="E186" s="14" t="str">
        <f t="shared" si="106"/>
        <v/>
      </c>
      <c r="F186" s="14" t="str">
        <f t="shared" si="107"/>
        <v/>
      </c>
      <c r="G186" s="14" t="str">
        <f t="shared" si="108"/>
        <v/>
      </c>
      <c r="H186" s="14" t="str">
        <f t="shared" si="109"/>
        <v/>
      </c>
      <c r="I186" s="14" t="str">
        <f t="shared" si="110"/>
        <v/>
      </c>
      <c r="J186" s="14" t="str">
        <f t="shared" si="111"/>
        <v/>
      </c>
      <c r="K186" s="14" t="str">
        <f t="shared" si="112"/>
        <v/>
      </c>
      <c r="L186" s="14" t="str">
        <f t="shared" si="113"/>
        <v/>
      </c>
      <c r="M186" s="14" t="str">
        <f t="shared" si="114"/>
        <v/>
      </c>
      <c r="N186" s="14" t="str">
        <f t="shared" si="115"/>
        <v/>
      </c>
      <c r="O186" s="14" t="s">
        <v>11</v>
      </c>
      <c r="P186" s="14" t="s">
        <v>11</v>
      </c>
      <c r="Q186" s="14" t="s">
        <v>11</v>
      </c>
      <c r="R186" s="14" t="s">
        <v>13</v>
      </c>
      <c r="S186" s="14" t="s">
        <v>11</v>
      </c>
      <c r="T186" s="14" t="s">
        <v>11</v>
      </c>
      <c r="U186" s="14" t="s">
        <v>11</v>
      </c>
      <c r="V186" s="14" t="s">
        <v>11</v>
      </c>
      <c r="W186" s="14" t="s">
        <v>11</v>
      </c>
      <c r="X186" s="14" t="s">
        <v>11</v>
      </c>
      <c r="Y186" s="14" t="str">
        <f t="shared" si="117"/>
        <v/>
      </c>
      <c r="Z186" s="14" t="str">
        <f t="shared" si="118"/>
        <v/>
      </c>
      <c r="AA186" s="15">
        <f t="shared" si="13"/>
        <v>0</v>
      </c>
      <c r="AB186" s="14" t="s">
        <v>11</v>
      </c>
      <c r="AC186" s="14" t="s">
        <v>11</v>
      </c>
      <c r="AD186" s="14" t="s">
        <v>11</v>
      </c>
      <c r="AE186" s="14" t="s">
        <v>11</v>
      </c>
      <c r="AF186" s="14" t="s">
        <v>13</v>
      </c>
      <c r="AG186" s="14" t="s">
        <v>11</v>
      </c>
      <c r="AH186" s="14" t="s">
        <v>11</v>
      </c>
      <c r="AI186" s="14" t="s">
        <v>11</v>
      </c>
      <c r="AJ186" s="14" t="s">
        <v>11</v>
      </c>
      <c r="AK186" s="14" t="s">
        <v>11</v>
      </c>
      <c r="AL186" s="14" t="str">
        <f t="shared" si="119"/>
        <v>T</v>
      </c>
      <c r="AM186" s="14" t="str">
        <f t="shared" si="120"/>
        <v>T</v>
      </c>
      <c r="AN186" s="14" t="str">
        <f t="shared" si="121"/>
        <v/>
      </c>
      <c r="AO186" s="14" t="str">
        <f t="shared" si="122"/>
        <v/>
      </c>
      <c r="AP186" s="14" t="str">
        <f t="shared" si="123"/>
        <v/>
      </c>
      <c r="AQ186" s="14" t="str">
        <f t="shared" si="97"/>
        <v/>
      </c>
      <c r="AR186" s="79">
        <f t="shared" si="18"/>
        <v>0</v>
      </c>
      <c r="AT186" s="17">
        <f t="shared" si="96"/>
        <v>0</v>
      </c>
    </row>
    <row r="187" spans="2:46" x14ac:dyDescent="0.2">
      <c r="B187" s="78"/>
      <c r="C187" s="15" t="s">
        <v>53</v>
      </c>
      <c r="D187" s="30" t="str">
        <f t="shared" si="116"/>
        <v/>
      </c>
      <c r="E187" s="14" t="str">
        <f t="shared" si="106"/>
        <v/>
      </c>
      <c r="F187" s="14" t="str">
        <f t="shared" si="107"/>
        <v/>
      </c>
      <c r="G187" s="14" t="str">
        <f t="shared" si="108"/>
        <v/>
      </c>
      <c r="H187" s="14" t="str">
        <f t="shared" si="109"/>
        <v/>
      </c>
      <c r="I187" s="14" t="str">
        <f t="shared" si="110"/>
        <v/>
      </c>
      <c r="J187" s="14" t="str">
        <f t="shared" si="111"/>
        <v/>
      </c>
      <c r="K187" s="14" t="str">
        <f t="shared" si="112"/>
        <v/>
      </c>
      <c r="L187" s="14" t="str">
        <f t="shared" si="113"/>
        <v/>
      </c>
      <c r="M187" s="14" t="str">
        <f t="shared" si="114"/>
        <v/>
      </c>
      <c r="N187" s="14" t="str">
        <f t="shared" si="115"/>
        <v/>
      </c>
      <c r="O187" s="14" t="s">
        <v>11</v>
      </c>
      <c r="P187" s="14" t="s">
        <v>11</v>
      </c>
      <c r="Q187" s="14" t="s">
        <v>11</v>
      </c>
      <c r="R187" s="14" t="s">
        <v>13</v>
      </c>
      <c r="S187" s="14" t="s">
        <v>11</v>
      </c>
      <c r="T187" s="14" t="s">
        <v>11</v>
      </c>
      <c r="U187" s="14" t="s">
        <v>11</v>
      </c>
      <c r="V187" s="14" t="s">
        <v>11</v>
      </c>
      <c r="W187" s="14" t="s">
        <v>11</v>
      </c>
      <c r="X187" s="14" t="s">
        <v>11</v>
      </c>
      <c r="Y187" s="14" t="str">
        <f t="shared" si="117"/>
        <v/>
      </c>
      <c r="Z187" s="14" t="str">
        <f t="shared" si="118"/>
        <v/>
      </c>
      <c r="AA187" s="15">
        <f t="shared" si="13"/>
        <v>0</v>
      </c>
      <c r="AB187" s="14" t="s">
        <v>11</v>
      </c>
      <c r="AC187" s="14" t="s">
        <v>11</v>
      </c>
      <c r="AD187" s="14" t="s">
        <v>11</v>
      </c>
      <c r="AE187" s="14" t="s">
        <v>11</v>
      </c>
      <c r="AF187" s="14" t="s">
        <v>13</v>
      </c>
      <c r="AG187" s="14" t="s">
        <v>11</v>
      </c>
      <c r="AH187" s="14" t="s">
        <v>11</v>
      </c>
      <c r="AI187" s="14" t="s">
        <v>11</v>
      </c>
      <c r="AJ187" s="14" t="s">
        <v>11</v>
      </c>
      <c r="AK187" s="14" t="s">
        <v>11</v>
      </c>
      <c r="AL187" s="14" t="str">
        <f t="shared" si="119"/>
        <v>T</v>
      </c>
      <c r="AM187" s="14" t="str">
        <f t="shared" si="120"/>
        <v>T</v>
      </c>
      <c r="AN187" s="14" t="str">
        <f t="shared" si="121"/>
        <v/>
      </c>
      <c r="AO187" s="14" t="str">
        <f t="shared" si="122"/>
        <v/>
      </c>
      <c r="AP187" s="14" t="str">
        <f t="shared" si="123"/>
        <v/>
      </c>
      <c r="AQ187" s="14" t="str">
        <f t="shared" si="97"/>
        <v/>
      </c>
      <c r="AR187" s="79">
        <f t="shared" si="18"/>
        <v>0</v>
      </c>
      <c r="AT187" s="17">
        <f t="shared" si="96"/>
        <v>0</v>
      </c>
    </row>
    <row r="188" spans="2:46" ht="12" thickBot="1" x14ac:dyDescent="0.25">
      <c r="B188" s="80"/>
      <c r="C188" s="81" t="s">
        <v>53</v>
      </c>
      <c r="D188" s="82" t="str">
        <f t="shared" si="116"/>
        <v/>
      </c>
      <c r="E188" s="83" t="str">
        <f t="shared" si="106"/>
        <v/>
      </c>
      <c r="F188" s="83" t="str">
        <f t="shared" si="107"/>
        <v/>
      </c>
      <c r="G188" s="83" t="str">
        <f t="shared" si="108"/>
        <v/>
      </c>
      <c r="H188" s="83" t="str">
        <f t="shared" si="109"/>
        <v/>
      </c>
      <c r="I188" s="83" t="str">
        <f t="shared" si="110"/>
        <v/>
      </c>
      <c r="J188" s="83" t="str">
        <f t="shared" si="111"/>
        <v/>
      </c>
      <c r="K188" s="83" t="str">
        <f t="shared" si="112"/>
        <v/>
      </c>
      <c r="L188" s="83" t="str">
        <f t="shared" si="113"/>
        <v/>
      </c>
      <c r="M188" s="83" t="str">
        <f t="shared" si="114"/>
        <v/>
      </c>
      <c r="N188" s="83" t="str">
        <f t="shared" si="115"/>
        <v/>
      </c>
      <c r="O188" s="83" t="s">
        <v>11</v>
      </c>
      <c r="P188" s="83" t="s">
        <v>11</v>
      </c>
      <c r="Q188" s="83" t="s">
        <v>11</v>
      </c>
      <c r="R188" s="83" t="s">
        <v>13</v>
      </c>
      <c r="S188" s="83" t="s">
        <v>11</v>
      </c>
      <c r="T188" s="83" t="s">
        <v>11</v>
      </c>
      <c r="U188" s="83" t="s">
        <v>11</v>
      </c>
      <c r="V188" s="83" t="s">
        <v>11</v>
      </c>
      <c r="W188" s="83" t="s">
        <v>11</v>
      </c>
      <c r="X188" s="83" t="s">
        <v>11</v>
      </c>
      <c r="Y188" s="83" t="str">
        <f t="shared" si="117"/>
        <v/>
      </c>
      <c r="Z188" s="83" t="str">
        <f t="shared" si="118"/>
        <v/>
      </c>
      <c r="AA188" s="81">
        <f t="shared" si="13"/>
        <v>0</v>
      </c>
      <c r="AB188" s="83" t="s">
        <v>11</v>
      </c>
      <c r="AC188" s="83" t="s">
        <v>41</v>
      </c>
      <c r="AD188" s="83" t="s">
        <v>11</v>
      </c>
      <c r="AE188" s="83" t="s">
        <v>11</v>
      </c>
      <c r="AF188" s="83" t="s">
        <v>13</v>
      </c>
      <c r="AG188" s="83" t="s">
        <v>11</v>
      </c>
      <c r="AH188" s="83" t="s">
        <v>11</v>
      </c>
      <c r="AI188" s="83" t="s">
        <v>11</v>
      </c>
      <c r="AJ188" s="83" t="s">
        <v>11</v>
      </c>
      <c r="AK188" s="83" t="s">
        <v>11</v>
      </c>
      <c r="AL188" s="83" t="str">
        <f t="shared" si="119"/>
        <v>T</v>
      </c>
      <c r="AM188" s="83" t="str">
        <f t="shared" si="120"/>
        <v>T</v>
      </c>
      <c r="AN188" s="83" t="str">
        <f t="shared" si="121"/>
        <v/>
      </c>
      <c r="AO188" s="83" t="str">
        <f t="shared" si="122"/>
        <v/>
      </c>
      <c r="AP188" s="83" t="str">
        <f t="shared" si="123"/>
        <v/>
      </c>
      <c r="AQ188" s="14" t="str">
        <f t="shared" si="97"/>
        <v/>
      </c>
      <c r="AR188" s="84">
        <f t="shared" si="18"/>
        <v>0</v>
      </c>
      <c r="AT188" s="17">
        <f t="shared" si="96"/>
        <v>0</v>
      </c>
    </row>
    <row r="189" spans="2:46" x14ac:dyDescent="0.2">
      <c r="B189" s="69"/>
      <c r="C189" s="70" t="s">
        <v>53</v>
      </c>
      <c r="D189" s="71" t="str">
        <f t="shared" si="116"/>
        <v/>
      </c>
      <c r="E189" s="72" t="str">
        <f t="shared" si="106"/>
        <v/>
      </c>
      <c r="F189" s="72" t="str">
        <f t="shared" si="107"/>
        <v/>
      </c>
      <c r="G189" s="72" t="str">
        <f t="shared" si="108"/>
        <v/>
      </c>
      <c r="H189" s="72" t="str">
        <f t="shared" si="109"/>
        <v/>
      </c>
      <c r="I189" s="72" t="str">
        <f t="shared" si="110"/>
        <v/>
      </c>
      <c r="J189" s="72" t="str">
        <f t="shared" si="111"/>
        <v/>
      </c>
      <c r="K189" s="72" t="str">
        <f t="shared" si="112"/>
        <v/>
      </c>
      <c r="L189" s="72" t="str">
        <f t="shared" si="113"/>
        <v/>
      </c>
      <c r="M189" s="72" t="str">
        <f t="shared" si="114"/>
        <v/>
      </c>
      <c r="N189" s="72" t="str">
        <f t="shared" si="115"/>
        <v/>
      </c>
      <c r="O189" s="72" t="s">
        <v>11</v>
      </c>
      <c r="P189" s="72" t="s">
        <v>11</v>
      </c>
      <c r="Q189" s="72" t="s">
        <v>11</v>
      </c>
      <c r="R189" s="72" t="s">
        <v>13</v>
      </c>
      <c r="S189" s="72" t="s">
        <v>11</v>
      </c>
      <c r="T189" s="72" t="s">
        <v>11</v>
      </c>
      <c r="U189" s="72" t="s">
        <v>11</v>
      </c>
      <c r="V189" s="72" t="s">
        <v>11</v>
      </c>
      <c r="W189" s="72" t="s">
        <v>11</v>
      </c>
      <c r="X189" s="72" t="s">
        <v>11</v>
      </c>
      <c r="Y189" s="72" t="str">
        <f t="shared" si="117"/>
        <v/>
      </c>
      <c r="Z189" s="72" t="str">
        <f t="shared" si="118"/>
        <v/>
      </c>
      <c r="AA189" s="70">
        <f t="shared" si="13"/>
        <v>0</v>
      </c>
      <c r="AB189" s="72" t="s">
        <v>11</v>
      </c>
      <c r="AC189" s="72" t="s">
        <v>41</v>
      </c>
      <c r="AD189" s="72" t="s">
        <v>11</v>
      </c>
      <c r="AE189" s="72" t="s">
        <v>11</v>
      </c>
      <c r="AF189" s="72" t="s">
        <v>13</v>
      </c>
      <c r="AG189" s="72" t="s">
        <v>11</v>
      </c>
      <c r="AH189" s="72" t="s">
        <v>11</v>
      </c>
      <c r="AI189" s="72" t="s">
        <v>11</v>
      </c>
      <c r="AJ189" s="72" t="s">
        <v>11</v>
      </c>
      <c r="AK189" s="72" t="s">
        <v>11</v>
      </c>
      <c r="AL189" s="72" t="str">
        <f t="shared" si="119"/>
        <v>T</v>
      </c>
      <c r="AM189" s="72" t="str">
        <f t="shared" si="120"/>
        <v>T</v>
      </c>
      <c r="AN189" s="72" t="str">
        <f t="shared" si="121"/>
        <v/>
      </c>
      <c r="AO189" s="72" t="str">
        <f t="shared" si="122"/>
        <v/>
      </c>
      <c r="AP189" s="72" t="str">
        <f t="shared" si="123"/>
        <v/>
      </c>
      <c r="AQ189" s="14" t="str">
        <f t="shared" si="97"/>
        <v/>
      </c>
      <c r="AR189" s="70">
        <f t="shared" si="18"/>
        <v>0</v>
      </c>
      <c r="AT189" s="17">
        <f t="shared" si="96"/>
        <v>0</v>
      </c>
    </row>
    <row r="190" spans="2:46" x14ac:dyDescent="0.2">
      <c r="B190" s="16"/>
      <c r="C190" s="15" t="s">
        <v>53</v>
      </c>
      <c r="D190" s="30" t="str">
        <f t="shared" si="116"/>
        <v/>
      </c>
      <c r="E190" s="14" t="str">
        <f t="shared" si="106"/>
        <v/>
      </c>
      <c r="F190" s="14" t="str">
        <f t="shared" si="107"/>
        <v/>
      </c>
      <c r="G190" s="14" t="str">
        <f t="shared" si="108"/>
        <v/>
      </c>
      <c r="H190" s="14" t="str">
        <f t="shared" si="109"/>
        <v/>
      </c>
      <c r="I190" s="14" t="str">
        <f t="shared" si="110"/>
        <v/>
      </c>
      <c r="J190" s="14" t="str">
        <f t="shared" si="111"/>
        <v/>
      </c>
      <c r="K190" s="14" t="str">
        <f t="shared" si="112"/>
        <v/>
      </c>
      <c r="L190" s="14" t="str">
        <f t="shared" si="113"/>
        <v/>
      </c>
      <c r="M190" s="14" t="str">
        <f t="shared" si="114"/>
        <v/>
      </c>
      <c r="N190" s="14" t="str">
        <f t="shared" si="115"/>
        <v/>
      </c>
      <c r="O190" s="14" t="s">
        <v>11</v>
      </c>
      <c r="P190" s="14" t="s">
        <v>11</v>
      </c>
      <c r="Q190" s="14" t="s">
        <v>11</v>
      </c>
      <c r="R190" s="14" t="s">
        <v>13</v>
      </c>
      <c r="S190" s="14" t="s">
        <v>11</v>
      </c>
      <c r="T190" s="14" t="s">
        <v>11</v>
      </c>
      <c r="U190" s="14" t="s">
        <v>11</v>
      </c>
      <c r="V190" s="14" t="s">
        <v>11</v>
      </c>
      <c r="W190" s="14" t="s">
        <v>11</v>
      </c>
      <c r="X190" s="14" t="s">
        <v>11</v>
      </c>
      <c r="Y190" s="14" t="str">
        <f t="shared" si="117"/>
        <v/>
      </c>
      <c r="Z190" s="14" t="str">
        <f t="shared" si="118"/>
        <v/>
      </c>
      <c r="AA190" s="15">
        <f t="shared" si="13"/>
        <v>0</v>
      </c>
      <c r="AB190" s="14" t="s">
        <v>11</v>
      </c>
      <c r="AC190" s="14" t="s">
        <v>41</v>
      </c>
      <c r="AD190" s="14" t="s">
        <v>11</v>
      </c>
      <c r="AE190" s="14" t="s">
        <v>11</v>
      </c>
      <c r="AF190" s="14" t="s">
        <v>13</v>
      </c>
      <c r="AG190" s="14" t="s">
        <v>11</v>
      </c>
      <c r="AH190" s="14" t="s">
        <v>11</v>
      </c>
      <c r="AI190" s="14" t="s">
        <v>11</v>
      </c>
      <c r="AJ190" s="14" t="s">
        <v>11</v>
      </c>
      <c r="AK190" s="14" t="s">
        <v>11</v>
      </c>
      <c r="AL190" s="14" t="str">
        <f t="shared" si="119"/>
        <v>T</v>
      </c>
      <c r="AM190" s="14" t="str">
        <f t="shared" si="120"/>
        <v>T</v>
      </c>
      <c r="AN190" s="14" t="str">
        <f t="shared" si="121"/>
        <v/>
      </c>
      <c r="AO190" s="14" t="str">
        <f t="shared" si="122"/>
        <v/>
      </c>
      <c r="AP190" s="14" t="str">
        <f t="shared" si="123"/>
        <v/>
      </c>
      <c r="AQ190" s="14" t="str">
        <f t="shared" si="97"/>
        <v/>
      </c>
      <c r="AR190" s="15">
        <f t="shared" si="18"/>
        <v>0</v>
      </c>
      <c r="AT190" s="17">
        <f t="shared" si="96"/>
        <v>0</v>
      </c>
    </row>
    <row r="191" spans="2:46" ht="15" x14ac:dyDescent="0.2">
      <c r="B191" s="64"/>
      <c r="C191" s="15" t="s">
        <v>53</v>
      </c>
      <c r="D191" s="30" t="str">
        <f t="shared" si="116"/>
        <v/>
      </c>
      <c r="E191" s="14" t="str">
        <f t="shared" si="106"/>
        <v/>
      </c>
      <c r="F191" s="14" t="str">
        <f t="shared" si="107"/>
        <v/>
      </c>
      <c r="G191" s="14" t="str">
        <f t="shared" si="108"/>
        <v/>
      </c>
      <c r="H191" s="14" t="str">
        <f t="shared" si="109"/>
        <v/>
      </c>
      <c r="I191" s="14" t="str">
        <f t="shared" si="110"/>
        <v/>
      </c>
      <c r="J191" s="14" t="str">
        <f t="shared" si="111"/>
        <v/>
      </c>
      <c r="K191" s="14" t="str">
        <f t="shared" si="112"/>
        <v/>
      </c>
      <c r="L191" s="14" t="str">
        <f t="shared" si="113"/>
        <v/>
      </c>
      <c r="M191" s="14" t="str">
        <f t="shared" si="114"/>
        <v/>
      </c>
      <c r="N191" s="14" t="str">
        <f t="shared" si="115"/>
        <v/>
      </c>
      <c r="O191" s="14" t="s">
        <v>11</v>
      </c>
      <c r="P191" s="14" t="s">
        <v>11</v>
      </c>
      <c r="Q191" s="14" t="s">
        <v>11</v>
      </c>
      <c r="R191" s="14" t="s">
        <v>13</v>
      </c>
      <c r="S191" s="14" t="s">
        <v>11</v>
      </c>
      <c r="T191" s="14" t="s">
        <v>11</v>
      </c>
      <c r="U191" s="14" t="s">
        <v>11</v>
      </c>
      <c r="V191" s="14" t="s">
        <v>11</v>
      </c>
      <c r="W191" s="14" t="s">
        <v>11</v>
      </c>
      <c r="X191" s="14" t="s">
        <v>11</v>
      </c>
      <c r="Y191" s="14" t="str">
        <f t="shared" si="117"/>
        <v/>
      </c>
      <c r="Z191" s="14" t="str">
        <f t="shared" si="118"/>
        <v/>
      </c>
      <c r="AA191" s="15">
        <f t="shared" si="13"/>
        <v>0</v>
      </c>
      <c r="AB191" s="14" t="s">
        <v>11</v>
      </c>
      <c r="AC191" s="14" t="s">
        <v>13</v>
      </c>
      <c r="AD191" s="14" t="s">
        <v>41</v>
      </c>
      <c r="AE191" s="14" t="s">
        <v>11</v>
      </c>
      <c r="AF191" s="14" t="s">
        <v>13</v>
      </c>
      <c r="AG191" s="14" t="s">
        <v>11</v>
      </c>
      <c r="AH191" s="14" t="s">
        <v>11</v>
      </c>
      <c r="AI191" s="14" t="s">
        <v>11</v>
      </c>
      <c r="AJ191" s="14" t="s">
        <v>11</v>
      </c>
      <c r="AK191" s="14" t="s">
        <v>11</v>
      </c>
      <c r="AL191" s="14" t="str">
        <f t="shared" si="119"/>
        <v>T</v>
      </c>
      <c r="AM191" s="14" t="str">
        <f t="shared" si="120"/>
        <v>T</v>
      </c>
      <c r="AN191" s="14" t="str">
        <f t="shared" si="121"/>
        <v/>
      </c>
      <c r="AO191" s="14" t="str">
        <f t="shared" si="122"/>
        <v/>
      </c>
      <c r="AP191" s="14" t="str">
        <f t="shared" si="123"/>
        <v/>
      </c>
      <c r="AQ191" s="14" t="str">
        <f t="shared" si="97"/>
        <v/>
      </c>
      <c r="AR191" s="15">
        <f t="shared" si="18"/>
        <v>0</v>
      </c>
      <c r="AT191" s="17">
        <f t="shared" si="96"/>
        <v>0</v>
      </c>
    </row>
    <row r="192" spans="2:46" ht="15" x14ac:dyDescent="0.2">
      <c r="B192" s="64"/>
      <c r="C192" s="15" t="s">
        <v>53</v>
      </c>
      <c r="D192" s="30" t="str">
        <f t="shared" si="116"/>
        <v/>
      </c>
      <c r="E192" s="14" t="str">
        <f t="shared" si="106"/>
        <v/>
      </c>
      <c r="F192" s="14" t="str">
        <f t="shared" si="107"/>
        <v/>
      </c>
      <c r="G192" s="14" t="str">
        <f t="shared" si="108"/>
        <v/>
      </c>
      <c r="H192" s="14" t="str">
        <f t="shared" si="109"/>
        <v/>
      </c>
      <c r="I192" s="14" t="str">
        <f t="shared" si="110"/>
        <v/>
      </c>
      <c r="J192" s="14" t="str">
        <f t="shared" si="111"/>
        <v/>
      </c>
      <c r="K192" s="14" t="str">
        <f t="shared" si="112"/>
        <v/>
      </c>
      <c r="L192" s="14" t="str">
        <f t="shared" si="113"/>
        <v/>
      </c>
      <c r="M192" s="14" t="str">
        <f t="shared" si="114"/>
        <v/>
      </c>
      <c r="N192" s="14" t="str">
        <f t="shared" si="115"/>
        <v/>
      </c>
      <c r="O192" s="14" t="s">
        <v>11</v>
      </c>
      <c r="P192" s="14" t="s">
        <v>11</v>
      </c>
      <c r="Q192" s="14" t="s">
        <v>11</v>
      </c>
      <c r="R192" s="14" t="s">
        <v>13</v>
      </c>
      <c r="S192" s="14" t="s">
        <v>11</v>
      </c>
      <c r="T192" s="14" t="s">
        <v>11</v>
      </c>
      <c r="U192" s="14" t="s">
        <v>11</v>
      </c>
      <c r="V192" s="14" t="s">
        <v>11</v>
      </c>
      <c r="W192" s="14" t="s">
        <v>11</v>
      </c>
      <c r="X192" s="14" t="s">
        <v>11</v>
      </c>
      <c r="Y192" s="14" t="str">
        <f t="shared" si="117"/>
        <v/>
      </c>
      <c r="Z192" s="14" t="str">
        <f t="shared" si="118"/>
        <v/>
      </c>
      <c r="AA192" s="15">
        <f t="shared" si="13"/>
        <v>0</v>
      </c>
      <c r="AB192" s="14" t="s">
        <v>11</v>
      </c>
      <c r="AC192" s="14" t="s">
        <v>11</v>
      </c>
      <c r="AD192" s="14" t="s">
        <v>41</v>
      </c>
      <c r="AE192" s="14" t="s">
        <v>11</v>
      </c>
      <c r="AF192" s="14" t="s">
        <v>13</v>
      </c>
      <c r="AG192" s="14" t="s">
        <v>11</v>
      </c>
      <c r="AH192" s="14" t="s">
        <v>11</v>
      </c>
      <c r="AI192" s="14" t="s">
        <v>11</v>
      </c>
      <c r="AJ192" s="14" t="s">
        <v>11</v>
      </c>
      <c r="AK192" s="14" t="s">
        <v>11</v>
      </c>
      <c r="AL192" s="14" t="str">
        <f t="shared" si="119"/>
        <v>T</v>
      </c>
      <c r="AM192" s="14" t="str">
        <f t="shared" si="120"/>
        <v>T</v>
      </c>
      <c r="AN192" s="14" t="str">
        <f t="shared" si="121"/>
        <v/>
      </c>
      <c r="AO192" s="14" t="str">
        <f t="shared" si="122"/>
        <v/>
      </c>
      <c r="AP192" s="14" t="str">
        <f t="shared" si="123"/>
        <v/>
      </c>
      <c r="AQ192" s="14" t="str">
        <f t="shared" si="97"/>
        <v/>
      </c>
      <c r="AR192" s="15">
        <f t="shared" si="18"/>
        <v>0</v>
      </c>
      <c r="AT192" s="17">
        <f t="shared" ref="AT192:AT253" si="124">COUNTIF($AP$4:$AP$6,AP192)</f>
        <v>0</v>
      </c>
    </row>
    <row r="193" spans="2:46" ht="15" x14ac:dyDescent="0.2">
      <c r="B193" s="64"/>
      <c r="C193" s="15" t="s">
        <v>53</v>
      </c>
      <c r="D193" s="30" t="str">
        <f t="shared" si="116"/>
        <v/>
      </c>
      <c r="E193" s="14" t="str">
        <f t="shared" si="106"/>
        <v/>
      </c>
      <c r="F193" s="14" t="str">
        <f t="shared" si="107"/>
        <v/>
      </c>
      <c r="G193" s="14" t="str">
        <f t="shared" si="108"/>
        <v/>
      </c>
      <c r="H193" s="14" t="str">
        <f t="shared" si="109"/>
        <v/>
      </c>
      <c r="I193" s="14" t="str">
        <f t="shared" si="110"/>
        <v/>
      </c>
      <c r="J193" s="14" t="str">
        <f t="shared" si="111"/>
        <v/>
      </c>
      <c r="K193" s="14" t="str">
        <f t="shared" si="112"/>
        <v/>
      </c>
      <c r="L193" s="14" t="str">
        <f t="shared" si="113"/>
        <v/>
      </c>
      <c r="M193" s="14" t="str">
        <f t="shared" si="114"/>
        <v/>
      </c>
      <c r="N193" s="14" t="str">
        <f t="shared" si="115"/>
        <v/>
      </c>
      <c r="O193" s="14" t="s">
        <v>11</v>
      </c>
      <c r="P193" s="14" t="s">
        <v>11</v>
      </c>
      <c r="Q193" s="14" t="s">
        <v>11</v>
      </c>
      <c r="R193" s="14" t="s">
        <v>13</v>
      </c>
      <c r="S193" s="14" t="s">
        <v>11</v>
      </c>
      <c r="T193" s="14" t="s">
        <v>11</v>
      </c>
      <c r="U193" s="14" t="s">
        <v>11</v>
      </c>
      <c r="V193" s="14" t="s">
        <v>11</v>
      </c>
      <c r="W193" s="14" t="s">
        <v>11</v>
      </c>
      <c r="X193" s="14" t="s">
        <v>11</v>
      </c>
      <c r="Y193" s="14" t="str">
        <f t="shared" si="117"/>
        <v/>
      </c>
      <c r="Z193" s="14" t="str">
        <f t="shared" si="118"/>
        <v/>
      </c>
      <c r="AA193" s="15">
        <f t="shared" si="13"/>
        <v>0</v>
      </c>
      <c r="AB193" s="14" t="s">
        <v>11</v>
      </c>
      <c r="AC193" s="14" t="s">
        <v>41</v>
      </c>
      <c r="AD193" s="14" t="s">
        <v>11</v>
      </c>
      <c r="AE193" s="14" t="s">
        <v>11</v>
      </c>
      <c r="AF193" s="14" t="s">
        <v>13</v>
      </c>
      <c r="AG193" s="14" t="s">
        <v>11</v>
      </c>
      <c r="AH193" s="14" t="s">
        <v>11</v>
      </c>
      <c r="AI193" s="14" t="s">
        <v>11</v>
      </c>
      <c r="AJ193" s="14" t="s">
        <v>11</v>
      </c>
      <c r="AK193" s="14" t="s">
        <v>11</v>
      </c>
      <c r="AL193" s="14" t="str">
        <f t="shared" si="119"/>
        <v>T</v>
      </c>
      <c r="AM193" s="14" t="str">
        <f t="shared" si="120"/>
        <v>T</v>
      </c>
      <c r="AN193" s="14" t="str">
        <f t="shared" si="121"/>
        <v/>
      </c>
      <c r="AO193" s="14" t="str">
        <f t="shared" si="122"/>
        <v/>
      </c>
      <c r="AP193" s="14" t="str">
        <f t="shared" si="123"/>
        <v/>
      </c>
      <c r="AQ193" s="14" t="str">
        <f t="shared" si="97"/>
        <v/>
      </c>
      <c r="AR193" s="15">
        <f t="shared" si="18"/>
        <v>0</v>
      </c>
      <c r="AT193" s="17">
        <f t="shared" si="124"/>
        <v>0</v>
      </c>
    </row>
    <row r="194" spans="2:46" ht="15" x14ac:dyDescent="0.2">
      <c r="B194" s="64"/>
      <c r="C194" s="15" t="s">
        <v>53</v>
      </c>
      <c r="D194" s="30" t="str">
        <f t="shared" si="116"/>
        <v/>
      </c>
      <c r="E194" s="14" t="str">
        <f t="shared" si="106"/>
        <v/>
      </c>
      <c r="F194" s="14" t="str">
        <f t="shared" si="107"/>
        <v/>
      </c>
      <c r="G194" s="14" t="str">
        <f t="shared" si="108"/>
        <v/>
      </c>
      <c r="H194" s="14" t="str">
        <f t="shared" si="109"/>
        <v/>
      </c>
      <c r="I194" s="14" t="str">
        <f t="shared" si="110"/>
        <v/>
      </c>
      <c r="J194" s="14" t="str">
        <f t="shared" si="111"/>
        <v/>
      </c>
      <c r="K194" s="14" t="str">
        <f t="shared" si="112"/>
        <v/>
      </c>
      <c r="L194" s="14" t="str">
        <f t="shared" si="113"/>
        <v/>
      </c>
      <c r="M194" s="14" t="str">
        <f t="shared" si="114"/>
        <v/>
      </c>
      <c r="N194" s="14" t="str">
        <f t="shared" si="115"/>
        <v/>
      </c>
      <c r="O194" s="14" t="s">
        <v>11</v>
      </c>
      <c r="P194" s="14" t="s">
        <v>11</v>
      </c>
      <c r="Q194" s="14" t="s">
        <v>11</v>
      </c>
      <c r="R194" s="14" t="s">
        <v>13</v>
      </c>
      <c r="S194" s="14" t="s">
        <v>11</v>
      </c>
      <c r="T194" s="14" t="s">
        <v>11</v>
      </c>
      <c r="U194" s="14" t="s">
        <v>11</v>
      </c>
      <c r="V194" s="14" t="s">
        <v>11</v>
      </c>
      <c r="W194" s="14" t="s">
        <v>11</v>
      </c>
      <c r="X194" s="14" t="s">
        <v>11</v>
      </c>
      <c r="Y194" s="14" t="str">
        <f t="shared" si="117"/>
        <v/>
      </c>
      <c r="Z194" s="14" t="str">
        <f t="shared" si="118"/>
        <v/>
      </c>
      <c r="AA194" s="15">
        <f t="shared" si="13"/>
        <v>0</v>
      </c>
      <c r="AB194" s="14" t="s">
        <v>11</v>
      </c>
      <c r="AC194" s="14" t="s">
        <v>41</v>
      </c>
      <c r="AD194" s="14" t="s">
        <v>11</v>
      </c>
      <c r="AE194" s="14" t="s">
        <v>11</v>
      </c>
      <c r="AF194" s="14" t="s">
        <v>13</v>
      </c>
      <c r="AG194" s="14" t="s">
        <v>11</v>
      </c>
      <c r="AH194" s="14" t="s">
        <v>11</v>
      </c>
      <c r="AI194" s="14" t="s">
        <v>11</v>
      </c>
      <c r="AJ194" s="14" t="s">
        <v>11</v>
      </c>
      <c r="AK194" s="14" t="s">
        <v>11</v>
      </c>
      <c r="AL194" s="14" t="str">
        <f t="shared" si="119"/>
        <v>T</v>
      </c>
      <c r="AM194" s="14" t="str">
        <f t="shared" si="120"/>
        <v>T</v>
      </c>
      <c r="AN194" s="14" t="str">
        <f t="shared" si="121"/>
        <v/>
      </c>
      <c r="AO194" s="14" t="str">
        <f t="shared" si="122"/>
        <v/>
      </c>
      <c r="AP194" s="14" t="str">
        <f t="shared" si="123"/>
        <v/>
      </c>
      <c r="AQ194" s="14" t="str">
        <f t="shared" si="97"/>
        <v/>
      </c>
      <c r="AR194" s="15">
        <f t="shared" si="18"/>
        <v>0</v>
      </c>
      <c r="AT194" s="17">
        <f t="shared" si="124"/>
        <v>0</v>
      </c>
    </row>
    <row r="195" spans="2:46" ht="15" x14ac:dyDescent="0.2">
      <c r="B195" s="64"/>
      <c r="C195" s="15" t="s">
        <v>53</v>
      </c>
      <c r="D195" s="30" t="str">
        <f t="shared" si="116"/>
        <v/>
      </c>
      <c r="E195" s="14" t="str">
        <f t="shared" si="106"/>
        <v/>
      </c>
      <c r="F195" s="14" t="str">
        <f t="shared" si="107"/>
        <v/>
      </c>
      <c r="G195" s="14" t="str">
        <f t="shared" si="108"/>
        <v/>
      </c>
      <c r="H195" s="14" t="str">
        <f t="shared" si="109"/>
        <v/>
      </c>
      <c r="I195" s="14" t="str">
        <f t="shared" si="110"/>
        <v/>
      </c>
      <c r="J195" s="14" t="str">
        <f t="shared" si="111"/>
        <v/>
      </c>
      <c r="K195" s="14" t="str">
        <f t="shared" si="112"/>
        <v/>
      </c>
      <c r="L195" s="14" t="str">
        <f t="shared" si="113"/>
        <v/>
      </c>
      <c r="M195" s="14" t="str">
        <f t="shared" si="114"/>
        <v/>
      </c>
      <c r="N195" s="14" t="str">
        <f t="shared" si="115"/>
        <v/>
      </c>
      <c r="O195" s="14" t="s">
        <v>11</v>
      </c>
      <c r="P195" s="14" t="s">
        <v>11</v>
      </c>
      <c r="Q195" s="14" t="s">
        <v>11</v>
      </c>
      <c r="R195" s="14" t="s">
        <v>13</v>
      </c>
      <c r="S195" s="14" t="s">
        <v>11</v>
      </c>
      <c r="T195" s="14" t="s">
        <v>11</v>
      </c>
      <c r="U195" s="14" t="s">
        <v>11</v>
      </c>
      <c r="V195" s="14" t="s">
        <v>11</v>
      </c>
      <c r="W195" s="14" t="s">
        <v>11</v>
      </c>
      <c r="X195" s="14" t="s">
        <v>11</v>
      </c>
      <c r="Y195" s="14" t="str">
        <f t="shared" si="117"/>
        <v/>
      </c>
      <c r="Z195" s="14" t="str">
        <f t="shared" si="118"/>
        <v/>
      </c>
      <c r="AA195" s="15">
        <f t="shared" si="13"/>
        <v>0</v>
      </c>
      <c r="AB195" s="14" t="s">
        <v>11</v>
      </c>
      <c r="AC195" s="14" t="s">
        <v>41</v>
      </c>
      <c r="AD195" s="14" t="s">
        <v>11</v>
      </c>
      <c r="AE195" s="14" t="s">
        <v>11</v>
      </c>
      <c r="AF195" s="14" t="s">
        <v>13</v>
      </c>
      <c r="AG195" s="14" t="s">
        <v>11</v>
      </c>
      <c r="AH195" s="14" t="s">
        <v>11</v>
      </c>
      <c r="AI195" s="14" t="s">
        <v>11</v>
      </c>
      <c r="AJ195" s="14" t="s">
        <v>11</v>
      </c>
      <c r="AK195" s="14" t="s">
        <v>11</v>
      </c>
      <c r="AL195" s="14" t="str">
        <f t="shared" si="119"/>
        <v>T</v>
      </c>
      <c r="AM195" s="14" t="str">
        <f t="shared" si="120"/>
        <v>T</v>
      </c>
      <c r="AN195" s="14" t="str">
        <f t="shared" si="121"/>
        <v/>
      </c>
      <c r="AO195" s="14" t="str">
        <f t="shared" si="122"/>
        <v/>
      </c>
      <c r="AP195" s="14" t="str">
        <f t="shared" si="123"/>
        <v/>
      </c>
      <c r="AQ195" s="14" t="str">
        <f t="shared" si="97"/>
        <v/>
      </c>
      <c r="AR195" s="15">
        <f t="shared" si="18"/>
        <v>0</v>
      </c>
      <c r="AT195" s="17">
        <f t="shared" si="124"/>
        <v>0</v>
      </c>
    </row>
    <row r="196" spans="2:46" ht="15" x14ac:dyDescent="0.2">
      <c r="B196" s="64"/>
      <c r="C196" s="15" t="s">
        <v>53</v>
      </c>
      <c r="D196" s="30" t="str">
        <f t="shared" si="116"/>
        <v/>
      </c>
      <c r="E196" s="14" t="str">
        <f t="shared" si="106"/>
        <v/>
      </c>
      <c r="F196" s="14" t="str">
        <f t="shared" si="107"/>
        <v/>
      </c>
      <c r="G196" s="14" t="str">
        <f t="shared" si="108"/>
        <v/>
      </c>
      <c r="H196" s="14" t="str">
        <f t="shared" si="109"/>
        <v/>
      </c>
      <c r="I196" s="14" t="str">
        <f t="shared" si="110"/>
        <v/>
      </c>
      <c r="J196" s="14" t="str">
        <f t="shared" si="111"/>
        <v/>
      </c>
      <c r="K196" s="14" t="str">
        <f t="shared" si="112"/>
        <v/>
      </c>
      <c r="L196" s="14" t="str">
        <f t="shared" si="113"/>
        <v/>
      </c>
      <c r="M196" s="14" t="str">
        <f t="shared" si="114"/>
        <v/>
      </c>
      <c r="N196" s="14" t="str">
        <f t="shared" si="115"/>
        <v/>
      </c>
      <c r="O196" s="14" t="s">
        <v>11</v>
      </c>
      <c r="P196" s="14" t="s">
        <v>11</v>
      </c>
      <c r="Q196" s="14" t="s">
        <v>11</v>
      </c>
      <c r="R196" s="14" t="s">
        <v>13</v>
      </c>
      <c r="S196" s="14" t="s">
        <v>11</v>
      </c>
      <c r="T196" s="14" t="s">
        <v>11</v>
      </c>
      <c r="U196" s="14" t="s">
        <v>11</v>
      </c>
      <c r="V196" s="14" t="s">
        <v>11</v>
      </c>
      <c r="W196" s="14" t="s">
        <v>11</v>
      </c>
      <c r="X196" s="14" t="s">
        <v>11</v>
      </c>
      <c r="Y196" s="14" t="str">
        <f t="shared" si="117"/>
        <v/>
      </c>
      <c r="Z196" s="14" t="str">
        <f t="shared" si="118"/>
        <v/>
      </c>
      <c r="AA196" s="15">
        <f t="shared" si="13"/>
        <v>0</v>
      </c>
      <c r="AB196" s="14" t="s">
        <v>11</v>
      </c>
      <c r="AC196" s="14" t="s">
        <v>11</v>
      </c>
      <c r="AD196" s="14" t="s">
        <v>41</v>
      </c>
      <c r="AE196" s="14" t="s">
        <v>11</v>
      </c>
      <c r="AF196" s="14" t="s">
        <v>13</v>
      </c>
      <c r="AG196" s="14" t="s">
        <v>11</v>
      </c>
      <c r="AH196" s="14" t="s">
        <v>11</v>
      </c>
      <c r="AI196" s="14" t="s">
        <v>11</v>
      </c>
      <c r="AJ196" s="14" t="s">
        <v>11</v>
      </c>
      <c r="AK196" s="14" t="s">
        <v>11</v>
      </c>
      <c r="AL196" s="14" t="str">
        <f t="shared" si="119"/>
        <v>T</v>
      </c>
      <c r="AM196" s="14" t="str">
        <f t="shared" si="120"/>
        <v>T</v>
      </c>
      <c r="AN196" s="14" t="str">
        <f t="shared" si="121"/>
        <v/>
      </c>
      <c r="AO196" s="14" t="str">
        <f t="shared" si="122"/>
        <v/>
      </c>
      <c r="AP196" s="14" t="str">
        <f t="shared" si="123"/>
        <v/>
      </c>
      <c r="AQ196" s="14" t="str">
        <f t="shared" si="97"/>
        <v/>
      </c>
      <c r="AR196" s="15">
        <f t="shared" si="18"/>
        <v>0</v>
      </c>
      <c r="AT196" s="17">
        <f t="shared" si="124"/>
        <v>0</v>
      </c>
    </row>
    <row r="197" spans="2:46" ht="15" x14ac:dyDescent="0.2">
      <c r="B197" s="64"/>
      <c r="C197" s="15" t="s">
        <v>53</v>
      </c>
      <c r="D197" s="30" t="str">
        <f t="shared" si="116"/>
        <v/>
      </c>
      <c r="E197" s="14" t="str">
        <f t="shared" si="106"/>
        <v/>
      </c>
      <c r="F197" s="14" t="str">
        <f t="shared" si="107"/>
        <v/>
      </c>
      <c r="G197" s="14" t="str">
        <f t="shared" si="108"/>
        <v/>
      </c>
      <c r="H197" s="14" t="str">
        <f t="shared" si="109"/>
        <v/>
      </c>
      <c r="I197" s="14" t="str">
        <f t="shared" si="110"/>
        <v/>
      </c>
      <c r="J197" s="14" t="str">
        <f t="shared" si="111"/>
        <v/>
      </c>
      <c r="K197" s="14" t="str">
        <f t="shared" si="112"/>
        <v/>
      </c>
      <c r="L197" s="14" t="str">
        <f t="shared" si="113"/>
        <v/>
      </c>
      <c r="M197" s="14" t="str">
        <f t="shared" si="114"/>
        <v/>
      </c>
      <c r="N197" s="14" t="str">
        <f t="shared" si="115"/>
        <v/>
      </c>
      <c r="O197" s="14" t="s">
        <v>11</v>
      </c>
      <c r="P197" s="14" t="s">
        <v>11</v>
      </c>
      <c r="Q197" s="14" t="s">
        <v>11</v>
      </c>
      <c r="R197" s="14" t="s">
        <v>13</v>
      </c>
      <c r="S197" s="14" t="s">
        <v>11</v>
      </c>
      <c r="T197" s="14" t="s">
        <v>11</v>
      </c>
      <c r="U197" s="14" t="s">
        <v>11</v>
      </c>
      <c r="V197" s="14" t="s">
        <v>11</v>
      </c>
      <c r="W197" s="14" t="s">
        <v>11</v>
      </c>
      <c r="X197" s="14" t="s">
        <v>11</v>
      </c>
      <c r="Y197" s="14" t="str">
        <f t="shared" si="117"/>
        <v/>
      </c>
      <c r="Z197" s="14" t="str">
        <f t="shared" si="118"/>
        <v/>
      </c>
      <c r="AA197" s="15">
        <f t="shared" si="13"/>
        <v>0</v>
      </c>
      <c r="AB197" s="14" t="s">
        <v>11</v>
      </c>
      <c r="AC197" s="14" t="s">
        <v>11</v>
      </c>
      <c r="AD197" s="14" t="s">
        <v>11</v>
      </c>
      <c r="AE197" s="14" t="s">
        <v>11</v>
      </c>
      <c r="AF197" s="14" t="s">
        <v>13</v>
      </c>
      <c r="AG197" s="14" t="s">
        <v>11</v>
      </c>
      <c r="AH197" s="14" t="s">
        <v>11</v>
      </c>
      <c r="AI197" s="14" t="s">
        <v>11</v>
      </c>
      <c r="AJ197" s="14" t="s">
        <v>11</v>
      </c>
      <c r="AK197" s="14" t="s">
        <v>11</v>
      </c>
      <c r="AL197" s="14" t="str">
        <f t="shared" si="119"/>
        <v>T</v>
      </c>
      <c r="AM197" s="14" t="str">
        <f t="shared" si="120"/>
        <v>T</v>
      </c>
      <c r="AN197" s="14" t="str">
        <f t="shared" si="121"/>
        <v/>
      </c>
      <c r="AO197" s="14" t="str">
        <f t="shared" si="122"/>
        <v/>
      </c>
      <c r="AP197" s="14" t="str">
        <f t="shared" si="123"/>
        <v/>
      </c>
      <c r="AQ197" s="14" t="str">
        <f t="shared" si="97"/>
        <v/>
      </c>
      <c r="AR197" s="15">
        <f t="shared" si="18"/>
        <v>0</v>
      </c>
      <c r="AT197" s="17">
        <f t="shared" si="124"/>
        <v>0</v>
      </c>
    </row>
    <row r="198" spans="2:46" ht="15" x14ac:dyDescent="0.2">
      <c r="B198" s="64"/>
      <c r="C198" s="15" t="s">
        <v>53</v>
      </c>
      <c r="D198" s="30" t="str">
        <f t="shared" si="116"/>
        <v/>
      </c>
      <c r="E198" s="14" t="str">
        <f t="shared" si="106"/>
        <v/>
      </c>
      <c r="F198" s="14" t="str">
        <f t="shared" si="107"/>
        <v/>
      </c>
      <c r="G198" s="14" t="str">
        <f t="shared" si="108"/>
        <v/>
      </c>
      <c r="H198" s="14" t="str">
        <f t="shared" si="109"/>
        <v/>
      </c>
      <c r="I198" s="14" t="str">
        <f t="shared" si="110"/>
        <v/>
      </c>
      <c r="J198" s="14" t="str">
        <f t="shared" si="111"/>
        <v/>
      </c>
      <c r="K198" s="14" t="str">
        <f t="shared" si="112"/>
        <v/>
      </c>
      <c r="L198" s="14" t="str">
        <f t="shared" si="113"/>
        <v/>
      </c>
      <c r="M198" s="14" t="str">
        <f t="shared" si="114"/>
        <v/>
      </c>
      <c r="N198" s="14" t="str">
        <f t="shared" si="115"/>
        <v/>
      </c>
      <c r="O198" s="14" t="s">
        <v>11</v>
      </c>
      <c r="P198" s="14" t="s">
        <v>11</v>
      </c>
      <c r="Q198" s="14" t="s">
        <v>11</v>
      </c>
      <c r="R198" s="14" t="s">
        <v>13</v>
      </c>
      <c r="S198" s="14" t="s">
        <v>11</v>
      </c>
      <c r="T198" s="14" t="s">
        <v>11</v>
      </c>
      <c r="U198" s="14" t="s">
        <v>11</v>
      </c>
      <c r="V198" s="14" t="s">
        <v>11</v>
      </c>
      <c r="W198" s="14" t="s">
        <v>11</v>
      </c>
      <c r="X198" s="14" t="s">
        <v>11</v>
      </c>
      <c r="Y198" s="14" t="str">
        <f t="shared" si="117"/>
        <v/>
      </c>
      <c r="Z198" s="14" t="str">
        <f t="shared" si="118"/>
        <v/>
      </c>
      <c r="AA198" s="15">
        <f t="shared" si="13"/>
        <v>0</v>
      </c>
      <c r="AB198" s="14" t="s">
        <v>11</v>
      </c>
      <c r="AC198" s="14" t="s">
        <v>41</v>
      </c>
      <c r="AD198" s="14" t="s">
        <v>11</v>
      </c>
      <c r="AE198" s="14" t="s">
        <v>11</v>
      </c>
      <c r="AF198" s="14" t="s">
        <v>13</v>
      </c>
      <c r="AG198" s="14" t="s">
        <v>11</v>
      </c>
      <c r="AH198" s="14" t="s">
        <v>11</v>
      </c>
      <c r="AI198" s="14" t="s">
        <v>11</v>
      </c>
      <c r="AJ198" s="14" t="s">
        <v>11</v>
      </c>
      <c r="AK198" s="14" t="s">
        <v>11</v>
      </c>
      <c r="AL198" s="14" t="str">
        <f t="shared" si="119"/>
        <v>T</v>
      </c>
      <c r="AM198" s="14" t="str">
        <f t="shared" si="120"/>
        <v>T</v>
      </c>
      <c r="AN198" s="14" t="str">
        <f t="shared" si="121"/>
        <v/>
      </c>
      <c r="AO198" s="14" t="str">
        <f t="shared" si="122"/>
        <v/>
      </c>
      <c r="AP198" s="14" t="str">
        <f t="shared" si="123"/>
        <v/>
      </c>
      <c r="AQ198" s="14" t="str">
        <f t="shared" si="97"/>
        <v/>
      </c>
      <c r="AR198" s="15">
        <f t="shared" si="18"/>
        <v>0</v>
      </c>
      <c r="AT198" s="17">
        <f t="shared" si="124"/>
        <v>0</v>
      </c>
    </row>
    <row r="199" spans="2:46" ht="15" x14ac:dyDescent="0.2">
      <c r="B199" s="64"/>
      <c r="C199" s="15" t="s">
        <v>53</v>
      </c>
      <c r="D199" s="30" t="str">
        <f t="shared" si="116"/>
        <v/>
      </c>
      <c r="E199" s="14" t="str">
        <f t="shared" si="106"/>
        <v/>
      </c>
      <c r="F199" s="14" t="str">
        <f t="shared" si="107"/>
        <v/>
      </c>
      <c r="G199" s="14" t="str">
        <f t="shared" si="108"/>
        <v/>
      </c>
      <c r="H199" s="14" t="str">
        <f t="shared" si="109"/>
        <v/>
      </c>
      <c r="I199" s="14" t="str">
        <f t="shared" si="110"/>
        <v/>
      </c>
      <c r="J199" s="14" t="str">
        <f t="shared" si="111"/>
        <v/>
      </c>
      <c r="K199" s="14" t="str">
        <f t="shared" si="112"/>
        <v/>
      </c>
      <c r="L199" s="14" t="str">
        <f t="shared" si="113"/>
        <v/>
      </c>
      <c r="M199" s="14" t="str">
        <f t="shared" si="114"/>
        <v/>
      </c>
      <c r="N199" s="14" t="str">
        <f t="shared" si="115"/>
        <v/>
      </c>
      <c r="O199" s="14" t="s">
        <v>11</v>
      </c>
      <c r="P199" s="14" t="s">
        <v>11</v>
      </c>
      <c r="Q199" s="14" t="s">
        <v>11</v>
      </c>
      <c r="R199" s="14" t="s">
        <v>13</v>
      </c>
      <c r="S199" s="14" t="s">
        <v>11</v>
      </c>
      <c r="T199" s="14" t="s">
        <v>11</v>
      </c>
      <c r="U199" s="14" t="s">
        <v>11</v>
      </c>
      <c r="V199" s="14" t="s">
        <v>11</v>
      </c>
      <c r="W199" s="14" t="s">
        <v>11</v>
      </c>
      <c r="X199" s="14" t="s">
        <v>11</v>
      </c>
      <c r="Y199" s="14" t="str">
        <f t="shared" si="117"/>
        <v/>
      </c>
      <c r="Z199" s="14" t="str">
        <f t="shared" si="118"/>
        <v/>
      </c>
      <c r="AA199" s="15">
        <f t="shared" si="13"/>
        <v>0</v>
      </c>
      <c r="AB199" s="14" t="s">
        <v>11</v>
      </c>
      <c r="AC199" s="14" t="s">
        <v>41</v>
      </c>
      <c r="AD199" s="14" t="s">
        <v>11</v>
      </c>
      <c r="AE199" s="14" t="s">
        <v>11</v>
      </c>
      <c r="AF199" s="14" t="s">
        <v>13</v>
      </c>
      <c r="AG199" s="14" t="s">
        <v>11</v>
      </c>
      <c r="AH199" s="14" t="s">
        <v>11</v>
      </c>
      <c r="AI199" s="14" t="s">
        <v>11</v>
      </c>
      <c r="AJ199" s="14" t="s">
        <v>11</v>
      </c>
      <c r="AK199" s="14" t="s">
        <v>11</v>
      </c>
      <c r="AL199" s="14" t="str">
        <f t="shared" si="119"/>
        <v>T</v>
      </c>
      <c r="AM199" s="14" t="str">
        <f t="shared" si="120"/>
        <v>T</v>
      </c>
      <c r="AN199" s="14" t="str">
        <f t="shared" si="121"/>
        <v/>
      </c>
      <c r="AO199" s="14" t="str">
        <f t="shared" si="122"/>
        <v/>
      </c>
      <c r="AP199" s="14" t="str">
        <f t="shared" si="123"/>
        <v/>
      </c>
      <c r="AQ199" s="14" t="str">
        <f t="shared" si="97"/>
        <v/>
      </c>
      <c r="AR199" s="15">
        <f t="shared" si="18"/>
        <v>0</v>
      </c>
      <c r="AT199" s="17">
        <f t="shared" si="124"/>
        <v>0</v>
      </c>
    </row>
    <row r="200" spans="2:46" ht="15" x14ac:dyDescent="0.2">
      <c r="B200" s="64"/>
      <c r="C200" s="15" t="s">
        <v>53</v>
      </c>
      <c r="D200" s="30" t="str">
        <f t="shared" si="116"/>
        <v/>
      </c>
      <c r="E200" s="14" t="str">
        <f t="shared" si="106"/>
        <v/>
      </c>
      <c r="F200" s="14" t="str">
        <f t="shared" si="107"/>
        <v/>
      </c>
      <c r="G200" s="14" t="str">
        <f t="shared" si="108"/>
        <v/>
      </c>
      <c r="H200" s="14" t="str">
        <f t="shared" si="109"/>
        <v/>
      </c>
      <c r="I200" s="14" t="str">
        <f t="shared" si="110"/>
        <v/>
      </c>
      <c r="J200" s="14" t="str">
        <f t="shared" si="111"/>
        <v/>
      </c>
      <c r="K200" s="14" t="str">
        <f t="shared" si="112"/>
        <v/>
      </c>
      <c r="L200" s="14" t="str">
        <f t="shared" si="113"/>
        <v/>
      </c>
      <c r="M200" s="14" t="str">
        <f t="shared" si="114"/>
        <v/>
      </c>
      <c r="N200" s="14" t="str">
        <f t="shared" si="115"/>
        <v/>
      </c>
      <c r="O200" s="14" t="s">
        <v>11</v>
      </c>
      <c r="P200" s="14" t="s">
        <v>11</v>
      </c>
      <c r="Q200" s="14" t="s">
        <v>11</v>
      </c>
      <c r="R200" s="14" t="s">
        <v>13</v>
      </c>
      <c r="S200" s="14" t="s">
        <v>11</v>
      </c>
      <c r="T200" s="14" t="s">
        <v>11</v>
      </c>
      <c r="U200" s="14" t="s">
        <v>11</v>
      </c>
      <c r="V200" s="14" t="s">
        <v>11</v>
      </c>
      <c r="W200" s="14" t="s">
        <v>11</v>
      </c>
      <c r="X200" s="14" t="s">
        <v>11</v>
      </c>
      <c r="Y200" s="14" t="str">
        <f t="shared" si="117"/>
        <v/>
      </c>
      <c r="Z200" s="14" t="str">
        <f t="shared" si="118"/>
        <v/>
      </c>
      <c r="AA200" s="15">
        <f t="shared" si="13"/>
        <v>0</v>
      </c>
      <c r="AB200" s="14" t="s">
        <v>11</v>
      </c>
      <c r="AC200" s="14" t="s">
        <v>11</v>
      </c>
      <c r="AD200" s="14" t="s">
        <v>11</v>
      </c>
      <c r="AE200" s="14" t="s">
        <v>11</v>
      </c>
      <c r="AF200" s="14" t="s">
        <v>13</v>
      </c>
      <c r="AG200" s="14" t="s">
        <v>11</v>
      </c>
      <c r="AH200" s="14" t="s">
        <v>11</v>
      </c>
      <c r="AI200" s="14" t="s">
        <v>11</v>
      </c>
      <c r="AJ200" s="14" t="s">
        <v>11</v>
      </c>
      <c r="AK200" s="14" t="s">
        <v>11</v>
      </c>
      <c r="AL200" s="14" t="str">
        <f t="shared" si="119"/>
        <v>T</v>
      </c>
      <c r="AM200" s="14" t="str">
        <f t="shared" si="120"/>
        <v>T</v>
      </c>
      <c r="AN200" s="14" t="str">
        <f t="shared" si="121"/>
        <v/>
      </c>
      <c r="AO200" s="14" t="str">
        <f t="shared" si="122"/>
        <v/>
      </c>
      <c r="AP200" s="14" t="str">
        <f t="shared" si="123"/>
        <v/>
      </c>
      <c r="AQ200" s="14" t="str">
        <f t="shared" ref="AQ200:AQ263" si="125">LOWER(AP200)</f>
        <v/>
      </c>
      <c r="AR200" s="15">
        <f t="shared" si="18"/>
        <v>0</v>
      </c>
      <c r="AT200" s="17">
        <f t="shared" si="124"/>
        <v>0</v>
      </c>
    </row>
    <row r="201" spans="2:46" ht="15" x14ac:dyDescent="0.2">
      <c r="B201" s="64"/>
      <c r="C201" s="15" t="s">
        <v>53</v>
      </c>
      <c r="D201" s="30" t="str">
        <f t="shared" si="116"/>
        <v/>
      </c>
      <c r="E201" s="14" t="str">
        <f t="shared" si="106"/>
        <v/>
      </c>
      <c r="F201" s="14" t="str">
        <f t="shared" si="107"/>
        <v/>
      </c>
      <c r="G201" s="14" t="str">
        <f t="shared" si="108"/>
        <v/>
      </c>
      <c r="H201" s="14" t="str">
        <f t="shared" si="109"/>
        <v/>
      </c>
      <c r="I201" s="14" t="str">
        <f t="shared" si="110"/>
        <v/>
      </c>
      <c r="J201" s="14" t="str">
        <f t="shared" si="111"/>
        <v/>
      </c>
      <c r="K201" s="14" t="str">
        <f t="shared" si="112"/>
        <v/>
      </c>
      <c r="L201" s="14" t="str">
        <f t="shared" si="113"/>
        <v/>
      </c>
      <c r="M201" s="14" t="str">
        <f t="shared" si="114"/>
        <v/>
      </c>
      <c r="N201" s="14" t="str">
        <f t="shared" si="115"/>
        <v/>
      </c>
      <c r="O201" s="14" t="s">
        <v>11</v>
      </c>
      <c r="P201" s="14" t="s">
        <v>11</v>
      </c>
      <c r="Q201" s="14" t="s">
        <v>11</v>
      </c>
      <c r="R201" s="14" t="s">
        <v>13</v>
      </c>
      <c r="S201" s="14" t="s">
        <v>11</v>
      </c>
      <c r="T201" s="14" t="s">
        <v>11</v>
      </c>
      <c r="U201" s="14" t="s">
        <v>11</v>
      </c>
      <c r="V201" s="14" t="s">
        <v>11</v>
      </c>
      <c r="W201" s="14" t="s">
        <v>11</v>
      </c>
      <c r="X201" s="14" t="s">
        <v>11</v>
      </c>
      <c r="Y201" s="14" t="str">
        <f t="shared" si="117"/>
        <v/>
      </c>
      <c r="Z201" s="14" t="str">
        <f t="shared" si="118"/>
        <v/>
      </c>
      <c r="AA201" s="15">
        <f t="shared" si="13"/>
        <v>0</v>
      </c>
      <c r="AB201" s="14" t="s">
        <v>11</v>
      </c>
      <c r="AC201" s="14" t="s">
        <v>11</v>
      </c>
      <c r="AD201" s="14" t="s">
        <v>11</v>
      </c>
      <c r="AE201" s="14" t="s">
        <v>11</v>
      </c>
      <c r="AF201" s="14" t="s">
        <v>13</v>
      </c>
      <c r="AG201" s="14" t="s">
        <v>11</v>
      </c>
      <c r="AH201" s="14" t="s">
        <v>11</v>
      </c>
      <c r="AI201" s="14" t="s">
        <v>11</v>
      </c>
      <c r="AJ201" s="14" t="s">
        <v>11</v>
      </c>
      <c r="AK201" s="14" t="s">
        <v>11</v>
      </c>
      <c r="AL201" s="14" t="str">
        <f t="shared" si="119"/>
        <v>T</v>
      </c>
      <c r="AM201" s="14" t="str">
        <f t="shared" si="120"/>
        <v>T</v>
      </c>
      <c r="AN201" s="14" t="str">
        <f t="shared" si="121"/>
        <v/>
      </c>
      <c r="AO201" s="14" t="str">
        <f t="shared" si="122"/>
        <v/>
      </c>
      <c r="AP201" s="14" t="str">
        <f t="shared" si="123"/>
        <v/>
      </c>
      <c r="AQ201" s="14" t="str">
        <f t="shared" si="125"/>
        <v/>
      </c>
      <c r="AR201" s="15">
        <f t="shared" si="18"/>
        <v>0</v>
      </c>
      <c r="AT201" s="17">
        <f t="shared" si="124"/>
        <v>0</v>
      </c>
    </row>
    <row r="202" spans="2:46" ht="15" x14ac:dyDescent="0.2">
      <c r="B202" s="64"/>
      <c r="C202" s="15" t="s">
        <v>53</v>
      </c>
      <c r="D202" s="30" t="str">
        <f t="shared" si="116"/>
        <v/>
      </c>
      <c r="E202" s="14" t="str">
        <f t="shared" si="106"/>
        <v/>
      </c>
      <c r="F202" s="14" t="str">
        <f t="shared" si="107"/>
        <v/>
      </c>
      <c r="G202" s="14" t="str">
        <f t="shared" si="108"/>
        <v/>
      </c>
      <c r="H202" s="14" t="str">
        <f t="shared" si="109"/>
        <v/>
      </c>
      <c r="I202" s="14" t="str">
        <f t="shared" si="110"/>
        <v/>
      </c>
      <c r="J202" s="14" t="str">
        <f t="shared" si="111"/>
        <v/>
      </c>
      <c r="K202" s="14" t="str">
        <f t="shared" si="112"/>
        <v/>
      </c>
      <c r="L202" s="14" t="str">
        <f t="shared" si="113"/>
        <v/>
      </c>
      <c r="M202" s="14" t="str">
        <f t="shared" si="114"/>
        <v/>
      </c>
      <c r="N202" s="14" t="str">
        <f t="shared" si="115"/>
        <v/>
      </c>
      <c r="O202" s="14" t="s">
        <v>11</v>
      </c>
      <c r="P202" s="14" t="s">
        <v>11</v>
      </c>
      <c r="Q202" s="14" t="s">
        <v>11</v>
      </c>
      <c r="R202" s="14" t="s">
        <v>13</v>
      </c>
      <c r="S202" s="14" t="s">
        <v>11</v>
      </c>
      <c r="T202" s="14" t="s">
        <v>11</v>
      </c>
      <c r="U202" s="14" t="s">
        <v>11</v>
      </c>
      <c r="V202" s="14" t="s">
        <v>11</v>
      </c>
      <c r="W202" s="14" t="s">
        <v>11</v>
      </c>
      <c r="X202" s="14" t="s">
        <v>11</v>
      </c>
      <c r="Y202" s="14" t="str">
        <f t="shared" si="117"/>
        <v/>
      </c>
      <c r="Z202" s="14" t="str">
        <f t="shared" si="118"/>
        <v/>
      </c>
      <c r="AA202" s="15">
        <f t="shared" si="13"/>
        <v>0</v>
      </c>
      <c r="AB202" s="14" t="s">
        <v>11</v>
      </c>
      <c r="AC202" s="14" t="s">
        <v>11</v>
      </c>
      <c r="AD202" s="14" t="s">
        <v>11</v>
      </c>
      <c r="AE202" s="14" t="s">
        <v>11</v>
      </c>
      <c r="AF202" s="14" t="s">
        <v>13</v>
      </c>
      <c r="AG202" s="14" t="s">
        <v>11</v>
      </c>
      <c r="AH202" s="14" t="s">
        <v>11</v>
      </c>
      <c r="AI202" s="14" t="s">
        <v>11</v>
      </c>
      <c r="AJ202" s="14" t="s">
        <v>11</v>
      </c>
      <c r="AK202" s="14" t="s">
        <v>11</v>
      </c>
      <c r="AL202" s="14" t="str">
        <f t="shared" si="119"/>
        <v>T</v>
      </c>
      <c r="AM202" s="14" t="str">
        <f t="shared" si="120"/>
        <v>T</v>
      </c>
      <c r="AN202" s="14" t="str">
        <f t="shared" si="121"/>
        <v/>
      </c>
      <c r="AO202" s="14" t="str">
        <f t="shared" si="122"/>
        <v/>
      </c>
      <c r="AP202" s="14" t="str">
        <f t="shared" si="123"/>
        <v/>
      </c>
      <c r="AQ202" s="14" t="str">
        <f t="shared" si="125"/>
        <v/>
      </c>
      <c r="AR202" s="15">
        <f t="shared" si="18"/>
        <v>0</v>
      </c>
      <c r="AT202" s="17">
        <f t="shared" si="124"/>
        <v>0</v>
      </c>
    </row>
    <row r="203" spans="2:46" ht="15" x14ac:dyDescent="0.2">
      <c r="B203" s="64"/>
      <c r="C203" s="15" t="s">
        <v>53</v>
      </c>
      <c r="D203" s="30" t="str">
        <f t="shared" si="116"/>
        <v/>
      </c>
      <c r="E203" s="14" t="str">
        <f t="shared" si="106"/>
        <v/>
      </c>
      <c r="F203" s="14" t="str">
        <f t="shared" si="107"/>
        <v/>
      </c>
      <c r="G203" s="14" t="str">
        <f t="shared" si="108"/>
        <v/>
      </c>
      <c r="H203" s="14" t="str">
        <f t="shared" si="109"/>
        <v/>
      </c>
      <c r="I203" s="14" t="str">
        <f t="shared" si="110"/>
        <v/>
      </c>
      <c r="J203" s="14" t="str">
        <f t="shared" si="111"/>
        <v/>
      </c>
      <c r="K203" s="14" t="str">
        <f t="shared" si="112"/>
        <v/>
      </c>
      <c r="L203" s="14" t="str">
        <f t="shared" si="113"/>
        <v/>
      </c>
      <c r="M203" s="14" t="str">
        <f t="shared" si="114"/>
        <v/>
      </c>
      <c r="N203" s="14" t="str">
        <f t="shared" si="115"/>
        <v/>
      </c>
      <c r="O203" s="14" t="s">
        <v>11</v>
      </c>
      <c r="P203" s="14" t="s">
        <v>11</v>
      </c>
      <c r="Q203" s="14" t="s">
        <v>11</v>
      </c>
      <c r="R203" s="14" t="s">
        <v>13</v>
      </c>
      <c r="S203" s="14" t="s">
        <v>11</v>
      </c>
      <c r="T203" s="14" t="s">
        <v>11</v>
      </c>
      <c r="U203" s="14" t="s">
        <v>11</v>
      </c>
      <c r="V203" s="14" t="s">
        <v>11</v>
      </c>
      <c r="W203" s="14" t="s">
        <v>11</v>
      </c>
      <c r="X203" s="14" t="s">
        <v>11</v>
      </c>
      <c r="Y203" s="14" t="str">
        <f t="shared" si="117"/>
        <v/>
      </c>
      <c r="Z203" s="14" t="str">
        <f t="shared" si="118"/>
        <v/>
      </c>
      <c r="AA203" s="15">
        <f t="shared" si="13"/>
        <v>0</v>
      </c>
      <c r="AB203" s="14" t="s">
        <v>11</v>
      </c>
      <c r="AC203" s="14" t="s">
        <v>11</v>
      </c>
      <c r="AD203" s="14" t="s">
        <v>11</v>
      </c>
      <c r="AE203" s="14" t="s">
        <v>11</v>
      </c>
      <c r="AF203" s="14" t="s">
        <v>13</v>
      </c>
      <c r="AG203" s="14" t="s">
        <v>11</v>
      </c>
      <c r="AH203" s="14" t="s">
        <v>11</v>
      </c>
      <c r="AI203" s="14" t="s">
        <v>11</v>
      </c>
      <c r="AJ203" s="14" t="s">
        <v>11</v>
      </c>
      <c r="AK203" s="14" t="s">
        <v>11</v>
      </c>
      <c r="AL203" s="14" t="str">
        <f t="shared" si="119"/>
        <v>T</v>
      </c>
      <c r="AM203" s="14" t="str">
        <f t="shared" si="120"/>
        <v>T</v>
      </c>
      <c r="AN203" s="14" t="str">
        <f t="shared" si="121"/>
        <v/>
      </c>
      <c r="AO203" s="14" t="str">
        <f t="shared" si="122"/>
        <v/>
      </c>
      <c r="AP203" s="14" t="str">
        <f t="shared" si="123"/>
        <v/>
      </c>
      <c r="AQ203" s="14" t="str">
        <f t="shared" si="125"/>
        <v/>
      </c>
      <c r="AR203" s="15">
        <f t="shared" si="18"/>
        <v>0</v>
      </c>
      <c r="AT203" s="17">
        <f t="shared" si="124"/>
        <v>0</v>
      </c>
    </row>
    <row r="204" spans="2:46" ht="15" x14ac:dyDescent="0.2">
      <c r="B204" s="64"/>
      <c r="C204" s="15" t="s">
        <v>53</v>
      </c>
      <c r="D204" s="30" t="str">
        <f t="shared" si="116"/>
        <v/>
      </c>
      <c r="E204" s="14" t="str">
        <f t="shared" si="106"/>
        <v/>
      </c>
      <c r="F204" s="14" t="str">
        <f t="shared" si="107"/>
        <v/>
      </c>
      <c r="G204" s="14" t="str">
        <f t="shared" si="108"/>
        <v/>
      </c>
      <c r="H204" s="14" t="str">
        <f t="shared" si="109"/>
        <v/>
      </c>
      <c r="I204" s="14" t="str">
        <f t="shared" si="110"/>
        <v/>
      </c>
      <c r="J204" s="14" t="str">
        <f t="shared" si="111"/>
        <v/>
      </c>
      <c r="K204" s="14" t="str">
        <f t="shared" si="112"/>
        <v/>
      </c>
      <c r="L204" s="14" t="str">
        <f t="shared" si="113"/>
        <v/>
      </c>
      <c r="M204" s="14" t="str">
        <f t="shared" si="114"/>
        <v/>
      </c>
      <c r="N204" s="14" t="str">
        <f t="shared" si="115"/>
        <v/>
      </c>
      <c r="O204" s="14" t="s">
        <v>11</v>
      </c>
      <c r="P204" s="14" t="s">
        <v>11</v>
      </c>
      <c r="Q204" s="14" t="s">
        <v>11</v>
      </c>
      <c r="R204" s="14" t="s">
        <v>13</v>
      </c>
      <c r="S204" s="14" t="s">
        <v>11</v>
      </c>
      <c r="T204" s="14" t="s">
        <v>11</v>
      </c>
      <c r="U204" s="14" t="s">
        <v>11</v>
      </c>
      <c r="V204" s="14" t="s">
        <v>11</v>
      </c>
      <c r="W204" s="14" t="s">
        <v>11</v>
      </c>
      <c r="X204" s="14" t="s">
        <v>11</v>
      </c>
      <c r="Y204" s="14" t="str">
        <f t="shared" si="117"/>
        <v/>
      </c>
      <c r="Z204" s="14" t="str">
        <f t="shared" si="118"/>
        <v/>
      </c>
      <c r="AA204" s="15">
        <f t="shared" si="13"/>
        <v>0</v>
      </c>
      <c r="AB204" s="14" t="s">
        <v>11</v>
      </c>
      <c r="AC204" s="14" t="s">
        <v>11</v>
      </c>
      <c r="AD204" s="14" t="s">
        <v>11</v>
      </c>
      <c r="AE204" s="14" t="s">
        <v>11</v>
      </c>
      <c r="AF204" s="14" t="s">
        <v>13</v>
      </c>
      <c r="AG204" s="14" t="s">
        <v>11</v>
      </c>
      <c r="AH204" s="14" t="s">
        <v>11</v>
      </c>
      <c r="AI204" s="14" t="s">
        <v>11</v>
      </c>
      <c r="AJ204" s="14" t="s">
        <v>11</v>
      </c>
      <c r="AK204" s="14" t="s">
        <v>11</v>
      </c>
      <c r="AL204" s="14" t="str">
        <f t="shared" si="119"/>
        <v>T</v>
      </c>
      <c r="AM204" s="14" t="str">
        <f t="shared" si="120"/>
        <v>T</v>
      </c>
      <c r="AN204" s="14" t="str">
        <f t="shared" si="121"/>
        <v/>
      </c>
      <c r="AO204" s="14" t="str">
        <f t="shared" si="122"/>
        <v/>
      </c>
      <c r="AP204" s="14" t="str">
        <f t="shared" si="123"/>
        <v/>
      </c>
      <c r="AQ204" s="14" t="str">
        <f t="shared" si="125"/>
        <v/>
      </c>
      <c r="AR204" s="15">
        <f t="shared" si="18"/>
        <v>0</v>
      </c>
      <c r="AT204" s="17">
        <f t="shared" si="124"/>
        <v>0</v>
      </c>
    </row>
    <row r="205" spans="2:46" ht="15" x14ac:dyDescent="0.2">
      <c r="B205" s="64"/>
      <c r="C205" s="15" t="s">
        <v>53</v>
      </c>
      <c r="D205" s="30" t="str">
        <f t="shared" si="116"/>
        <v/>
      </c>
      <c r="E205" s="14" t="str">
        <f t="shared" si="106"/>
        <v/>
      </c>
      <c r="F205" s="14" t="str">
        <f t="shared" si="107"/>
        <v/>
      </c>
      <c r="G205" s="14" t="str">
        <f t="shared" si="108"/>
        <v/>
      </c>
      <c r="H205" s="14" t="str">
        <f t="shared" si="109"/>
        <v/>
      </c>
      <c r="I205" s="14" t="str">
        <f t="shared" si="110"/>
        <v/>
      </c>
      <c r="J205" s="14" t="str">
        <f t="shared" si="111"/>
        <v/>
      </c>
      <c r="K205" s="14" t="str">
        <f t="shared" si="112"/>
        <v/>
      </c>
      <c r="L205" s="14" t="str">
        <f t="shared" si="113"/>
        <v/>
      </c>
      <c r="M205" s="14" t="str">
        <f t="shared" si="114"/>
        <v/>
      </c>
      <c r="N205" s="14" t="str">
        <f t="shared" si="115"/>
        <v/>
      </c>
      <c r="O205" s="14" t="s">
        <v>11</v>
      </c>
      <c r="P205" s="14" t="s">
        <v>11</v>
      </c>
      <c r="Q205" s="14" t="s">
        <v>11</v>
      </c>
      <c r="R205" s="14" t="s">
        <v>13</v>
      </c>
      <c r="S205" s="14" t="s">
        <v>11</v>
      </c>
      <c r="T205" s="14" t="s">
        <v>11</v>
      </c>
      <c r="U205" s="14" t="s">
        <v>11</v>
      </c>
      <c r="V205" s="14" t="s">
        <v>11</v>
      </c>
      <c r="W205" s="14" t="s">
        <v>11</v>
      </c>
      <c r="X205" s="14" t="s">
        <v>11</v>
      </c>
      <c r="Y205" s="14" t="str">
        <f t="shared" si="117"/>
        <v/>
      </c>
      <c r="Z205" s="14" t="str">
        <f t="shared" si="118"/>
        <v/>
      </c>
      <c r="AA205" s="15">
        <f t="shared" si="13"/>
        <v>0</v>
      </c>
      <c r="AB205" s="14" t="s">
        <v>11</v>
      </c>
      <c r="AC205" s="14" t="s">
        <v>11</v>
      </c>
      <c r="AD205" s="14" t="s">
        <v>11</v>
      </c>
      <c r="AE205" s="14" t="s">
        <v>11</v>
      </c>
      <c r="AF205" s="14" t="s">
        <v>13</v>
      </c>
      <c r="AG205" s="14" t="s">
        <v>11</v>
      </c>
      <c r="AH205" s="14" t="s">
        <v>11</v>
      </c>
      <c r="AI205" s="14" t="s">
        <v>11</v>
      </c>
      <c r="AJ205" s="14" t="s">
        <v>11</v>
      </c>
      <c r="AK205" s="14" t="s">
        <v>11</v>
      </c>
      <c r="AL205" s="14" t="str">
        <f t="shared" si="119"/>
        <v>T</v>
      </c>
      <c r="AM205" s="14" t="str">
        <f t="shared" si="120"/>
        <v>T</v>
      </c>
      <c r="AN205" s="14" t="str">
        <f t="shared" si="121"/>
        <v/>
      </c>
      <c r="AO205" s="14" t="str">
        <f t="shared" si="122"/>
        <v/>
      </c>
      <c r="AP205" s="14" t="str">
        <f t="shared" si="123"/>
        <v/>
      </c>
      <c r="AQ205" s="14" t="str">
        <f t="shared" si="125"/>
        <v/>
      </c>
      <c r="AR205" s="15">
        <f t="shared" si="18"/>
        <v>0</v>
      </c>
      <c r="AT205" s="17">
        <f t="shared" si="124"/>
        <v>0</v>
      </c>
    </row>
    <row r="206" spans="2:46" ht="15" x14ac:dyDescent="0.2">
      <c r="B206" s="64"/>
      <c r="C206" s="15" t="s">
        <v>53</v>
      </c>
      <c r="D206" s="30" t="str">
        <f t="shared" si="116"/>
        <v/>
      </c>
      <c r="E206" s="14" t="str">
        <f t="shared" si="106"/>
        <v/>
      </c>
      <c r="F206" s="14" t="str">
        <f t="shared" si="107"/>
        <v/>
      </c>
      <c r="G206" s="14" t="str">
        <f t="shared" si="108"/>
        <v/>
      </c>
      <c r="H206" s="14" t="str">
        <f t="shared" si="109"/>
        <v/>
      </c>
      <c r="I206" s="14" t="str">
        <f t="shared" si="110"/>
        <v/>
      </c>
      <c r="J206" s="14" t="str">
        <f t="shared" si="111"/>
        <v/>
      </c>
      <c r="K206" s="14" t="str">
        <f t="shared" si="112"/>
        <v/>
      </c>
      <c r="L206" s="14" t="str">
        <f t="shared" si="113"/>
        <v/>
      </c>
      <c r="M206" s="14" t="str">
        <f t="shared" si="114"/>
        <v/>
      </c>
      <c r="N206" s="14" t="str">
        <f t="shared" si="115"/>
        <v/>
      </c>
      <c r="O206" s="14" t="s">
        <v>11</v>
      </c>
      <c r="P206" s="14" t="s">
        <v>11</v>
      </c>
      <c r="Q206" s="14" t="s">
        <v>11</v>
      </c>
      <c r="R206" s="14" t="s">
        <v>13</v>
      </c>
      <c r="S206" s="14" t="s">
        <v>11</v>
      </c>
      <c r="T206" s="14" t="s">
        <v>11</v>
      </c>
      <c r="U206" s="14" t="s">
        <v>11</v>
      </c>
      <c r="V206" s="14" t="s">
        <v>11</v>
      </c>
      <c r="W206" s="14" t="s">
        <v>11</v>
      </c>
      <c r="X206" s="14" t="s">
        <v>11</v>
      </c>
      <c r="Y206" s="14" t="str">
        <f t="shared" si="117"/>
        <v/>
      </c>
      <c r="Z206" s="14" t="str">
        <f t="shared" si="118"/>
        <v/>
      </c>
      <c r="AA206" s="15">
        <f t="shared" si="13"/>
        <v>0</v>
      </c>
      <c r="AB206" s="14" t="s">
        <v>11</v>
      </c>
      <c r="AC206" s="14" t="s">
        <v>11</v>
      </c>
      <c r="AD206" s="14" t="s">
        <v>11</v>
      </c>
      <c r="AE206" s="14" t="s">
        <v>11</v>
      </c>
      <c r="AF206" s="14" t="s">
        <v>13</v>
      </c>
      <c r="AG206" s="14" t="s">
        <v>11</v>
      </c>
      <c r="AH206" s="14" t="s">
        <v>11</v>
      </c>
      <c r="AI206" s="14" t="s">
        <v>11</v>
      </c>
      <c r="AJ206" s="14" t="s">
        <v>11</v>
      </c>
      <c r="AK206" s="14" t="s">
        <v>11</v>
      </c>
      <c r="AL206" s="14" t="str">
        <f t="shared" si="119"/>
        <v>T</v>
      </c>
      <c r="AM206" s="14" t="str">
        <f t="shared" si="120"/>
        <v>T</v>
      </c>
      <c r="AN206" s="14" t="str">
        <f t="shared" si="121"/>
        <v/>
      </c>
      <c r="AO206" s="14" t="str">
        <f t="shared" si="122"/>
        <v/>
      </c>
      <c r="AP206" s="14" t="str">
        <f t="shared" si="123"/>
        <v/>
      </c>
      <c r="AQ206" s="14" t="str">
        <f t="shared" si="125"/>
        <v/>
      </c>
      <c r="AR206" s="15">
        <f t="shared" si="18"/>
        <v>0</v>
      </c>
      <c r="AT206" s="17">
        <f t="shared" si="124"/>
        <v>0</v>
      </c>
    </row>
    <row r="207" spans="2:46" ht="15" x14ac:dyDescent="0.2">
      <c r="B207" s="64"/>
      <c r="C207" s="15" t="s">
        <v>53</v>
      </c>
      <c r="D207" s="30" t="str">
        <f t="shared" si="116"/>
        <v/>
      </c>
      <c r="E207" s="14" t="str">
        <f t="shared" si="106"/>
        <v/>
      </c>
      <c r="F207" s="14" t="str">
        <f t="shared" si="107"/>
        <v/>
      </c>
      <c r="G207" s="14" t="str">
        <f t="shared" si="108"/>
        <v/>
      </c>
      <c r="H207" s="14" t="str">
        <f t="shared" si="109"/>
        <v/>
      </c>
      <c r="I207" s="14" t="str">
        <f t="shared" si="110"/>
        <v/>
      </c>
      <c r="J207" s="14" t="str">
        <f t="shared" si="111"/>
        <v/>
      </c>
      <c r="K207" s="14" t="str">
        <f t="shared" si="112"/>
        <v/>
      </c>
      <c r="L207" s="14" t="str">
        <f t="shared" si="113"/>
        <v/>
      </c>
      <c r="M207" s="14" t="str">
        <f t="shared" si="114"/>
        <v/>
      </c>
      <c r="N207" s="14" t="str">
        <f t="shared" si="115"/>
        <v/>
      </c>
      <c r="O207" s="14" t="s">
        <v>11</v>
      </c>
      <c r="P207" s="14" t="s">
        <v>11</v>
      </c>
      <c r="Q207" s="14" t="s">
        <v>11</v>
      </c>
      <c r="R207" s="14" t="s">
        <v>13</v>
      </c>
      <c r="S207" s="14" t="s">
        <v>11</v>
      </c>
      <c r="T207" s="14" t="s">
        <v>11</v>
      </c>
      <c r="U207" s="14" t="s">
        <v>11</v>
      </c>
      <c r="V207" s="14" t="s">
        <v>11</v>
      </c>
      <c r="W207" s="14" t="s">
        <v>11</v>
      </c>
      <c r="X207" s="14" t="s">
        <v>11</v>
      </c>
      <c r="Y207" s="14" t="str">
        <f t="shared" si="117"/>
        <v/>
      </c>
      <c r="Z207" s="14" t="str">
        <f t="shared" si="118"/>
        <v/>
      </c>
      <c r="AA207" s="15">
        <f t="shared" si="13"/>
        <v>0</v>
      </c>
      <c r="AB207" s="14" t="s">
        <v>11</v>
      </c>
      <c r="AC207" s="14" t="s">
        <v>11</v>
      </c>
      <c r="AD207" s="14" t="s">
        <v>11</v>
      </c>
      <c r="AE207" s="14" t="s">
        <v>11</v>
      </c>
      <c r="AF207" s="14" t="s">
        <v>13</v>
      </c>
      <c r="AG207" s="14" t="s">
        <v>11</v>
      </c>
      <c r="AH207" s="14" t="s">
        <v>11</v>
      </c>
      <c r="AI207" s="14" t="s">
        <v>11</v>
      </c>
      <c r="AJ207" s="14" t="s">
        <v>11</v>
      </c>
      <c r="AK207" s="14" t="s">
        <v>11</v>
      </c>
      <c r="AL207" s="14" t="str">
        <f t="shared" si="119"/>
        <v>T</v>
      </c>
      <c r="AM207" s="14" t="str">
        <f t="shared" si="120"/>
        <v>T</v>
      </c>
      <c r="AN207" s="14" t="str">
        <f t="shared" si="121"/>
        <v/>
      </c>
      <c r="AO207" s="14" t="str">
        <f t="shared" si="122"/>
        <v/>
      </c>
      <c r="AP207" s="14" t="str">
        <f t="shared" si="123"/>
        <v/>
      </c>
      <c r="AQ207" s="14" t="str">
        <f t="shared" si="125"/>
        <v/>
      </c>
      <c r="AR207" s="15">
        <f t="shared" si="18"/>
        <v>0</v>
      </c>
      <c r="AT207" s="17">
        <f t="shared" si="124"/>
        <v>0</v>
      </c>
    </row>
    <row r="208" spans="2:46" ht="15" x14ac:dyDescent="0.2">
      <c r="B208" s="64"/>
      <c r="C208" s="15" t="s">
        <v>53</v>
      </c>
      <c r="D208" s="30" t="str">
        <f t="shared" si="116"/>
        <v/>
      </c>
      <c r="E208" s="14" t="str">
        <f t="shared" si="106"/>
        <v/>
      </c>
      <c r="F208" s="14" t="str">
        <f t="shared" si="107"/>
        <v/>
      </c>
      <c r="G208" s="14" t="str">
        <f t="shared" si="108"/>
        <v/>
      </c>
      <c r="H208" s="14" t="str">
        <f t="shared" si="109"/>
        <v/>
      </c>
      <c r="I208" s="14" t="str">
        <f t="shared" si="110"/>
        <v/>
      </c>
      <c r="J208" s="14" t="str">
        <f t="shared" si="111"/>
        <v/>
      </c>
      <c r="K208" s="14" t="str">
        <f t="shared" si="112"/>
        <v/>
      </c>
      <c r="L208" s="14" t="str">
        <f t="shared" si="113"/>
        <v/>
      </c>
      <c r="M208" s="14" t="str">
        <f t="shared" si="114"/>
        <v/>
      </c>
      <c r="N208" s="14" t="str">
        <f t="shared" si="115"/>
        <v/>
      </c>
      <c r="O208" s="14" t="s">
        <v>11</v>
      </c>
      <c r="P208" s="14" t="s">
        <v>11</v>
      </c>
      <c r="Q208" s="14" t="s">
        <v>11</v>
      </c>
      <c r="R208" s="14" t="s">
        <v>13</v>
      </c>
      <c r="S208" s="14" t="s">
        <v>11</v>
      </c>
      <c r="T208" s="14" t="s">
        <v>11</v>
      </c>
      <c r="U208" s="14" t="s">
        <v>11</v>
      </c>
      <c r="V208" s="14" t="s">
        <v>11</v>
      </c>
      <c r="W208" s="14" t="s">
        <v>11</v>
      </c>
      <c r="X208" s="14" t="s">
        <v>11</v>
      </c>
      <c r="Y208" s="14" t="str">
        <f t="shared" si="117"/>
        <v/>
      </c>
      <c r="Z208" s="14" t="str">
        <f t="shared" si="118"/>
        <v/>
      </c>
      <c r="AA208" s="15">
        <f t="shared" si="13"/>
        <v>0</v>
      </c>
      <c r="AB208" s="14" t="s">
        <v>11</v>
      </c>
      <c r="AC208" s="14" t="s">
        <v>11</v>
      </c>
      <c r="AD208" s="14" t="s">
        <v>11</v>
      </c>
      <c r="AE208" s="14" t="s">
        <v>11</v>
      </c>
      <c r="AF208" s="14" t="s">
        <v>13</v>
      </c>
      <c r="AG208" s="14" t="s">
        <v>11</v>
      </c>
      <c r="AH208" s="14" t="s">
        <v>11</v>
      </c>
      <c r="AI208" s="14" t="s">
        <v>11</v>
      </c>
      <c r="AJ208" s="14" t="s">
        <v>11</v>
      </c>
      <c r="AK208" s="14" t="s">
        <v>11</v>
      </c>
      <c r="AL208" s="14" t="str">
        <f t="shared" si="119"/>
        <v>T</v>
      </c>
      <c r="AM208" s="14" t="str">
        <f t="shared" si="120"/>
        <v>T</v>
      </c>
      <c r="AN208" s="14" t="str">
        <f t="shared" si="121"/>
        <v/>
      </c>
      <c r="AO208" s="14" t="str">
        <f t="shared" si="122"/>
        <v/>
      </c>
      <c r="AP208" s="14" t="str">
        <f t="shared" si="123"/>
        <v/>
      </c>
      <c r="AQ208" s="14" t="str">
        <f t="shared" si="125"/>
        <v/>
      </c>
      <c r="AR208" s="15">
        <f t="shared" si="18"/>
        <v>0</v>
      </c>
      <c r="AT208" s="17">
        <f t="shared" si="124"/>
        <v>0</v>
      </c>
    </row>
    <row r="209" spans="2:46" ht="15" x14ac:dyDescent="0.2">
      <c r="B209" s="64"/>
      <c r="C209" s="15" t="s">
        <v>53</v>
      </c>
      <c r="D209" s="30" t="str">
        <f t="shared" si="116"/>
        <v/>
      </c>
      <c r="E209" s="14" t="str">
        <f t="shared" si="106"/>
        <v/>
      </c>
      <c r="F209" s="14" t="str">
        <f t="shared" si="107"/>
        <v/>
      </c>
      <c r="G209" s="14" t="str">
        <f t="shared" si="108"/>
        <v/>
      </c>
      <c r="H209" s="14" t="str">
        <f t="shared" si="109"/>
        <v/>
      </c>
      <c r="I209" s="14" t="str">
        <f t="shared" si="110"/>
        <v/>
      </c>
      <c r="J209" s="14" t="str">
        <f t="shared" si="111"/>
        <v/>
      </c>
      <c r="K209" s="14" t="str">
        <f t="shared" si="112"/>
        <v/>
      </c>
      <c r="L209" s="14" t="str">
        <f t="shared" si="113"/>
        <v/>
      </c>
      <c r="M209" s="14" t="str">
        <f t="shared" si="114"/>
        <v/>
      </c>
      <c r="N209" s="14" t="str">
        <f t="shared" si="115"/>
        <v/>
      </c>
      <c r="O209" s="14" t="s">
        <v>11</v>
      </c>
      <c r="P209" s="14" t="s">
        <v>11</v>
      </c>
      <c r="Q209" s="14" t="s">
        <v>11</v>
      </c>
      <c r="R209" s="14" t="s">
        <v>13</v>
      </c>
      <c r="S209" s="14" t="s">
        <v>11</v>
      </c>
      <c r="T209" s="14" t="s">
        <v>11</v>
      </c>
      <c r="U209" s="14" t="s">
        <v>11</v>
      </c>
      <c r="V209" s="14" t="s">
        <v>11</v>
      </c>
      <c r="W209" s="14" t="s">
        <v>11</v>
      </c>
      <c r="X209" s="14" t="s">
        <v>11</v>
      </c>
      <c r="Y209" s="14" t="str">
        <f t="shared" si="117"/>
        <v/>
      </c>
      <c r="Z209" s="14" t="str">
        <f t="shared" si="118"/>
        <v/>
      </c>
      <c r="AA209" s="15">
        <f t="shared" si="13"/>
        <v>0</v>
      </c>
      <c r="AB209" s="14" t="s">
        <v>11</v>
      </c>
      <c r="AC209" s="14" t="s">
        <v>11</v>
      </c>
      <c r="AD209" s="14" t="s">
        <v>11</v>
      </c>
      <c r="AE209" s="14" t="s">
        <v>11</v>
      </c>
      <c r="AF209" s="14" t="s">
        <v>13</v>
      </c>
      <c r="AG209" s="14" t="s">
        <v>11</v>
      </c>
      <c r="AH209" s="14" t="s">
        <v>11</v>
      </c>
      <c r="AI209" s="14" t="s">
        <v>11</v>
      </c>
      <c r="AJ209" s="14" t="s">
        <v>11</v>
      </c>
      <c r="AK209" s="14" t="s">
        <v>11</v>
      </c>
      <c r="AL209" s="14" t="str">
        <f t="shared" si="119"/>
        <v>T</v>
      </c>
      <c r="AM209" s="14" t="str">
        <f t="shared" si="120"/>
        <v>T</v>
      </c>
      <c r="AN209" s="14" t="str">
        <f t="shared" si="121"/>
        <v/>
      </c>
      <c r="AO209" s="14" t="str">
        <f t="shared" si="122"/>
        <v/>
      </c>
      <c r="AP209" s="14" t="str">
        <f t="shared" si="123"/>
        <v/>
      </c>
      <c r="AQ209" s="14" t="str">
        <f t="shared" si="125"/>
        <v/>
      </c>
      <c r="AR209" s="15">
        <f t="shared" si="18"/>
        <v>0</v>
      </c>
      <c r="AT209" s="17">
        <f t="shared" si="124"/>
        <v>0</v>
      </c>
    </row>
    <row r="210" spans="2:46" ht="15" x14ac:dyDescent="0.2">
      <c r="B210" s="64"/>
      <c r="C210" s="15" t="s">
        <v>53</v>
      </c>
      <c r="D210" s="30" t="str">
        <f t="shared" si="116"/>
        <v/>
      </c>
      <c r="E210" s="14" t="str">
        <f t="shared" si="106"/>
        <v/>
      </c>
      <c r="F210" s="14" t="str">
        <f t="shared" si="107"/>
        <v/>
      </c>
      <c r="G210" s="14" t="str">
        <f t="shared" si="108"/>
        <v/>
      </c>
      <c r="H210" s="14" t="str">
        <f t="shared" si="109"/>
        <v/>
      </c>
      <c r="I210" s="14" t="str">
        <f t="shared" si="110"/>
        <v/>
      </c>
      <c r="J210" s="14" t="str">
        <f t="shared" si="111"/>
        <v/>
      </c>
      <c r="K210" s="14" t="str">
        <f t="shared" si="112"/>
        <v/>
      </c>
      <c r="L210" s="14" t="str">
        <f t="shared" si="113"/>
        <v/>
      </c>
      <c r="M210" s="14" t="str">
        <f t="shared" si="114"/>
        <v/>
      </c>
      <c r="N210" s="14" t="str">
        <f t="shared" si="115"/>
        <v/>
      </c>
      <c r="O210" s="14" t="s">
        <v>11</v>
      </c>
      <c r="P210" s="14" t="s">
        <v>11</v>
      </c>
      <c r="Q210" s="14" t="s">
        <v>11</v>
      </c>
      <c r="R210" s="14" t="s">
        <v>13</v>
      </c>
      <c r="S210" s="14" t="s">
        <v>11</v>
      </c>
      <c r="T210" s="14" t="s">
        <v>11</v>
      </c>
      <c r="U210" s="14" t="s">
        <v>11</v>
      </c>
      <c r="V210" s="14" t="s">
        <v>11</v>
      </c>
      <c r="W210" s="14" t="s">
        <v>11</v>
      </c>
      <c r="X210" s="14" t="s">
        <v>11</v>
      </c>
      <c r="Y210" s="14" t="str">
        <f t="shared" si="117"/>
        <v/>
      </c>
      <c r="Z210" s="14" t="str">
        <f t="shared" si="118"/>
        <v/>
      </c>
      <c r="AA210" s="15">
        <f t="shared" si="13"/>
        <v>0</v>
      </c>
      <c r="AB210" s="14" t="s">
        <v>11</v>
      </c>
      <c r="AC210" s="14" t="s">
        <v>41</v>
      </c>
      <c r="AD210" s="14" t="s">
        <v>11</v>
      </c>
      <c r="AE210" s="14" t="s">
        <v>11</v>
      </c>
      <c r="AF210" s="14" t="s">
        <v>13</v>
      </c>
      <c r="AG210" s="14" t="s">
        <v>11</v>
      </c>
      <c r="AH210" s="14" t="s">
        <v>11</v>
      </c>
      <c r="AI210" s="14" t="s">
        <v>11</v>
      </c>
      <c r="AJ210" s="14" t="s">
        <v>11</v>
      </c>
      <c r="AK210" s="14" t="s">
        <v>11</v>
      </c>
      <c r="AL210" s="14" t="str">
        <f t="shared" si="119"/>
        <v>T</v>
      </c>
      <c r="AM210" s="14" t="str">
        <f t="shared" si="120"/>
        <v>T</v>
      </c>
      <c r="AN210" s="14" t="str">
        <f t="shared" si="121"/>
        <v/>
      </c>
      <c r="AO210" s="14" t="str">
        <f t="shared" si="122"/>
        <v/>
      </c>
      <c r="AP210" s="14" t="str">
        <f t="shared" si="123"/>
        <v/>
      </c>
      <c r="AQ210" s="14" t="str">
        <f t="shared" si="125"/>
        <v/>
      </c>
      <c r="AR210" s="15">
        <f t="shared" si="18"/>
        <v>0</v>
      </c>
      <c r="AT210" s="17">
        <f t="shared" si="124"/>
        <v>0</v>
      </c>
    </row>
    <row r="211" spans="2:46" ht="15" x14ac:dyDescent="0.2">
      <c r="B211" s="64"/>
      <c r="C211" s="15" t="s">
        <v>53</v>
      </c>
      <c r="D211" s="30" t="str">
        <f t="shared" si="116"/>
        <v/>
      </c>
      <c r="E211" s="14" t="str">
        <f t="shared" si="106"/>
        <v/>
      </c>
      <c r="F211" s="14" t="str">
        <f t="shared" si="107"/>
        <v/>
      </c>
      <c r="G211" s="14" t="str">
        <f t="shared" si="108"/>
        <v/>
      </c>
      <c r="H211" s="14" t="str">
        <f t="shared" si="109"/>
        <v/>
      </c>
      <c r="I211" s="14" t="str">
        <f t="shared" si="110"/>
        <v/>
      </c>
      <c r="J211" s="14" t="str">
        <f t="shared" si="111"/>
        <v/>
      </c>
      <c r="K211" s="14" t="str">
        <f t="shared" si="112"/>
        <v/>
      </c>
      <c r="L211" s="14" t="str">
        <f t="shared" si="113"/>
        <v/>
      </c>
      <c r="M211" s="14" t="str">
        <f t="shared" si="114"/>
        <v/>
      </c>
      <c r="N211" s="14" t="str">
        <f t="shared" si="115"/>
        <v/>
      </c>
      <c r="O211" s="14" t="s">
        <v>11</v>
      </c>
      <c r="P211" s="14" t="s">
        <v>11</v>
      </c>
      <c r="Q211" s="14" t="s">
        <v>11</v>
      </c>
      <c r="R211" s="14" t="s">
        <v>13</v>
      </c>
      <c r="S211" s="14" t="s">
        <v>11</v>
      </c>
      <c r="T211" s="14" t="s">
        <v>11</v>
      </c>
      <c r="U211" s="14" t="s">
        <v>11</v>
      </c>
      <c r="V211" s="14" t="s">
        <v>11</v>
      </c>
      <c r="W211" s="14" t="s">
        <v>11</v>
      </c>
      <c r="X211" s="14" t="s">
        <v>11</v>
      </c>
      <c r="Y211" s="14" t="str">
        <f t="shared" si="117"/>
        <v/>
      </c>
      <c r="Z211" s="14" t="str">
        <f t="shared" si="118"/>
        <v/>
      </c>
      <c r="AA211" s="15">
        <f t="shared" si="13"/>
        <v>0</v>
      </c>
      <c r="AB211" s="14" t="s">
        <v>11</v>
      </c>
      <c r="AC211" s="14" t="s">
        <v>11</v>
      </c>
      <c r="AD211" s="14" t="s">
        <v>11</v>
      </c>
      <c r="AE211" s="14" t="s">
        <v>11</v>
      </c>
      <c r="AF211" s="14" t="s">
        <v>13</v>
      </c>
      <c r="AG211" s="14" t="s">
        <v>11</v>
      </c>
      <c r="AH211" s="14" t="s">
        <v>11</v>
      </c>
      <c r="AI211" s="14" t="s">
        <v>11</v>
      </c>
      <c r="AJ211" s="14" t="s">
        <v>11</v>
      </c>
      <c r="AK211" s="14" t="s">
        <v>11</v>
      </c>
      <c r="AL211" s="14" t="str">
        <f t="shared" si="119"/>
        <v>T</v>
      </c>
      <c r="AM211" s="14" t="str">
        <f t="shared" si="120"/>
        <v>T</v>
      </c>
      <c r="AN211" s="14" t="str">
        <f t="shared" si="121"/>
        <v/>
      </c>
      <c r="AO211" s="14" t="str">
        <f t="shared" si="122"/>
        <v/>
      </c>
      <c r="AP211" s="14" t="str">
        <f t="shared" si="123"/>
        <v/>
      </c>
      <c r="AQ211" s="14" t="str">
        <f t="shared" si="125"/>
        <v/>
      </c>
      <c r="AR211" s="15">
        <f t="shared" si="18"/>
        <v>0</v>
      </c>
      <c r="AT211" s="17">
        <f t="shared" si="124"/>
        <v>0</v>
      </c>
    </row>
    <row r="212" spans="2:46" ht="15" x14ac:dyDescent="0.2">
      <c r="B212" s="64"/>
      <c r="C212" s="15" t="s">
        <v>53</v>
      </c>
      <c r="D212" s="30" t="str">
        <f t="shared" si="116"/>
        <v/>
      </c>
      <c r="E212" s="14" t="str">
        <f t="shared" si="106"/>
        <v/>
      </c>
      <c r="F212" s="14" t="str">
        <f t="shared" si="107"/>
        <v/>
      </c>
      <c r="G212" s="14" t="str">
        <f t="shared" si="108"/>
        <v/>
      </c>
      <c r="H212" s="14" t="str">
        <f t="shared" si="109"/>
        <v/>
      </c>
      <c r="I212" s="14" t="str">
        <f t="shared" si="110"/>
        <v/>
      </c>
      <c r="J212" s="14" t="str">
        <f t="shared" si="111"/>
        <v/>
      </c>
      <c r="K212" s="14" t="str">
        <f t="shared" si="112"/>
        <v/>
      </c>
      <c r="L212" s="14" t="str">
        <f t="shared" si="113"/>
        <v/>
      </c>
      <c r="M212" s="14" t="str">
        <f t="shared" si="114"/>
        <v/>
      </c>
      <c r="N212" s="14" t="str">
        <f t="shared" si="115"/>
        <v/>
      </c>
      <c r="O212" s="14" t="s">
        <v>11</v>
      </c>
      <c r="P212" s="14" t="s">
        <v>11</v>
      </c>
      <c r="Q212" s="14" t="s">
        <v>11</v>
      </c>
      <c r="R212" s="14" t="s">
        <v>13</v>
      </c>
      <c r="S212" s="14" t="s">
        <v>11</v>
      </c>
      <c r="T212" s="14" t="s">
        <v>11</v>
      </c>
      <c r="U212" s="14" t="s">
        <v>11</v>
      </c>
      <c r="V212" s="14" t="s">
        <v>11</v>
      </c>
      <c r="W212" s="14" t="s">
        <v>11</v>
      </c>
      <c r="X212" s="14" t="s">
        <v>11</v>
      </c>
      <c r="Y212" s="14" t="str">
        <f t="shared" si="117"/>
        <v/>
      </c>
      <c r="Z212" s="14" t="str">
        <f t="shared" si="118"/>
        <v/>
      </c>
      <c r="AA212" s="15">
        <f t="shared" si="13"/>
        <v>0</v>
      </c>
      <c r="AB212" s="14" t="s">
        <v>11</v>
      </c>
      <c r="AC212" s="14" t="s">
        <v>41</v>
      </c>
      <c r="AD212" s="14" t="s">
        <v>11</v>
      </c>
      <c r="AE212" s="14" t="s">
        <v>41</v>
      </c>
      <c r="AF212" s="14" t="s">
        <v>13</v>
      </c>
      <c r="AG212" s="14" t="s">
        <v>11</v>
      </c>
      <c r="AH212" s="14" t="s">
        <v>11</v>
      </c>
      <c r="AI212" s="14" t="s">
        <v>11</v>
      </c>
      <c r="AJ212" s="14" t="s">
        <v>11</v>
      </c>
      <c r="AK212" s="14" t="s">
        <v>11</v>
      </c>
      <c r="AL212" s="14" t="str">
        <f t="shared" si="119"/>
        <v>T</v>
      </c>
      <c r="AM212" s="14" t="str">
        <f t="shared" si="120"/>
        <v>T</v>
      </c>
      <c r="AN212" s="14" t="str">
        <f t="shared" si="121"/>
        <v/>
      </c>
      <c r="AO212" s="14" t="str">
        <f t="shared" si="122"/>
        <v/>
      </c>
      <c r="AP212" s="14" t="str">
        <f t="shared" si="123"/>
        <v/>
      </c>
      <c r="AQ212" s="14" t="str">
        <f t="shared" si="125"/>
        <v/>
      </c>
      <c r="AR212" s="15">
        <f t="shared" si="18"/>
        <v>0</v>
      </c>
      <c r="AT212" s="17">
        <f t="shared" si="124"/>
        <v>0</v>
      </c>
    </row>
    <row r="213" spans="2:46" ht="15" x14ac:dyDescent="0.2">
      <c r="B213" s="64"/>
      <c r="C213" s="15" t="s">
        <v>53</v>
      </c>
      <c r="D213" s="30" t="str">
        <f t="shared" si="116"/>
        <v/>
      </c>
      <c r="E213" s="14" t="str">
        <f t="shared" si="106"/>
        <v/>
      </c>
      <c r="F213" s="14" t="str">
        <f t="shared" si="107"/>
        <v/>
      </c>
      <c r="G213" s="14" t="str">
        <f t="shared" si="108"/>
        <v/>
      </c>
      <c r="H213" s="14" t="str">
        <f t="shared" si="109"/>
        <v/>
      </c>
      <c r="I213" s="14" t="str">
        <f t="shared" si="110"/>
        <v/>
      </c>
      <c r="J213" s="14" t="str">
        <f t="shared" si="111"/>
        <v/>
      </c>
      <c r="K213" s="14" t="str">
        <f t="shared" si="112"/>
        <v/>
      </c>
      <c r="L213" s="14" t="str">
        <f t="shared" si="113"/>
        <v/>
      </c>
      <c r="M213" s="14" t="str">
        <f t="shared" si="114"/>
        <v/>
      </c>
      <c r="N213" s="14" t="str">
        <f t="shared" si="115"/>
        <v/>
      </c>
      <c r="O213" s="14" t="s">
        <v>11</v>
      </c>
      <c r="P213" s="14" t="s">
        <v>11</v>
      </c>
      <c r="Q213" s="14" t="s">
        <v>11</v>
      </c>
      <c r="R213" s="14" t="s">
        <v>13</v>
      </c>
      <c r="S213" s="14" t="s">
        <v>11</v>
      </c>
      <c r="T213" s="14" t="s">
        <v>11</v>
      </c>
      <c r="U213" s="14" t="s">
        <v>11</v>
      </c>
      <c r="V213" s="14" t="s">
        <v>11</v>
      </c>
      <c r="W213" s="14" t="s">
        <v>11</v>
      </c>
      <c r="X213" s="14" t="s">
        <v>11</v>
      </c>
      <c r="Y213" s="14" t="str">
        <f t="shared" si="117"/>
        <v/>
      </c>
      <c r="Z213" s="14" t="str">
        <f t="shared" si="118"/>
        <v/>
      </c>
      <c r="AA213" s="15">
        <f t="shared" si="13"/>
        <v>0</v>
      </c>
      <c r="AB213" s="14" t="s">
        <v>11</v>
      </c>
      <c r="AC213" s="14" t="s">
        <v>41</v>
      </c>
      <c r="AD213" s="14" t="s">
        <v>11</v>
      </c>
      <c r="AE213" s="14" t="s">
        <v>41</v>
      </c>
      <c r="AF213" s="14" t="s">
        <v>13</v>
      </c>
      <c r="AG213" s="14" t="s">
        <v>11</v>
      </c>
      <c r="AH213" s="14" t="s">
        <v>11</v>
      </c>
      <c r="AI213" s="14" t="s">
        <v>11</v>
      </c>
      <c r="AJ213" s="14" t="s">
        <v>11</v>
      </c>
      <c r="AK213" s="14" t="s">
        <v>11</v>
      </c>
      <c r="AL213" s="14" t="str">
        <f t="shared" si="119"/>
        <v>T</v>
      </c>
      <c r="AM213" s="14" t="str">
        <f t="shared" si="120"/>
        <v>T</v>
      </c>
      <c r="AN213" s="14" t="str">
        <f t="shared" si="121"/>
        <v/>
      </c>
      <c r="AO213" s="14" t="str">
        <f t="shared" si="122"/>
        <v/>
      </c>
      <c r="AP213" s="14" t="str">
        <f t="shared" si="123"/>
        <v/>
      </c>
      <c r="AQ213" s="14" t="str">
        <f t="shared" si="125"/>
        <v/>
      </c>
      <c r="AR213" s="15">
        <f t="shared" si="18"/>
        <v>0</v>
      </c>
      <c r="AT213" s="17">
        <f t="shared" si="124"/>
        <v>0</v>
      </c>
    </row>
    <row r="214" spans="2:46" ht="15" x14ac:dyDescent="0.2">
      <c r="B214" s="64"/>
      <c r="C214" s="15" t="s">
        <v>53</v>
      </c>
      <c r="D214" s="30" t="str">
        <f t="shared" si="116"/>
        <v/>
      </c>
      <c r="E214" s="14" t="str">
        <f t="shared" si="106"/>
        <v/>
      </c>
      <c r="F214" s="14" t="str">
        <f t="shared" si="107"/>
        <v/>
      </c>
      <c r="G214" s="14" t="str">
        <f t="shared" si="108"/>
        <v/>
      </c>
      <c r="H214" s="14" t="str">
        <f t="shared" si="109"/>
        <v/>
      </c>
      <c r="I214" s="14" t="str">
        <f t="shared" si="110"/>
        <v/>
      </c>
      <c r="J214" s="14" t="str">
        <f t="shared" si="111"/>
        <v/>
      </c>
      <c r="K214" s="14" t="str">
        <f t="shared" si="112"/>
        <v/>
      </c>
      <c r="L214" s="14" t="str">
        <f t="shared" si="113"/>
        <v/>
      </c>
      <c r="M214" s="14" t="str">
        <f t="shared" si="114"/>
        <v/>
      </c>
      <c r="N214" s="14" t="str">
        <f t="shared" si="115"/>
        <v/>
      </c>
      <c r="O214" s="14" t="s">
        <v>11</v>
      </c>
      <c r="P214" s="14" t="s">
        <v>11</v>
      </c>
      <c r="Q214" s="14" t="s">
        <v>11</v>
      </c>
      <c r="R214" s="14" t="s">
        <v>13</v>
      </c>
      <c r="S214" s="14" t="s">
        <v>11</v>
      </c>
      <c r="T214" s="14" t="s">
        <v>11</v>
      </c>
      <c r="U214" s="14" t="s">
        <v>11</v>
      </c>
      <c r="V214" s="14" t="s">
        <v>11</v>
      </c>
      <c r="W214" s="14" t="s">
        <v>11</v>
      </c>
      <c r="X214" s="14" t="s">
        <v>11</v>
      </c>
      <c r="Y214" s="14" t="str">
        <f t="shared" si="117"/>
        <v/>
      </c>
      <c r="Z214" s="14" t="str">
        <f t="shared" si="118"/>
        <v/>
      </c>
      <c r="AA214" s="15">
        <f t="shared" si="13"/>
        <v>0</v>
      </c>
      <c r="AB214" s="14" t="s">
        <v>11</v>
      </c>
      <c r="AC214" s="14" t="s">
        <v>11</v>
      </c>
      <c r="AD214" s="14" t="s">
        <v>11</v>
      </c>
      <c r="AE214" s="14" t="s">
        <v>11</v>
      </c>
      <c r="AF214" s="14" t="s">
        <v>13</v>
      </c>
      <c r="AG214" s="14" t="s">
        <v>11</v>
      </c>
      <c r="AH214" s="14" t="s">
        <v>11</v>
      </c>
      <c r="AI214" s="14" t="s">
        <v>11</v>
      </c>
      <c r="AJ214" s="14" t="s">
        <v>11</v>
      </c>
      <c r="AK214" s="14" t="s">
        <v>11</v>
      </c>
      <c r="AL214" s="14" t="str">
        <f t="shared" si="119"/>
        <v>T</v>
      </c>
      <c r="AM214" s="14" t="str">
        <f t="shared" si="120"/>
        <v>T</v>
      </c>
      <c r="AN214" s="14" t="str">
        <f t="shared" si="121"/>
        <v/>
      </c>
      <c r="AO214" s="14" t="str">
        <f t="shared" si="122"/>
        <v/>
      </c>
      <c r="AP214" s="14" t="str">
        <f t="shared" si="123"/>
        <v/>
      </c>
      <c r="AQ214" s="14" t="str">
        <f t="shared" si="125"/>
        <v/>
      </c>
      <c r="AR214" s="15">
        <f t="shared" si="18"/>
        <v>0</v>
      </c>
      <c r="AT214" s="17">
        <f t="shared" si="124"/>
        <v>0</v>
      </c>
    </row>
    <row r="215" spans="2:46" ht="15" x14ac:dyDescent="0.2">
      <c r="B215" s="64"/>
      <c r="C215" s="15" t="s">
        <v>53</v>
      </c>
      <c r="D215" s="30" t="str">
        <f t="shared" si="116"/>
        <v/>
      </c>
      <c r="E215" s="14" t="str">
        <f t="shared" si="106"/>
        <v/>
      </c>
      <c r="F215" s="14" t="str">
        <f t="shared" si="107"/>
        <v/>
      </c>
      <c r="G215" s="14" t="str">
        <f t="shared" si="108"/>
        <v/>
      </c>
      <c r="H215" s="14" t="str">
        <f t="shared" si="109"/>
        <v/>
      </c>
      <c r="I215" s="14" t="str">
        <f t="shared" si="110"/>
        <v/>
      </c>
      <c r="J215" s="14" t="str">
        <f t="shared" si="111"/>
        <v/>
      </c>
      <c r="K215" s="14" t="str">
        <f t="shared" si="112"/>
        <v/>
      </c>
      <c r="L215" s="14" t="str">
        <f t="shared" si="113"/>
        <v/>
      </c>
      <c r="M215" s="14" t="str">
        <f t="shared" si="114"/>
        <v/>
      </c>
      <c r="N215" s="14" t="str">
        <f t="shared" si="115"/>
        <v/>
      </c>
      <c r="O215" s="14" t="s">
        <v>11</v>
      </c>
      <c r="P215" s="14" t="s">
        <v>11</v>
      </c>
      <c r="Q215" s="14" t="s">
        <v>11</v>
      </c>
      <c r="R215" s="14" t="s">
        <v>13</v>
      </c>
      <c r="S215" s="14" t="s">
        <v>11</v>
      </c>
      <c r="T215" s="14" t="s">
        <v>11</v>
      </c>
      <c r="U215" s="14" t="s">
        <v>11</v>
      </c>
      <c r="V215" s="14" t="s">
        <v>11</v>
      </c>
      <c r="W215" s="14" t="s">
        <v>11</v>
      </c>
      <c r="X215" s="14" t="s">
        <v>11</v>
      </c>
      <c r="Y215" s="14" t="str">
        <f t="shared" si="117"/>
        <v/>
      </c>
      <c r="Z215" s="14" t="str">
        <f t="shared" si="118"/>
        <v/>
      </c>
      <c r="AA215" s="15">
        <f t="shared" si="13"/>
        <v>0</v>
      </c>
      <c r="AB215" s="14" t="s">
        <v>11</v>
      </c>
      <c r="AC215" s="14" t="s">
        <v>11</v>
      </c>
      <c r="AD215" s="14" t="s">
        <v>11</v>
      </c>
      <c r="AE215" s="14" t="s">
        <v>11</v>
      </c>
      <c r="AF215" s="14" t="s">
        <v>13</v>
      </c>
      <c r="AG215" s="14" t="s">
        <v>11</v>
      </c>
      <c r="AH215" s="14" t="s">
        <v>11</v>
      </c>
      <c r="AI215" s="14" t="s">
        <v>11</v>
      </c>
      <c r="AJ215" s="14" t="s">
        <v>11</v>
      </c>
      <c r="AK215" s="14" t="s">
        <v>11</v>
      </c>
      <c r="AL215" s="14" t="str">
        <f t="shared" si="119"/>
        <v>T</v>
      </c>
      <c r="AM215" s="14" t="str">
        <f t="shared" si="120"/>
        <v>T</v>
      </c>
      <c r="AN215" s="14" t="str">
        <f t="shared" si="121"/>
        <v/>
      </c>
      <c r="AO215" s="14" t="str">
        <f t="shared" si="122"/>
        <v/>
      </c>
      <c r="AP215" s="14" t="str">
        <f t="shared" si="123"/>
        <v/>
      </c>
      <c r="AQ215" s="14" t="str">
        <f t="shared" si="125"/>
        <v/>
      </c>
      <c r="AR215" s="15">
        <f t="shared" si="18"/>
        <v>0</v>
      </c>
      <c r="AT215" s="17">
        <f t="shared" si="124"/>
        <v>0</v>
      </c>
    </row>
    <row r="216" spans="2:46" ht="15" x14ac:dyDescent="0.2">
      <c r="B216" s="64"/>
      <c r="C216" s="15" t="s">
        <v>53</v>
      </c>
      <c r="D216" s="30" t="str">
        <f t="shared" si="116"/>
        <v/>
      </c>
      <c r="E216" s="14" t="str">
        <f t="shared" si="106"/>
        <v/>
      </c>
      <c r="F216" s="14" t="str">
        <f t="shared" si="107"/>
        <v/>
      </c>
      <c r="G216" s="14" t="str">
        <f t="shared" si="108"/>
        <v/>
      </c>
      <c r="H216" s="14" t="str">
        <f t="shared" si="109"/>
        <v/>
      </c>
      <c r="I216" s="14" t="str">
        <f t="shared" si="110"/>
        <v/>
      </c>
      <c r="J216" s="14" t="str">
        <f t="shared" si="111"/>
        <v/>
      </c>
      <c r="K216" s="14" t="str">
        <f t="shared" si="112"/>
        <v/>
      </c>
      <c r="L216" s="14" t="str">
        <f t="shared" si="113"/>
        <v/>
      </c>
      <c r="M216" s="14" t="str">
        <f t="shared" si="114"/>
        <v/>
      </c>
      <c r="N216" s="14" t="str">
        <f t="shared" si="115"/>
        <v/>
      </c>
      <c r="O216" s="14" t="s">
        <v>11</v>
      </c>
      <c r="P216" s="14" t="s">
        <v>11</v>
      </c>
      <c r="Q216" s="14" t="s">
        <v>11</v>
      </c>
      <c r="R216" s="14" t="s">
        <v>13</v>
      </c>
      <c r="S216" s="14" t="s">
        <v>11</v>
      </c>
      <c r="T216" s="14" t="s">
        <v>11</v>
      </c>
      <c r="U216" s="14" t="s">
        <v>11</v>
      </c>
      <c r="V216" s="14" t="s">
        <v>11</v>
      </c>
      <c r="W216" s="14" t="s">
        <v>11</v>
      </c>
      <c r="X216" s="14" t="s">
        <v>11</v>
      </c>
      <c r="Y216" s="14" t="str">
        <f t="shared" si="117"/>
        <v/>
      </c>
      <c r="Z216" s="14" t="str">
        <f t="shared" si="118"/>
        <v/>
      </c>
      <c r="AA216" s="15">
        <f t="shared" si="13"/>
        <v>0</v>
      </c>
      <c r="AB216" s="14" t="s">
        <v>11</v>
      </c>
      <c r="AC216" s="14" t="s">
        <v>11</v>
      </c>
      <c r="AD216" s="14" t="s">
        <v>11</v>
      </c>
      <c r="AE216" s="14" t="s">
        <v>11</v>
      </c>
      <c r="AF216" s="14" t="s">
        <v>13</v>
      </c>
      <c r="AG216" s="14" t="s">
        <v>11</v>
      </c>
      <c r="AH216" s="14" t="s">
        <v>11</v>
      </c>
      <c r="AI216" s="14" t="s">
        <v>11</v>
      </c>
      <c r="AJ216" s="14" t="s">
        <v>11</v>
      </c>
      <c r="AK216" s="14" t="s">
        <v>11</v>
      </c>
      <c r="AL216" s="14" t="str">
        <f t="shared" si="119"/>
        <v>T</v>
      </c>
      <c r="AM216" s="14" t="str">
        <f t="shared" si="120"/>
        <v>T</v>
      </c>
      <c r="AN216" s="14" t="str">
        <f t="shared" si="121"/>
        <v/>
      </c>
      <c r="AO216" s="14" t="str">
        <f t="shared" si="122"/>
        <v/>
      </c>
      <c r="AP216" s="14" t="str">
        <f t="shared" si="123"/>
        <v/>
      </c>
      <c r="AQ216" s="14" t="str">
        <f t="shared" si="125"/>
        <v/>
      </c>
      <c r="AR216" s="15">
        <f t="shared" si="18"/>
        <v>0</v>
      </c>
      <c r="AT216" s="17">
        <f t="shared" si="124"/>
        <v>0</v>
      </c>
    </row>
    <row r="217" spans="2:46" ht="15" x14ac:dyDescent="0.2">
      <c r="B217" s="64"/>
      <c r="C217" s="15" t="s">
        <v>53</v>
      </c>
      <c r="D217" s="30" t="str">
        <f t="shared" si="116"/>
        <v/>
      </c>
      <c r="E217" s="14" t="str">
        <f t="shared" si="106"/>
        <v/>
      </c>
      <c r="F217" s="14" t="str">
        <f t="shared" si="107"/>
        <v/>
      </c>
      <c r="G217" s="14" t="str">
        <f t="shared" si="108"/>
        <v/>
      </c>
      <c r="H217" s="14" t="str">
        <f t="shared" si="109"/>
        <v/>
      </c>
      <c r="I217" s="14" t="str">
        <f t="shared" si="110"/>
        <v/>
      </c>
      <c r="J217" s="14" t="str">
        <f t="shared" si="111"/>
        <v/>
      </c>
      <c r="K217" s="14" t="str">
        <f t="shared" si="112"/>
        <v/>
      </c>
      <c r="L217" s="14" t="str">
        <f t="shared" si="113"/>
        <v/>
      </c>
      <c r="M217" s="14" t="str">
        <f t="shared" si="114"/>
        <v/>
      </c>
      <c r="N217" s="14" t="str">
        <f t="shared" si="115"/>
        <v/>
      </c>
      <c r="O217" s="14" t="s">
        <v>11</v>
      </c>
      <c r="P217" s="14" t="s">
        <v>11</v>
      </c>
      <c r="Q217" s="14" t="s">
        <v>11</v>
      </c>
      <c r="R217" s="14" t="s">
        <v>13</v>
      </c>
      <c r="S217" s="14" t="s">
        <v>11</v>
      </c>
      <c r="T217" s="14" t="s">
        <v>11</v>
      </c>
      <c r="U217" s="14" t="s">
        <v>11</v>
      </c>
      <c r="V217" s="14" t="s">
        <v>11</v>
      </c>
      <c r="W217" s="14" t="s">
        <v>11</v>
      </c>
      <c r="X217" s="14" t="s">
        <v>11</v>
      </c>
      <c r="Y217" s="14" t="str">
        <f t="shared" si="117"/>
        <v/>
      </c>
      <c r="Z217" s="14" t="str">
        <f t="shared" si="118"/>
        <v/>
      </c>
      <c r="AA217" s="15">
        <f t="shared" si="13"/>
        <v>0</v>
      </c>
      <c r="AB217" s="14" t="s">
        <v>11</v>
      </c>
      <c r="AC217" s="14" t="s">
        <v>41</v>
      </c>
      <c r="AD217" s="14" t="s">
        <v>11</v>
      </c>
      <c r="AE217" s="14" t="s">
        <v>41</v>
      </c>
      <c r="AF217" s="14" t="s">
        <v>13</v>
      </c>
      <c r="AG217" s="14" t="s">
        <v>11</v>
      </c>
      <c r="AH217" s="14" t="s">
        <v>11</v>
      </c>
      <c r="AI217" s="14" t="s">
        <v>11</v>
      </c>
      <c r="AJ217" s="14" t="s">
        <v>11</v>
      </c>
      <c r="AK217" s="14" t="s">
        <v>11</v>
      </c>
      <c r="AL217" s="14" t="str">
        <f t="shared" si="119"/>
        <v>T</v>
      </c>
      <c r="AM217" s="14" t="str">
        <f t="shared" si="120"/>
        <v>T</v>
      </c>
      <c r="AN217" s="14" t="str">
        <f t="shared" si="121"/>
        <v/>
      </c>
      <c r="AO217" s="14" t="str">
        <f t="shared" si="122"/>
        <v/>
      </c>
      <c r="AP217" s="14" t="str">
        <f t="shared" si="123"/>
        <v/>
      </c>
      <c r="AQ217" s="14" t="str">
        <f t="shared" si="125"/>
        <v/>
      </c>
      <c r="AR217" s="15">
        <f t="shared" si="18"/>
        <v>0</v>
      </c>
      <c r="AT217" s="17">
        <f t="shared" si="124"/>
        <v>0</v>
      </c>
    </row>
    <row r="218" spans="2:46" ht="15" x14ac:dyDescent="0.2">
      <c r="B218" s="64"/>
      <c r="C218" s="15" t="s">
        <v>53</v>
      </c>
      <c r="D218" s="30" t="str">
        <f t="shared" si="116"/>
        <v/>
      </c>
      <c r="E218" s="14" t="str">
        <f t="shared" si="106"/>
        <v/>
      </c>
      <c r="F218" s="14" t="str">
        <f t="shared" si="107"/>
        <v/>
      </c>
      <c r="G218" s="14" t="str">
        <f t="shared" si="108"/>
        <v/>
      </c>
      <c r="H218" s="14" t="str">
        <f t="shared" si="109"/>
        <v/>
      </c>
      <c r="I218" s="14" t="str">
        <f t="shared" si="110"/>
        <v/>
      </c>
      <c r="J218" s="14" t="str">
        <f t="shared" si="111"/>
        <v/>
      </c>
      <c r="K218" s="14" t="str">
        <f t="shared" si="112"/>
        <v/>
      </c>
      <c r="L218" s="14" t="str">
        <f t="shared" si="113"/>
        <v/>
      </c>
      <c r="M218" s="14" t="str">
        <f t="shared" si="114"/>
        <v/>
      </c>
      <c r="N218" s="14" t="str">
        <f t="shared" si="115"/>
        <v/>
      </c>
      <c r="O218" s="14" t="s">
        <v>11</v>
      </c>
      <c r="P218" s="14" t="s">
        <v>11</v>
      </c>
      <c r="Q218" s="14" t="s">
        <v>11</v>
      </c>
      <c r="R218" s="14" t="s">
        <v>13</v>
      </c>
      <c r="S218" s="14" t="s">
        <v>11</v>
      </c>
      <c r="T218" s="14" t="s">
        <v>11</v>
      </c>
      <c r="U218" s="14" t="s">
        <v>11</v>
      </c>
      <c r="V218" s="14" t="s">
        <v>11</v>
      </c>
      <c r="W218" s="14" t="s">
        <v>11</v>
      </c>
      <c r="X218" s="14" t="s">
        <v>11</v>
      </c>
      <c r="Y218" s="14" t="str">
        <f t="shared" si="117"/>
        <v/>
      </c>
      <c r="Z218" s="14" t="str">
        <f t="shared" si="118"/>
        <v/>
      </c>
      <c r="AA218" s="15">
        <f t="shared" si="13"/>
        <v>0</v>
      </c>
      <c r="AB218" s="14" t="s">
        <v>11</v>
      </c>
      <c r="AC218" s="14" t="s">
        <v>41</v>
      </c>
      <c r="AD218" s="14" t="s">
        <v>11</v>
      </c>
      <c r="AE218" s="14" t="s">
        <v>11</v>
      </c>
      <c r="AF218" s="14" t="s">
        <v>13</v>
      </c>
      <c r="AG218" s="14" t="s">
        <v>11</v>
      </c>
      <c r="AH218" s="14" t="s">
        <v>11</v>
      </c>
      <c r="AI218" s="14" t="s">
        <v>11</v>
      </c>
      <c r="AJ218" s="14" t="s">
        <v>11</v>
      </c>
      <c r="AK218" s="14" t="s">
        <v>11</v>
      </c>
      <c r="AL218" s="14" t="str">
        <f t="shared" si="119"/>
        <v>T</v>
      </c>
      <c r="AM218" s="14" t="str">
        <f t="shared" si="120"/>
        <v>T</v>
      </c>
      <c r="AN218" s="14" t="str">
        <f t="shared" si="121"/>
        <v/>
      </c>
      <c r="AO218" s="14" t="str">
        <f t="shared" si="122"/>
        <v/>
      </c>
      <c r="AP218" s="14" t="str">
        <f t="shared" si="123"/>
        <v/>
      </c>
      <c r="AQ218" s="14" t="str">
        <f t="shared" si="125"/>
        <v/>
      </c>
      <c r="AR218" s="15">
        <f t="shared" si="18"/>
        <v>0</v>
      </c>
      <c r="AT218" s="17">
        <f t="shared" si="124"/>
        <v>0</v>
      </c>
    </row>
    <row r="219" spans="2:46" ht="15" x14ac:dyDescent="0.2">
      <c r="B219" s="85"/>
      <c r="C219" s="15" t="s">
        <v>53</v>
      </c>
      <c r="D219" s="30" t="str">
        <f t="shared" si="116"/>
        <v/>
      </c>
      <c r="E219" s="14" t="str">
        <f t="shared" si="106"/>
        <v/>
      </c>
      <c r="F219" s="14" t="str">
        <f t="shared" si="107"/>
        <v/>
      </c>
      <c r="G219" s="14" t="str">
        <f t="shared" si="108"/>
        <v/>
      </c>
      <c r="H219" s="14" t="str">
        <f t="shared" si="109"/>
        <v/>
      </c>
      <c r="I219" s="14" t="str">
        <f t="shared" si="110"/>
        <v/>
      </c>
      <c r="J219" s="14" t="str">
        <f t="shared" si="111"/>
        <v/>
      </c>
      <c r="K219" s="14" t="str">
        <f t="shared" si="112"/>
        <v/>
      </c>
      <c r="L219" s="14" t="str">
        <f t="shared" si="113"/>
        <v/>
      </c>
      <c r="M219" s="14" t="str">
        <f t="shared" si="114"/>
        <v/>
      </c>
      <c r="N219" s="14" t="str">
        <f t="shared" si="115"/>
        <v/>
      </c>
      <c r="O219" s="14" t="s">
        <v>11</v>
      </c>
      <c r="P219" s="14" t="s">
        <v>11</v>
      </c>
      <c r="Q219" s="14" t="s">
        <v>11</v>
      </c>
      <c r="R219" s="14" t="s">
        <v>13</v>
      </c>
      <c r="S219" s="14" t="s">
        <v>11</v>
      </c>
      <c r="T219" s="14" t="s">
        <v>11</v>
      </c>
      <c r="U219" s="14" t="s">
        <v>11</v>
      </c>
      <c r="V219" s="14" t="s">
        <v>11</v>
      </c>
      <c r="W219" s="14" t="s">
        <v>11</v>
      </c>
      <c r="X219" s="14" t="s">
        <v>11</v>
      </c>
      <c r="Y219" s="14" t="str">
        <f t="shared" si="117"/>
        <v/>
      </c>
      <c r="Z219" s="14" t="str">
        <f t="shared" si="118"/>
        <v/>
      </c>
      <c r="AA219" s="15">
        <f t="shared" si="13"/>
        <v>0</v>
      </c>
      <c r="AB219" s="14" t="s">
        <v>11</v>
      </c>
      <c r="AC219" s="14" t="s">
        <v>11</v>
      </c>
      <c r="AD219" s="14" t="s">
        <v>11</v>
      </c>
      <c r="AE219" s="14" t="s">
        <v>11</v>
      </c>
      <c r="AF219" s="14" t="s">
        <v>13</v>
      </c>
      <c r="AG219" s="14" t="s">
        <v>11</v>
      </c>
      <c r="AH219" s="14" t="s">
        <v>11</v>
      </c>
      <c r="AI219" s="14" t="s">
        <v>11</v>
      </c>
      <c r="AJ219" s="14" t="s">
        <v>11</v>
      </c>
      <c r="AK219" s="14" t="s">
        <v>11</v>
      </c>
      <c r="AL219" s="14" t="str">
        <f t="shared" si="119"/>
        <v>T</v>
      </c>
      <c r="AM219" s="14" t="str">
        <f t="shared" si="120"/>
        <v>T</v>
      </c>
      <c r="AN219" s="14" t="str">
        <f t="shared" si="121"/>
        <v/>
      </c>
      <c r="AO219" s="14" t="str">
        <f t="shared" si="122"/>
        <v/>
      </c>
      <c r="AP219" s="14" t="str">
        <f t="shared" si="123"/>
        <v/>
      </c>
      <c r="AQ219" s="14" t="str">
        <f t="shared" si="125"/>
        <v/>
      </c>
      <c r="AR219" s="15">
        <f t="shared" si="18"/>
        <v>0</v>
      </c>
      <c r="AT219" s="17">
        <f t="shared" si="124"/>
        <v>0</v>
      </c>
    </row>
    <row r="220" spans="2:46" ht="15" x14ac:dyDescent="0.2">
      <c r="B220" s="85"/>
      <c r="C220" s="15" t="s">
        <v>53</v>
      </c>
      <c r="D220" s="30" t="str">
        <f t="shared" si="116"/>
        <v/>
      </c>
      <c r="E220" s="14" t="str">
        <f t="shared" si="106"/>
        <v/>
      </c>
      <c r="F220" s="14" t="str">
        <f t="shared" si="107"/>
        <v/>
      </c>
      <c r="G220" s="14" t="str">
        <f t="shared" si="108"/>
        <v/>
      </c>
      <c r="H220" s="14" t="str">
        <f t="shared" si="109"/>
        <v/>
      </c>
      <c r="I220" s="14" t="str">
        <f t="shared" si="110"/>
        <v/>
      </c>
      <c r="J220" s="14" t="str">
        <f t="shared" si="111"/>
        <v/>
      </c>
      <c r="K220" s="14" t="str">
        <f t="shared" si="112"/>
        <v/>
      </c>
      <c r="L220" s="14" t="str">
        <f t="shared" si="113"/>
        <v/>
      </c>
      <c r="M220" s="14" t="str">
        <f t="shared" si="114"/>
        <v/>
      </c>
      <c r="N220" s="14" t="str">
        <f t="shared" si="115"/>
        <v/>
      </c>
      <c r="O220" s="14" t="s">
        <v>11</v>
      </c>
      <c r="P220" s="14" t="s">
        <v>11</v>
      </c>
      <c r="Q220" s="14" t="s">
        <v>11</v>
      </c>
      <c r="R220" s="14" t="s">
        <v>13</v>
      </c>
      <c r="S220" s="14" t="s">
        <v>11</v>
      </c>
      <c r="T220" s="14" t="s">
        <v>11</v>
      </c>
      <c r="U220" s="14" t="s">
        <v>11</v>
      </c>
      <c r="V220" s="14" t="s">
        <v>11</v>
      </c>
      <c r="W220" s="14" t="s">
        <v>11</v>
      </c>
      <c r="X220" s="14" t="s">
        <v>11</v>
      </c>
      <c r="Y220" s="14" t="str">
        <f t="shared" si="117"/>
        <v/>
      </c>
      <c r="Z220" s="14" t="str">
        <f t="shared" si="118"/>
        <v/>
      </c>
      <c r="AA220" s="15">
        <f t="shared" si="13"/>
        <v>0</v>
      </c>
      <c r="AB220" s="14" t="s">
        <v>11</v>
      </c>
      <c r="AC220" s="14" t="s">
        <v>11</v>
      </c>
      <c r="AD220" s="14" t="s">
        <v>11</v>
      </c>
      <c r="AE220" s="14" t="s">
        <v>11</v>
      </c>
      <c r="AF220" s="14" t="s">
        <v>13</v>
      </c>
      <c r="AG220" s="14" t="s">
        <v>11</v>
      </c>
      <c r="AH220" s="14" t="s">
        <v>11</v>
      </c>
      <c r="AI220" s="14" t="s">
        <v>11</v>
      </c>
      <c r="AJ220" s="14" t="s">
        <v>11</v>
      </c>
      <c r="AK220" s="14" t="s">
        <v>11</v>
      </c>
      <c r="AL220" s="14" t="str">
        <f t="shared" si="119"/>
        <v>T</v>
      </c>
      <c r="AM220" s="14" t="str">
        <f t="shared" si="120"/>
        <v>T</v>
      </c>
      <c r="AN220" s="14" t="str">
        <f t="shared" si="121"/>
        <v/>
      </c>
      <c r="AO220" s="14" t="str">
        <f t="shared" si="122"/>
        <v/>
      </c>
      <c r="AP220" s="14" t="str">
        <f t="shared" si="123"/>
        <v/>
      </c>
      <c r="AQ220" s="14" t="str">
        <f t="shared" si="125"/>
        <v/>
      </c>
      <c r="AR220" s="15">
        <f t="shared" si="18"/>
        <v>0</v>
      </c>
      <c r="AT220" s="17">
        <f t="shared" si="124"/>
        <v>0</v>
      </c>
    </row>
    <row r="221" spans="2:46" ht="15" x14ac:dyDescent="0.2">
      <c r="B221" s="85"/>
      <c r="C221" s="15" t="s">
        <v>53</v>
      </c>
      <c r="D221" s="30" t="str">
        <f t="shared" si="116"/>
        <v/>
      </c>
      <c r="E221" s="14" t="str">
        <f t="shared" si="106"/>
        <v/>
      </c>
      <c r="F221" s="14" t="str">
        <f t="shared" si="107"/>
        <v/>
      </c>
      <c r="G221" s="14" t="str">
        <f t="shared" si="108"/>
        <v/>
      </c>
      <c r="H221" s="14" t="str">
        <f t="shared" si="109"/>
        <v/>
      </c>
      <c r="I221" s="14" t="str">
        <f t="shared" si="110"/>
        <v/>
      </c>
      <c r="J221" s="14" t="str">
        <f t="shared" si="111"/>
        <v/>
      </c>
      <c r="K221" s="14" t="str">
        <f t="shared" si="112"/>
        <v/>
      </c>
      <c r="L221" s="14" t="str">
        <f t="shared" si="113"/>
        <v/>
      </c>
      <c r="M221" s="14" t="str">
        <f t="shared" si="114"/>
        <v/>
      </c>
      <c r="N221" s="14" t="str">
        <f t="shared" si="115"/>
        <v/>
      </c>
      <c r="O221" s="14" t="s">
        <v>11</v>
      </c>
      <c r="P221" s="14" t="s">
        <v>11</v>
      </c>
      <c r="Q221" s="14" t="s">
        <v>11</v>
      </c>
      <c r="R221" s="14" t="s">
        <v>13</v>
      </c>
      <c r="S221" s="14" t="s">
        <v>11</v>
      </c>
      <c r="T221" s="14" t="s">
        <v>11</v>
      </c>
      <c r="U221" s="14" t="s">
        <v>11</v>
      </c>
      <c r="V221" s="14" t="s">
        <v>11</v>
      </c>
      <c r="W221" s="14" t="s">
        <v>11</v>
      </c>
      <c r="X221" s="14" t="s">
        <v>11</v>
      </c>
      <c r="Y221" s="14" t="str">
        <f t="shared" si="117"/>
        <v/>
      </c>
      <c r="Z221" s="14" t="str">
        <f t="shared" si="118"/>
        <v/>
      </c>
      <c r="AA221" s="15">
        <f t="shared" si="13"/>
        <v>0</v>
      </c>
      <c r="AB221" s="14" t="s">
        <v>11</v>
      </c>
      <c r="AC221" s="14" t="s">
        <v>11</v>
      </c>
      <c r="AD221" s="14" t="s">
        <v>11</v>
      </c>
      <c r="AE221" s="14" t="s">
        <v>11</v>
      </c>
      <c r="AF221" s="14" t="s">
        <v>13</v>
      </c>
      <c r="AG221" s="14" t="s">
        <v>11</v>
      </c>
      <c r="AH221" s="14" t="s">
        <v>11</v>
      </c>
      <c r="AI221" s="14" t="s">
        <v>11</v>
      </c>
      <c r="AJ221" s="14" t="s">
        <v>11</v>
      </c>
      <c r="AK221" s="14" t="s">
        <v>11</v>
      </c>
      <c r="AL221" s="14" t="str">
        <f t="shared" si="119"/>
        <v>T</v>
      </c>
      <c r="AM221" s="14" t="str">
        <f t="shared" si="120"/>
        <v>T</v>
      </c>
      <c r="AN221" s="14" t="str">
        <f t="shared" si="121"/>
        <v/>
      </c>
      <c r="AO221" s="14" t="str">
        <f t="shared" si="122"/>
        <v/>
      </c>
      <c r="AP221" s="14" t="str">
        <f t="shared" si="123"/>
        <v/>
      </c>
      <c r="AQ221" s="14" t="str">
        <f t="shared" si="125"/>
        <v/>
      </c>
      <c r="AR221" s="15">
        <f t="shared" si="18"/>
        <v>0</v>
      </c>
      <c r="AT221" s="17">
        <f t="shared" si="124"/>
        <v>0</v>
      </c>
    </row>
    <row r="222" spans="2:46" ht="15" x14ac:dyDescent="0.2">
      <c r="B222" s="64"/>
      <c r="C222" s="15" t="s">
        <v>53</v>
      </c>
      <c r="D222" s="30" t="str">
        <f t="shared" si="116"/>
        <v/>
      </c>
      <c r="E222" s="14" t="str">
        <f t="shared" si="106"/>
        <v/>
      </c>
      <c r="F222" s="14" t="str">
        <f t="shared" si="107"/>
        <v/>
      </c>
      <c r="G222" s="14" t="str">
        <f t="shared" si="108"/>
        <v/>
      </c>
      <c r="H222" s="14" t="str">
        <f t="shared" si="109"/>
        <v/>
      </c>
      <c r="I222" s="14" t="str">
        <f t="shared" si="110"/>
        <v/>
      </c>
      <c r="J222" s="14" t="str">
        <f t="shared" si="111"/>
        <v/>
      </c>
      <c r="K222" s="14" t="str">
        <f t="shared" si="112"/>
        <v/>
      </c>
      <c r="L222" s="14" t="str">
        <f t="shared" si="113"/>
        <v/>
      </c>
      <c r="M222" s="14" t="str">
        <f t="shared" si="114"/>
        <v/>
      </c>
      <c r="N222" s="14" t="str">
        <f t="shared" si="115"/>
        <v/>
      </c>
      <c r="O222" s="14" t="s">
        <v>11</v>
      </c>
      <c r="P222" s="14" t="s">
        <v>11</v>
      </c>
      <c r="Q222" s="14" t="s">
        <v>11</v>
      </c>
      <c r="R222" s="14" t="s">
        <v>13</v>
      </c>
      <c r="S222" s="14" t="s">
        <v>11</v>
      </c>
      <c r="T222" s="14" t="s">
        <v>11</v>
      </c>
      <c r="U222" s="14" t="s">
        <v>11</v>
      </c>
      <c r="V222" s="14" t="s">
        <v>11</v>
      </c>
      <c r="W222" s="14" t="s">
        <v>11</v>
      </c>
      <c r="X222" s="14" t="s">
        <v>11</v>
      </c>
      <c r="Y222" s="14" t="str">
        <f t="shared" si="117"/>
        <v/>
      </c>
      <c r="Z222" s="14" t="str">
        <f t="shared" si="118"/>
        <v/>
      </c>
      <c r="AA222" s="15">
        <f t="shared" si="13"/>
        <v>0</v>
      </c>
      <c r="AB222" s="14" t="s">
        <v>11</v>
      </c>
      <c r="AC222" s="14" t="s">
        <v>41</v>
      </c>
      <c r="AD222" s="14" t="s">
        <v>11</v>
      </c>
      <c r="AE222" s="14" t="s">
        <v>11</v>
      </c>
      <c r="AF222" s="14" t="s">
        <v>13</v>
      </c>
      <c r="AG222" s="14" t="s">
        <v>11</v>
      </c>
      <c r="AH222" s="14" t="s">
        <v>11</v>
      </c>
      <c r="AI222" s="14" t="s">
        <v>11</v>
      </c>
      <c r="AJ222" s="14" t="s">
        <v>11</v>
      </c>
      <c r="AK222" s="14" t="s">
        <v>11</v>
      </c>
      <c r="AL222" s="14" t="str">
        <f t="shared" si="119"/>
        <v>T</v>
      </c>
      <c r="AM222" s="14" t="str">
        <f t="shared" si="120"/>
        <v>T</v>
      </c>
      <c r="AN222" s="14" t="str">
        <f t="shared" si="121"/>
        <v/>
      </c>
      <c r="AO222" s="14" t="str">
        <f t="shared" si="122"/>
        <v/>
      </c>
      <c r="AP222" s="14" t="str">
        <f t="shared" si="123"/>
        <v/>
      </c>
      <c r="AQ222" s="14" t="str">
        <f t="shared" si="125"/>
        <v/>
      </c>
      <c r="AR222" s="15">
        <f t="shared" si="18"/>
        <v>0</v>
      </c>
      <c r="AT222" s="17">
        <f t="shared" si="124"/>
        <v>0</v>
      </c>
    </row>
    <row r="223" spans="2:46" ht="15" x14ac:dyDescent="0.2">
      <c r="B223" s="64"/>
      <c r="C223" s="15" t="s">
        <v>53</v>
      </c>
      <c r="D223" s="30" t="str">
        <f t="shared" si="116"/>
        <v/>
      </c>
      <c r="E223" s="14" t="str">
        <f t="shared" si="106"/>
        <v/>
      </c>
      <c r="F223" s="14" t="str">
        <f t="shared" si="107"/>
        <v/>
      </c>
      <c r="G223" s="14" t="str">
        <f t="shared" si="108"/>
        <v/>
      </c>
      <c r="H223" s="14" t="str">
        <f t="shared" si="109"/>
        <v/>
      </c>
      <c r="I223" s="14" t="str">
        <f t="shared" si="110"/>
        <v/>
      </c>
      <c r="J223" s="14" t="str">
        <f t="shared" si="111"/>
        <v/>
      </c>
      <c r="K223" s="14" t="str">
        <f t="shared" si="112"/>
        <v/>
      </c>
      <c r="L223" s="14" t="str">
        <f t="shared" si="113"/>
        <v/>
      </c>
      <c r="M223" s="14" t="str">
        <f t="shared" si="114"/>
        <v/>
      </c>
      <c r="N223" s="14" t="str">
        <f t="shared" si="115"/>
        <v/>
      </c>
      <c r="O223" s="14" t="s">
        <v>11</v>
      </c>
      <c r="P223" s="14" t="s">
        <v>11</v>
      </c>
      <c r="Q223" s="14" t="s">
        <v>11</v>
      </c>
      <c r="R223" s="14" t="s">
        <v>13</v>
      </c>
      <c r="S223" s="14" t="s">
        <v>11</v>
      </c>
      <c r="T223" s="14" t="s">
        <v>11</v>
      </c>
      <c r="U223" s="14" t="s">
        <v>11</v>
      </c>
      <c r="V223" s="14" t="s">
        <v>11</v>
      </c>
      <c r="W223" s="14" t="s">
        <v>11</v>
      </c>
      <c r="X223" s="14" t="s">
        <v>11</v>
      </c>
      <c r="Y223" s="14" t="str">
        <f t="shared" si="117"/>
        <v/>
      </c>
      <c r="Z223" s="14" t="str">
        <f t="shared" si="118"/>
        <v/>
      </c>
      <c r="AA223" s="15">
        <f t="shared" si="13"/>
        <v>0</v>
      </c>
      <c r="AB223" s="14" t="s">
        <v>11</v>
      </c>
      <c r="AC223" s="14" t="s">
        <v>11</v>
      </c>
      <c r="AD223" s="14" t="s">
        <v>11</v>
      </c>
      <c r="AE223" s="14" t="s">
        <v>11</v>
      </c>
      <c r="AF223" s="14" t="s">
        <v>13</v>
      </c>
      <c r="AG223" s="14" t="s">
        <v>11</v>
      </c>
      <c r="AH223" s="14" t="s">
        <v>11</v>
      </c>
      <c r="AI223" s="14" t="s">
        <v>11</v>
      </c>
      <c r="AJ223" s="14" t="s">
        <v>11</v>
      </c>
      <c r="AK223" s="14" t="s">
        <v>11</v>
      </c>
      <c r="AL223" s="14" t="str">
        <f t="shared" si="119"/>
        <v>T</v>
      </c>
      <c r="AM223" s="14" t="str">
        <f t="shared" si="120"/>
        <v>T</v>
      </c>
      <c r="AN223" s="14" t="str">
        <f t="shared" si="121"/>
        <v/>
      </c>
      <c r="AO223" s="14" t="str">
        <f t="shared" si="122"/>
        <v/>
      </c>
      <c r="AP223" s="14" t="str">
        <f t="shared" si="123"/>
        <v/>
      </c>
      <c r="AQ223" s="14" t="str">
        <f t="shared" si="125"/>
        <v/>
      </c>
      <c r="AR223" s="15">
        <f t="shared" si="18"/>
        <v>0</v>
      </c>
      <c r="AT223" s="17">
        <f t="shared" si="124"/>
        <v>0</v>
      </c>
    </row>
    <row r="224" spans="2:46" ht="15" x14ac:dyDescent="0.2">
      <c r="B224" s="64"/>
      <c r="C224" s="15" t="s">
        <v>53</v>
      </c>
      <c r="D224" s="30" t="str">
        <f t="shared" si="116"/>
        <v/>
      </c>
      <c r="E224" s="14" t="str">
        <f t="shared" si="106"/>
        <v/>
      </c>
      <c r="F224" s="14" t="str">
        <f t="shared" si="107"/>
        <v/>
      </c>
      <c r="G224" s="14" t="str">
        <f t="shared" si="108"/>
        <v/>
      </c>
      <c r="H224" s="14" t="str">
        <f t="shared" si="109"/>
        <v/>
      </c>
      <c r="I224" s="14" t="str">
        <f t="shared" si="110"/>
        <v/>
      </c>
      <c r="J224" s="14" t="str">
        <f t="shared" si="111"/>
        <v/>
      </c>
      <c r="K224" s="14" t="str">
        <f t="shared" si="112"/>
        <v/>
      </c>
      <c r="L224" s="14" t="str">
        <f t="shared" si="113"/>
        <v/>
      </c>
      <c r="M224" s="14" t="str">
        <f t="shared" si="114"/>
        <v/>
      </c>
      <c r="N224" s="14" t="str">
        <f t="shared" si="115"/>
        <v/>
      </c>
      <c r="O224" s="14" t="s">
        <v>11</v>
      </c>
      <c r="P224" s="14" t="s">
        <v>11</v>
      </c>
      <c r="Q224" s="14" t="s">
        <v>11</v>
      </c>
      <c r="R224" s="14" t="s">
        <v>13</v>
      </c>
      <c r="S224" s="14" t="s">
        <v>11</v>
      </c>
      <c r="T224" s="14" t="s">
        <v>11</v>
      </c>
      <c r="U224" s="14" t="s">
        <v>11</v>
      </c>
      <c r="V224" s="14" t="s">
        <v>11</v>
      </c>
      <c r="W224" s="14" t="s">
        <v>11</v>
      </c>
      <c r="X224" s="14" t="s">
        <v>11</v>
      </c>
      <c r="Y224" s="14" t="str">
        <f t="shared" si="117"/>
        <v/>
      </c>
      <c r="Z224" s="14" t="str">
        <f t="shared" si="118"/>
        <v/>
      </c>
      <c r="AA224" s="15">
        <f t="shared" si="13"/>
        <v>0</v>
      </c>
      <c r="AB224" s="14" t="s">
        <v>11</v>
      </c>
      <c r="AC224" s="14" t="s">
        <v>41</v>
      </c>
      <c r="AD224" s="14" t="s">
        <v>11</v>
      </c>
      <c r="AE224" s="14" t="s">
        <v>11</v>
      </c>
      <c r="AF224" s="14" t="s">
        <v>13</v>
      </c>
      <c r="AG224" s="14" t="s">
        <v>11</v>
      </c>
      <c r="AH224" s="14" t="s">
        <v>11</v>
      </c>
      <c r="AI224" s="14" t="s">
        <v>11</v>
      </c>
      <c r="AJ224" s="14" t="s">
        <v>11</v>
      </c>
      <c r="AK224" s="14" t="s">
        <v>11</v>
      </c>
      <c r="AL224" s="14" t="str">
        <f t="shared" si="119"/>
        <v>T</v>
      </c>
      <c r="AM224" s="14" t="str">
        <f t="shared" si="120"/>
        <v>T</v>
      </c>
      <c r="AN224" s="14" t="str">
        <f t="shared" si="121"/>
        <v/>
      </c>
      <c r="AO224" s="14" t="str">
        <f t="shared" si="122"/>
        <v/>
      </c>
      <c r="AP224" s="14" t="str">
        <f t="shared" si="123"/>
        <v/>
      </c>
      <c r="AQ224" s="14" t="str">
        <f t="shared" si="125"/>
        <v/>
      </c>
      <c r="AR224" s="15">
        <f t="shared" si="18"/>
        <v>0</v>
      </c>
      <c r="AT224" s="17">
        <f t="shared" si="124"/>
        <v>0</v>
      </c>
    </row>
    <row r="225" spans="2:46" ht="15" x14ac:dyDescent="0.2">
      <c r="B225" s="64"/>
      <c r="C225" s="15" t="s">
        <v>53</v>
      </c>
      <c r="D225" s="30" t="str">
        <f t="shared" si="116"/>
        <v/>
      </c>
      <c r="E225" s="14" t="str">
        <f t="shared" si="106"/>
        <v/>
      </c>
      <c r="F225" s="14" t="str">
        <f t="shared" si="107"/>
        <v/>
      </c>
      <c r="G225" s="14" t="str">
        <f t="shared" si="108"/>
        <v/>
      </c>
      <c r="H225" s="14" t="str">
        <f t="shared" si="109"/>
        <v/>
      </c>
      <c r="I225" s="14" t="str">
        <f t="shared" si="110"/>
        <v/>
      </c>
      <c r="J225" s="14" t="str">
        <f t="shared" si="111"/>
        <v/>
      </c>
      <c r="K225" s="14" t="str">
        <f t="shared" si="112"/>
        <v/>
      </c>
      <c r="L225" s="14" t="str">
        <f t="shared" si="113"/>
        <v/>
      </c>
      <c r="M225" s="14" t="str">
        <f t="shared" si="114"/>
        <v/>
      </c>
      <c r="N225" s="14" t="str">
        <f t="shared" si="115"/>
        <v/>
      </c>
      <c r="O225" s="14" t="s">
        <v>11</v>
      </c>
      <c r="P225" s="14" t="s">
        <v>11</v>
      </c>
      <c r="Q225" s="14" t="s">
        <v>11</v>
      </c>
      <c r="R225" s="14" t="s">
        <v>13</v>
      </c>
      <c r="S225" s="14" t="s">
        <v>11</v>
      </c>
      <c r="T225" s="14" t="s">
        <v>11</v>
      </c>
      <c r="U225" s="14" t="s">
        <v>11</v>
      </c>
      <c r="V225" s="14" t="s">
        <v>11</v>
      </c>
      <c r="W225" s="14" t="s">
        <v>11</v>
      </c>
      <c r="X225" s="14" t="s">
        <v>11</v>
      </c>
      <c r="Y225" s="14" t="str">
        <f t="shared" si="117"/>
        <v/>
      </c>
      <c r="Z225" s="14" t="str">
        <f t="shared" si="118"/>
        <v/>
      </c>
      <c r="AA225" s="15">
        <f t="shared" si="13"/>
        <v>0</v>
      </c>
      <c r="AB225" s="14" t="s">
        <v>11</v>
      </c>
      <c r="AC225" s="14" t="s">
        <v>11</v>
      </c>
      <c r="AD225" s="14" t="s">
        <v>11</v>
      </c>
      <c r="AE225" s="14" t="s">
        <v>11</v>
      </c>
      <c r="AF225" s="14" t="s">
        <v>13</v>
      </c>
      <c r="AG225" s="14" t="s">
        <v>11</v>
      </c>
      <c r="AH225" s="14" t="s">
        <v>11</v>
      </c>
      <c r="AI225" s="14" t="s">
        <v>11</v>
      </c>
      <c r="AJ225" s="14" t="s">
        <v>11</v>
      </c>
      <c r="AK225" s="14" t="s">
        <v>11</v>
      </c>
      <c r="AL225" s="14" t="str">
        <f t="shared" si="119"/>
        <v>T</v>
      </c>
      <c r="AM225" s="14" t="str">
        <f t="shared" si="120"/>
        <v>T</v>
      </c>
      <c r="AN225" s="14" t="str">
        <f t="shared" si="121"/>
        <v/>
      </c>
      <c r="AO225" s="14" t="str">
        <f t="shared" si="122"/>
        <v/>
      </c>
      <c r="AP225" s="14" t="str">
        <f t="shared" si="123"/>
        <v/>
      </c>
      <c r="AQ225" s="14" t="str">
        <f t="shared" si="125"/>
        <v/>
      </c>
      <c r="AR225" s="15">
        <f t="shared" si="18"/>
        <v>0</v>
      </c>
      <c r="AT225" s="17">
        <f t="shared" si="124"/>
        <v>0</v>
      </c>
    </row>
    <row r="226" spans="2:46" ht="15" x14ac:dyDescent="0.2">
      <c r="B226" s="64"/>
      <c r="C226" s="15" t="s">
        <v>53</v>
      </c>
      <c r="D226" s="30" t="str">
        <f t="shared" si="116"/>
        <v/>
      </c>
      <c r="E226" s="14" t="str">
        <f t="shared" si="106"/>
        <v/>
      </c>
      <c r="F226" s="14" t="str">
        <f t="shared" si="107"/>
        <v/>
      </c>
      <c r="G226" s="14" t="str">
        <f t="shared" si="108"/>
        <v/>
      </c>
      <c r="H226" s="14" t="str">
        <f t="shared" si="109"/>
        <v/>
      </c>
      <c r="I226" s="14" t="str">
        <f t="shared" si="110"/>
        <v/>
      </c>
      <c r="J226" s="14" t="str">
        <f t="shared" si="111"/>
        <v/>
      </c>
      <c r="K226" s="14" t="str">
        <f t="shared" si="112"/>
        <v/>
      </c>
      <c r="L226" s="14" t="str">
        <f t="shared" si="113"/>
        <v/>
      </c>
      <c r="M226" s="14" t="str">
        <f t="shared" si="114"/>
        <v/>
      </c>
      <c r="N226" s="14" t="str">
        <f t="shared" si="115"/>
        <v/>
      </c>
      <c r="O226" s="14" t="s">
        <v>11</v>
      </c>
      <c r="P226" s="14" t="s">
        <v>11</v>
      </c>
      <c r="Q226" s="14" t="s">
        <v>11</v>
      </c>
      <c r="R226" s="14" t="s">
        <v>13</v>
      </c>
      <c r="S226" s="14" t="s">
        <v>11</v>
      </c>
      <c r="T226" s="14" t="s">
        <v>11</v>
      </c>
      <c r="U226" s="14" t="s">
        <v>11</v>
      </c>
      <c r="V226" s="14" t="s">
        <v>11</v>
      </c>
      <c r="W226" s="14" t="s">
        <v>11</v>
      </c>
      <c r="X226" s="14" t="s">
        <v>11</v>
      </c>
      <c r="Y226" s="14" t="str">
        <f t="shared" si="117"/>
        <v/>
      </c>
      <c r="Z226" s="14" t="str">
        <f t="shared" si="118"/>
        <v/>
      </c>
      <c r="AA226" s="15">
        <f t="shared" si="13"/>
        <v>0</v>
      </c>
      <c r="AB226" s="14" t="s">
        <v>11</v>
      </c>
      <c r="AC226" s="14" t="s">
        <v>11</v>
      </c>
      <c r="AD226" s="14" t="s">
        <v>11</v>
      </c>
      <c r="AE226" s="14" t="s">
        <v>11</v>
      </c>
      <c r="AF226" s="14" t="s">
        <v>13</v>
      </c>
      <c r="AG226" s="14" t="s">
        <v>11</v>
      </c>
      <c r="AH226" s="14" t="s">
        <v>11</v>
      </c>
      <c r="AI226" s="14" t="s">
        <v>11</v>
      </c>
      <c r="AJ226" s="14" t="s">
        <v>11</v>
      </c>
      <c r="AK226" s="14" t="s">
        <v>11</v>
      </c>
      <c r="AL226" s="14" t="str">
        <f t="shared" si="119"/>
        <v>T</v>
      </c>
      <c r="AM226" s="14" t="str">
        <f t="shared" si="120"/>
        <v>T</v>
      </c>
      <c r="AN226" s="14" t="str">
        <f t="shared" si="121"/>
        <v/>
      </c>
      <c r="AO226" s="14" t="str">
        <f t="shared" si="122"/>
        <v/>
      </c>
      <c r="AP226" s="14" t="str">
        <f t="shared" si="123"/>
        <v/>
      </c>
      <c r="AQ226" s="14" t="str">
        <f t="shared" si="125"/>
        <v/>
      </c>
      <c r="AR226" s="15">
        <f t="shared" si="18"/>
        <v>0</v>
      </c>
      <c r="AT226" s="17">
        <f t="shared" si="124"/>
        <v>0</v>
      </c>
    </row>
    <row r="227" spans="2:46" ht="15" x14ac:dyDescent="0.2">
      <c r="B227" s="64"/>
      <c r="C227" s="15" t="s">
        <v>53</v>
      </c>
      <c r="D227" s="30" t="str">
        <f t="shared" si="116"/>
        <v/>
      </c>
      <c r="E227" s="14" t="str">
        <f t="shared" si="106"/>
        <v/>
      </c>
      <c r="F227" s="14" t="str">
        <f t="shared" si="107"/>
        <v/>
      </c>
      <c r="G227" s="14" t="str">
        <f t="shared" si="108"/>
        <v/>
      </c>
      <c r="H227" s="14" t="str">
        <f t="shared" si="109"/>
        <v/>
      </c>
      <c r="I227" s="14" t="str">
        <f t="shared" si="110"/>
        <v/>
      </c>
      <c r="J227" s="14" t="str">
        <f t="shared" si="111"/>
        <v/>
      </c>
      <c r="K227" s="14" t="str">
        <f t="shared" si="112"/>
        <v/>
      </c>
      <c r="L227" s="14" t="str">
        <f t="shared" si="113"/>
        <v/>
      </c>
      <c r="M227" s="14" t="str">
        <f t="shared" si="114"/>
        <v/>
      </c>
      <c r="N227" s="14" t="str">
        <f t="shared" si="115"/>
        <v/>
      </c>
      <c r="O227" s="14" t="s">
        <v>11</v>
      </c>
      <c r="P227" s="14" t="s">
        <v>11</v>
      </c>
      <c r="Q227" s="14" t="s">
        <v>11</v>
      </c>
      <c r="R227" s="14" t="s">
        <v>13</v>
      </c>
      <c r="S227" s="14" t="s">
        <v>11</v>
      </c>
      <c r="T227" s="14" t="s">
        <v>11</v>
      </c>
      <c r="U227" s="14" t="s">
        <v>11</v>
      </c>
      <c r="V227" s="14" t="s">
        <v>11</v>
      </c>
      <c r="W227" s="14" t="s">
        <v>11</v>
      </c>
      <c r="X227" s="14" t="s">
        <v>11</v>
      </c>
      <c r="Y227" s="14" t="str">
        <f t="shared" si="117"/>
        <v/>
      </c>
      <c r="Z227" s="14" t="str">
        <f t="shared" si="118"/>
        <v/>
      </c>
      <c r="AA227" s="15">
        <f t="shared" si="13"/>
        <v>0</v>
      </c>
      <c r="AB227" s="14" t="s">
        <v>11</v>
      </c>
      <c r="AC227" s="14" t="s">
        <v>13</v>
      </c>
      <c r="AD227" s="14" t="s">
        <v>41</v>
      </c>
      <c r="AE227" s="14" t="s">
        <v>11</v>
      </c>
      <c r="AF227" s="14" t="s">
        <v>13</v>
      </c>
      <c r="AG227" s="14" t="s">
        <v>11</v>
      </c>
      <c r="AH227" s="14" t="s">
        <v>11</v>
      </c>
      <c r="AI227" s="14" t="s">
        <v>11</v>
      </c>
      <c r="AJ227" s="14" t="s">
        <v>11</v>
      </c>
      <c r="AK227" s="14" t="s">
        <v>11</v>
      </c>
      <c r="AL227" s="14" t="str">
        <f t="shared" si="119"/>
        <v>T</v>
      </c>
      <c r="AM227" s="14" t="str">
        <f t="shared" si="120"/>
        <v>T</v>
      </c>
      <c r="AN227" s="14" t="str">
        <f t="shared" si="121"/>
        <v/>
      </c>
      <c r="AO227" s="14" t="str">
        <f t="shared" si="122"/>
        <v/>
      </c>
      <c r="AP227" s="14" t="str">
        <f t="shared" si="123"/>
        <v/>
      </c>
      <c r="AQ227" s="14" t="str">
        <f t="shared" si="125"/>
        <v/>
      </c>
      <c r="AR227" s="15">
        <f t="shared" si="18"/>
        <v>0</v>
      </c>
      <c r="AT227" s="17">
        <f t="shared" si="124"/>
        <v>0</v>
      </c>
    </row>
    <row r="228" spans="2:46" ht="15" x14ac:dyDescent="0.2">
      <c r="B228" s="66"/>
      <c r="C228" s="15" t="s">
        <v>53</v>
      </c>
      <c r="D228" s="30" t="str">
        <f t="shared" si="116"/>
        <v/>
      </c>
      <c r="E228" s="14" t="str">
        <f t="shared" si="106"/>
        <v/>
      </c>
      <c r="F228" s="14" t="str">
        <f t="shared" si="107"/>
        <v/>
      </c>
      <c r="G228" s="14" t="str">
        <f t="shared" si="108"/>
        <v/>
      </c>
      <c r="H228" s="14" t="str">
        <f t="shared" si="109"/>
        <v/>
      </c>
      <c r="I228" s="14" t="str">
        <f t="shared" si="110"/>
        <v/>
      </c>
      <c r="J228" s="14" t="str">
        <f t="shared" si="111"/>
        <v/>
      </c>
      <c r="K228" s="14" t="str">
        <f t="shared" si="112"/>
        <v/>
      </c>
      <c r="L228" s="14" t="str">
        <f t="shared" si="113"/>
        <v/>
      </c>
      <c r="M228" s="14" t="str">
        <f t="shared" si="114"/>
        <v/>
      </c>
      <c r="N228" s="14" t="str">
        <f t="shared" si="115"/>
        <v/>
      </c>
      <c r="O228" s="14" t="s">
        <v>11</v>
      </c>
      <c r="P228" s="14" t="s">
        <v>11</v>
      </c>
      <c r="Q228" s="14" t="s">
        <v>11</v>
      </c>
      <c r="R228" s="14" t="s">
        <v>13</v>
      </c>
      <c r="S228" s="14" t="s">
        <v>11</v>
      </c>
      <c r="T228" s="14" t="s">
        <v>11</v>
      </c>
      <c r="U228" s="14" t="s">
        <v>11</v>
      </c>
      <c r="V228" s="14" t="s">
        <v>11</v>
      </c>
      <c r="W228" s="14" t="s">
        <v>11</v>
      </c>
      <c r="X228" s="14" t="s">
        <v>11</v>
      </c>
      <c r="Y228" s="14" t="str">
        <f t="shared" si="117"/>
        <v/>
      </c>
      <c r="Z228" s="14" t="str">
        <f t="shared" si="118"/>
        <v/>
      </c>
      <c r="AA228" s="15">
        <f t="shared" si="13"/>
        <v>0</v>
      </c>
      <c r="AB228" s="14" t="s">
        <v>11</v>
      </c>
      <c r="AC228" s="14" t="s">
        <v>41</v>
      </c>
      <c r="AD228" s="14" t="s">
        <v>11</v>
      </c>
      <c r="AE228" s="14" t="s">
        <v>11</v>
      </c>
      <c r="AF228" s="14" t="s">
        <v>13</v>
      </c>
      <c r="AG228" s="14" t="s">
        <v>11</v>
      </c>
      <c r="AH228" s="14" t="s">
        <v>11</v>
      </c>
      <c r="AI228" s="14" t="s">
        <v>11</v>
      </c>
      <c r="AJ228" s="14" t="s">
        <v>11</v>
      </c>
      <c r="AK228" s="14" t="s">
        <v>11</v>
      </c>
      <c r="AL228" s="14" t="str">
        <f t="shared" si="119"/>
        <v>T</v>
      </c>
      <c r="AM228" s="14" t="str">
        <f t="shared" si="120"/>
        <v>T</v>
      </c>
      <c r="AN228" s="14" t="str">
        <f t="shared" si="121"/>
        <v/>
      </c>
      <c r="AO228" s="14" t="str">
        <f t="shared" si="122"/>
        <v/>
      </c>
      <c r="AP228" s="14" t="str">
        <f t="shared" si="123"/>
        <v/>
      </c>
      <c r="AQ228" s="14" t="str">
        <f t="shared" si="125"/>
        <v/>
      </c>
      <c r="AR228" s="15">
        <f t="shared" si="18"/>
        <v>0</v>
      </c>
      <c r="AT228" s="17">
        <f t="shared" si="124"/>
        <v>0</v>
      </c>
    </row>
    <row r="229" spans="2:46" x14ac:dyDescent="0.2">
      <c r="B229" s="16"/>
      <c r="C229" s="15" t="s">
        <v>53</v>
      </c>
      <c r="D229" s="30" t="str">
        <f t="shared" si="116"/>
        <v/>
      </c>
      <c r="E229" s="14" t="str">
        <f t="shared" si="106"/>
        <v/>
      </c>
      <c r="F229" s="14" t="str">
        <f t="shared" si="107"/>
        <v/>
      </c>
      <c r="G229" s="14" t="str">
        <f t="shared" si="108"/>
        <v/>
      </c>
      <c r="H229" s="14" t="str">
        <f t="shared" si="109"/>
        <v/>
      </c>
      <c r="I229" s="14" t="str">
        <f t="shared" si="110"/>
        <v/>
      </c>
      <c r="J229" s="14" t="str">
        <f t="shared" si="111"/>
        <v/>
      </c>
      <c r="K229" s="14" t="str">
        <f t="shared" si="112"/>
        <v/>
      </c>
      <c r="L229" s="14" t="str">
        <f t="shared" si="113"/>
        <v/>
      </c>
      <c r="M229" s="14" t="str">
        <f t="shared" si="114"/>
        <v/>
      </c>
      <c r="N229" s="14" t="str">
        <f t="shared" si="115"/>
        <v/>
      </c>
      <c r="O229" s="14" t="s">
        <v>11</v>
      </c>
      <c r="P229" s="14" t="s">
        <v>11</v>
      </c>
      <c r="Q229" s="14" t="s">
        <v>11</v>
      </c>
      <c r="R229" s="14" t="s">
        <v>13</v>
      </c>
      <c r="S229" s="14" t="s">
        <v>11</v>
      </c>
      <c r="T229" s="14" t="s">
        <v>11</v>
      </c>
      <c r="U229" s="14" t="s">
        <v>11</v>
      </c>
      <c r="V229" s="14" t="s">
        <v>11</v>
      </c>
      <c r="W229" s="14" t="s">
        <v>11</v>
      </c>
      <c r="X229" s="14" t="s">
        <v>11</v>
      </c>
      <c r="Y229" s="14" t="str">
        <f t="shared" si="117"/>
        <v/>
      </c>
      <c r="Z229" s="14" t="str">
        <f t="shared" si="118"/>
        <v/>
      </c>
      <c r="AA229" s="15">
        <f t="shared" si="13"/>
        <v>0</v>
      </c>
      <c r="AB229" s="14" t="s">
        <v>11</v>
      </c>
      <c r="AC229" s="14" t="s">
        <v>11</v>
      </c>
      <c r="AD229" s="14" t="s">
        <v>41</v>
      </c>
      <c r="AE229" s="14" t="s">
        <v>11</v>
      </c>
      <c r="AF229" s="14" t="s">
        <v>13</v>
      </c>
      <c r="AG229" s="14" t="s">
        <v>11</v>
      </c>
      <c r="AH229" s="14" t="s">
        <v>11</v>
      </c>
      <c r="AI229" s="14" t="s">
        <v>11</v>
      </c>
      <c r="AJ229" s="14" t="s">
        <v>11</v>
      </c>
      <c r="AK229" s="14" t="s">
        <v>11</v>
      </c>
      <c r="AL229" s="14" t="str">
        <f t="shared" si="119"/>
        <v>T</v>
      </c>
      <c r="AM229" s="14" t="str">
        <f t="shared" si="120"/>
        <v>T</v>
      </c>
      <c r="AN229" s="14" t="str">
        <f t="shared" si="121"/>
        <v/>
      </c>
      <c r="AO229" s="14" t="str">
        <f t="shared" si="122"/>
        <v/>
      </c>
      <c r="AP229" s="14" t="str">
        <f t="shared" si="123"/>
        <v/>
      </c>
      <c r="AQ229" s="14" t="str">
        <f t="shared" si="125"/>
        <v/>
      </c>
      <c r="AR229" s="15">
        <f t="shared" si="18"/>
        <v>0</v>
      </c>
      <c r="AT229" s="17">
        <f t="shared" si="124"/>
        <v>0</v>
      </c>
    </row>
    <row r="230" spans="2:46" x14ac:dyDescent="0.2">
      <c r="B230" s="16"/>
      <c r="C230" s="15" t="s">
        <v>53</v>
      </c>
      <c r="D230" s="30" t="str">
        <f t="shared" ref="D230:D269" si="126">SuprimePreposições(SubstituirTildes(B230))</f>
        <v/>
      </c>
      <c r="E230" s="14" t="str">
        <f t="shared" si="106"/>
        <v/>
      </c>
      <c r="F230" s="14" t="str">
        <f t="shared" si="107"/>
        <v/>
      </c>
      <c r="G230" s="14" t="str">
        <f t="shared" si="108"/>
        <v/>
      </c>
      <c r="H230" s="14" t="str">
        <f t="shared" si="109"/>
        <v/>
      </c>
      <c r="I230" s="14" t="str">
        <f t="shared" si="110"/>
        <v/>
      </c>
      <c r="J230" s="14" t="str">
        <f t="shared" si="111"/>
        <v/>
      </c>
      <c r="K230" s="14" t="str">
        <f t="shared" si="112"/>
        <v/>
      </c>
      <c r="L230" s="14" t="str">
        <f t="shared" si="113"/>
        <v/>
      </c>
      <c r="M230" s="14" t="str">
        <f t="shared" si="114"/>
        <v/>
      </c>
      <c r="N230" s="14" t="str">
        <f t="shared" si="115"/>
        <v/>
      </c>
      <c r="O230" s="14" t="s">
        <v>11</v>
      </c>
      <c r="P230" s="14" t="s">
        <v>11</v>
      </c>
      <c r="Q230" s="14" t="s">
        <v>11</v>
      </c>
      <c r="R230" s="14" t="s">
        <v>13</v>
      </c>
      <c r="S230" s="14" t="s">
        <v>11</v>
      </c>
      <c r="T230" s="14" t="s">
        <v>11</v>
      </c>
      <c r="U230" s="14" t="s">
        <v>11</v>
      </c>
      <c r="V230" s="14" t="s">
        <v>11</v>
      </c>
      <c r="W230" s="14" t="s">
        <v>11</v>
      </c>
      <c r="X230" s="14" t="s">
        <v>11</v>
      </c>
      <c r="Y230" s="14" t="str">
        <f t="shared" ref="Y230:Y269" si="127">IF(C230="E",IF(O230="X",IF(E230&lt;&gt;"",IF(ISERROR(VLOOKUP(E230,ListaThesaurus,2,FALSE)),"***",E230),""),""),IF(C230="A",IF(O230="X",IF(E230&lt;&gt;"",IF(ISERROR(VLOOKUP(E230,ListaNaturezas,2,FALSE)),"***",LOWER(VLOOKUP(E230,ListaNaturezas,2,FALSE))),""),""),"***"))&amp;IF(P230="X",IF(F230&lt;&gt;"",IF(ISERROR(VLOOKUP(F230,ListaThesaurus,2,FALSE)),"***",F230),""),"")&amp;IF(Q230="X",IF(G230&lt;&gt;"",IF(ISERROR(VLOOKUP(G230,ListaThesaurus,2,FALSE)),"***",G230),""),"")&amp;IF(R230="X",IF(H230&lt;&gt;"",IF(ISERROR(VLOOKUP(H230,ListaThesaurus,2,FALSE)),"***",H230),""),"")&amp;IF(S230="X",IF(I230&lt;&gt;"",IF(ISERROR(VLOOKUP(I230,ListaThesaurus,2,FALSE)),"***",I230),""),"")</f>
        <v/>
      </c>
      <c r="Z230" s="14" t="str">
        <f t="shared" ref="Z230:Z269" si="128">IF(OR(C230="E",C230="A"),Y230&amp;IF(T230="X",IF(J230&lt;&gt;"",IF(ISERROR(VLOOKUP(J230,ListaThesaurus,2,FALSE)),"***",J230),""),"")&amp;IF(U230="X",IF(K230&lt;&gt;"",IF(ISERROR(VLOOKUP(K230,ListaThesaurus,2,FALSE)),"***",K230),""),"")&amp;IF(V230="X",IF(L230&lt;&gt;"",IF(ISERROR(VLOOKUP(L230,ListaThesaurus,2,FALSE)),"***",L230),""),"")&amp;IF(W230="X",IF(M230&lt;&gt;"",IF(ISERROR(VLOOKUP(M230,ListaThesaurus,2,FALSE)),"***",M230),""),"")&amp;IF(X230="X",IF(N230&lt;&gt;"",IF(ISERROR(VLOOKUP(N230,ListaThesaurus,2,FALSE)),"***",N230),""),""),"")</f>
        <v/>
      </c>
      <c r="AA230" s="15">
        <f t="shared" si="13"/>
        <v>0</v>
      </c>
      <c r="AB230" s="14" t="s">
        <v>11</v>
      </c>
      <c r="AC230" s="14" t="s">
        <v>41</v>
      </c>
      <c r="AD230" s="14" t="s">
        <v>11</v>
      </c>
      <c r="AE230" s="14" t="s">
        <v>11</v>
      </c>
      <c r="AF230" s="14" t="s">
        <v>13</v>
      </c>
      <c r="AG230" s="14" t="s">
        <v>11</v>
      </c>
      <c r="AH230" s="14" t="s">
        <v>11</v>
      </c>
      <c r="AI230" s="14" t="s">
        <v>11</v>
      </c>
      <c r="AJ230" s="14" t="s">
        <v>11</v>
      </c>
      <c r="AK230" s="14" t="s">
        <v>11</v>
      </c>
      <c r="AL230" s="14" t="str">
        <f t="shared" ref="AL230:AL269" si="129">"T"&amp;IF(AB230="X",IF(E230&lt;&gt;"",IF(ISERROR(VLOOKUP(E230,ListaThesaurus,2,FALSE)),"***",VLOOKUP(E230,ListaThesaurus,2,FALSE)),""),"")&amp;IF(AC230="X",IF(F230&lt;&gt;"",IF(AB230="X","_","")&amp;IF(ISERROR(VLOOKUP(F230,ListaThesaurus,2,FALSE)),"***",VLOOKUP(F230,ListaThesaurus,2,FALSE)),""),"")&amp;IF(AD230="X",IF(G230&lt;&gt;"",IF(OR(AB230="X",AC230="X"),"_","")&amp;IF(ISERROR(VLOOKUP(G230,ListaThesaurus,2,FALSE)),"***",VLOOKUP(G230,ListaThesaurus,2,FALSE)),""),"")&amp;IF(AE230="X",IF(H230&lt;&gt;"",IF(OR(AB230="X",AC230="X",AD230="X"),"_","")&amp;IF(ISERROR(VLOOKUP(H230,ListaThesaurus,2,FALSE)),"***",VLOOKUP(H230,ListaThesaurus,2,FALSE)),""),"")&amp;IF(AF230="X",IF(I230&lt;&gt;"",IF(OR(AB230="X",AC230="X",AD230="X",AE230="X"),"_","")&amp;IF(ISERROR(VLOOKUP(I230,ListaThesaurus,2,FALSE)),"***",VLOOKUP(I230,ListaThesaurus,2,FALSE)),""),"")</f>
        <v>T</v>
      </c>
      <c r="AM230" s="14" t="str">
        <f t="shared" ref="AM230:AM269" si="130">AL230&amp;IF(AG230="X",IF(J230&lt;&gt;"",IF(OR(AB230="X",AC230="X",AD230="X",AE230="X",AF230="X"),"_","")&amp;IF(ISERROR(VLOOKUP(J230,ListaThesaurus,2,FALSE)),"***",VLOOKUP(J230,ListaThesaurus,2,FALSE)),""),"")&amp;IF(AH230="X",IF(K230&lt;&gt;"",IF(OR(AB230="X",AC230="X",AD230="X",AE230="X",AF230="X",AG230="X"),"_","")&amp;IF(ISERROR(VLOOKUP(K230,ListaThesaurus,2,FALSE)),"***",VLOOKUP(K230,ListaThesaurus,2,FALSE)),""),"")&amp;IF(AI230="X",IF(L230&lt;&gt;"",IF(OR(AB230="X",AC230="X",AD230="X",AE230="X",AF230="X",AG230="X",AH230="X"),"_","")&amp;IF(ISERROR(VLOOKUP(L230,ListaThesaurus,2,FALSE)),"***",VLOOKUP(L230,ListaThesaurus,2,FALSE)),""),"")&amp;IF(AJ230="X",IF(M230&lt;&gt;"",IF(OR(AB230="X",AC230="X",AD230="X",AE230="X",AF230="X",AG230="X",AH230="X",AI230="X"),"_","")&amp;IF(ISERROR(VLOOKUP(M230,ListaThesaurus,2,FALSE)),"***",VLOOKUP(M230,ListaThesaurus,2,FALSE)),""),"")&amp;IF(AK230="X",IF(N230&lt;&gt;"",IF(OR(AB230="X",AC230="X",AD230="X",AE230="X",AF230="X",AG230="X",AH230="X",AI230="X",AJ230="X"),"_","")&amp;IF(ISERROR(VLOOKUP(N230,ListaThesaurus,2,FALSE)),"***",VLOOKUP(N230,ListaThesaurus,2,FALSE)),""),"")</f>
        <v>T</v>
      </c>
      <c r="AN230" s="14" t="str">
        <f t="shared" ref="AN230:AN269" si="131">IF(AB230="X",IF(E230&lt;&gt;"",IF(ISERROR(VLOOKUP(E230,ListaNaturezas,3,FALSE)),"***",VLOOKUP(E230,ListaNaturezas,3,FALSE)),""),"")&amp;IF(AC230="X",IF(F230&lt;&gt;"",IF(ISERROR(VLOOKUP(F230,ListaThesaurus,2,FALSE)),"***",VLOOKUP(F230,ListaThesaurus,2,FALSE)),""),"")&amp;IF(AD230="X",IF(G230&lt;&gt;"",IF(AC230="X","_","")&amp;IF(ISERROR(VLOOKUP(G230,ListaThesaurus,2,FALSE)),"***",VLOOKUP(G230,ListaThesaurus,2,FALSE)),""),"")&amp;IF(AE230="X",IF(H230&lt;&gt;"",IF(OR(AC230="X",AD230="X"),"_","")&amp;IF(ISERROR(VLOOKUP(H230,ListaThesaurus,2,FALSE)),"***",VLOOKUP(H230,ListaThesaurus,2,FALSE)),""),"")&amp;IF(AF230="X",IF(I230&lt;&gt;"",IF(OR(AC230="X",AD230="X",AE230="X"),"_","")&amp;IF(ISERROR(VLOOKUP(I230,ListaThesaurus,2,FALSE)),"***",VLOOKUP(I230,ListaThesaurus,2,FALSE)),""),"")</f>
        <v/>
      </c>
      <c r="AO230" s="14" t="str">
        <f t="shared" ref="AO230:AO269" si="132">AN230&amp;IF(AG230="X",IF(J230&lt;&gt;"",IF(OR(AC230="X",AD230="X",AE230="X",AF230="X"),"_","")&amp;IF(ISERROR(VLOOKUP(J230,ListaThesaurus,2,FALSE)),"***",VLOOKUP(J230,ListaThesaurus,2,FALSE)),""),"")&amp;IF(AH230="X",IF(K230&lt;&gt;"",IF(OR(AC230="X",AD230="X",AE230="X",AF230="X",AG230="X"),"_","")&amp;IF(ISERROR(VLOOKUP(K230,ListaThesaurus,2,FALSE)),"***",VLOOKUP(K230,ListaThesaurus,2,FALSE)),""),"")&amp;IF(AI230="X",IF(L230&lt;&gt;"",IF(OR(AC230="X",AD230="X",AE230="X",AF230="X",AG230="X",AH230="X"),"_","")&amp;IF(ISERROR(VLOOKUP(L230,ListaThesaurus,2,FALSE)),"***",VLOOKUP(L230,ListaThesaurus,2,FALSE)),""),"")&amp;IF(AJ230="X",IF(M230&lt;&gt;"",IF(OR(AC230="X",AD230="X",AE230="X",AF230="X",AG230="X",AH230="X",AI230="X"),"_","")&amp;IF(ISERROR(VLOOKUP(M230,ListaThesaurus,2,FALSE)),"***",VLOOKUP(M230,ListaThesaurus,2,FALSE)),""),"")&amp;IF(AK230="X",IF(N230&lt;&gt;"",IF(OR(AC230="X",AD230="X",AE230="X",AF230="X",AG230="X",AH230="X",AI230="X",AJ230="X"),"_","")&amp;IF(ISERROR(VLOOKUP(N230,ListaThesaurus,2,FALSE)),"***",VLOOKUP(N230,ListaThesaurus,2,FALSE)),""),"")</f>
        <v/>
      </c>
      <c r="AP230" s="14" t="str">
        <f t="shared" ref="AP230:AP269" si="133">IF(C230="A",AO230,IF(C230="E",AM230,""))</f>
        <v/>
      </c>
      <c r="AQ230" s="14" t="str">
        <f t="shared" si="125"/>
        <v/>
      </c>
      <c r="AR230" s="15">
        <f t="shared" si="18"/>
        <v>0</v>
      </c>
      <c r="AT230" s="17">
        <f t="shared" si="124"/>
        <v>0</v>
      </c>
    </row>
    <row r="231" spans="2:46" x14ac:dyDescent="0.2">
      <c r="B231" s="16"/>
      <c r="C231" s="15" t="s">
        <v>53</v>
      </c>
      <c r="D231" s="30" t="str">
        <f t="shared" si="126"/>
        <v/>
      </c>
      <c r="E231" s="14" t="str">
        <f t="shared" si="106"/>
        <v/>
      </c>
      <c r="F231" s="14" t="str">
        <f t="shared" si="107"/>
        <v/>
      </c>
      <c r="G231" s="14" t="str">
        <f t="shared" si="108"/>
        <v/>
      </c>
      <c r="H231" s="14" t="str">
        <f t="shared" si="109"/>
        <v/>
      </c>
      <c r="I231" s="14" t="str">
        <f t="shared" si="110"/>
        <v/>
      </c>
      <c r="J231" s="14" t="str">
        <f t="shared" si="111"/>
        <v/>
      </c>
      <c r="K231" s="14" t="str">
        <f t="shared" si="112"/>
        <v/>
      </c>
      <c r="L231" s="14" t="str">
        <f t="shared" si="113"/>
        <v/>
      </c>
      <c r="M231" s="14" t="str">
        <f t="shared" si="114"/>
        <v/>
      </c>
      <c r="N231" s="14" t="str">
        <f t="shared" si="115"/>
        <v/>
      </c>
      <c r="O231" s="14" t="s">
        <v>11</v>
      </c>
      <c r="P231" s="14" t="s">
        <v>11</v>
      </c>
      <c r="Q231" s="14" t="s">
        <v>11</v>
      </c>
      <c r="R231" s="14" t="s">
        <v>13</v>
      </c>
      <c r="S231" s="14" t="s">
        <v>11</v>
      </c>
      <c r="T231" s="14" t="s">
        <v>11</v>
      </c>
      <c r="U231" s="14" t="s">
        <v>11</v>
      </c>
      <c r="V231" s="14" t="s">
        <v>11</v>
      </c>
      <c r="W231" s="14" t="s">
        <v>11</v>
      </c>
      <c r="X231" s="14" t="s">
        <v>11</v>
      </c>
      <c r="Y231" s="14" t="str">
        <f t="shared" si="127"/>
        <v/>
      </c>
      <c r="Z231" s="14" t="str">
        <f t="shared" si="128"/>
        <v/>
      </c>
      <c r="AA231" s="15">
        <f t="shared" si="13"/>
        <v>0</v>
      </c>
      <c r="AB231" s="14" t="s">
        <v>11</v>
      </c>
      <c r="AC231" s="14" t="s">
        <v>11</v>
      </c>
      <c r="AD231" s="14" t="s">
        <v>41</v>
      </c>
      <c r="AE231" s="14" t="s">
        <v>11</v>
      </c>
      <c r="AF231" s="14" t="s">
        <v>13</v>
      </c>
      <c r="AG231" s="14" t="s">
        <v>11</v>
      </c>
      <c r="AH231" s="14" t="s">
        <v>11</v>
      </c>
      <c r="AI231" s="14" t="s">
        <v>11</v>
      </c>
      <c r="AJ231" s="14" t="s">
        <v>11</v>
      </c>
      <c r="AK231" s="14" t="s">
        <v>11</v>
      </c>
      <c r="AL231" s="14" t="str">
        <f t="shared" si="129"/>
        <v>T</v>
      </c>
      <c r="AM231" s="14" t="str">
        <f t="shared" si="130"/>
        <v>T</v>
      </c>
      <c r="AN231" s="14" t="str">
        <f t="shared" si="131"/>
        <v/>
      </c>
      <c r="AO231" s="14" t="str">
        <f t="shared" si="132"/>
        <v/>
      </c>
      <c r="AP231" s="14" t="str">
        <f t="shared" si="133"/>
        <v/>
      </c>
      <c r="AQ231" s="14" t="str">
        <f t="shared" si="125"/>
        <v/>
      </c>
      <c r="AR231" s="15">
        <f t="shared" si="18"/>
        <v>0</v>
      </c>
      <c r="AT231" s="17">
        <f t="shared" si="124"/>
        <v>0</v>
      </c>
    </row>
    <row r="232" spans="2:46" x14ac:dyDescent="0.2">
      <c r="B232" s="16"/>
      <c r="C232" s="15" t="s">
        <v>53</v>
      </c>
      <c r="D232" s="30" t="str">
        <f t="shared" si="126"/>
        <v/>
      </c>
      <c r="E232" s="14" t="str">
        <f t="shared" si="106"/>
        <v/>
      </c>
      <c r="F232" s="14" t="str">
        <f t="shared" si="107"/>
        <v/>
      </c>
      <c r="G232" s="14" t="str">
        <f t="shared" si="108"/>
        <v/>
      </c>
      <c r="H232" s="14" t="str">
        <f t="shared" si="109"/>
        <v/>
      </c>
      <c r="I232" s="14" t="str">
        <f t="shared" si="110"/>
        <v/>
      </c>
      <c r="J232" s="14" t="str">
        <f t="shared" si="111"/>
        <v/>
      </c>
      <c r="K232" s="14" t="str">
        <f t="shared" si="112"/>
        <v/>
      </c>
      <c r="L232" s="14" t="str">
        <f t="shared" si="113"/>
        <v/>
      </c>
      <c r="M232" s="14" t="str">
        <f t="shared" si="114"/>
        <v/>
      </c>
      <c r="N232" s="14" t="str">
        <f t="shared" si="115"/>
        <v/>
      </c>
      <c r="O232" s="14" t="s">
        <v>11</v>
      </c>
      <c r="P232" s="14" t="s">
        <v>11</v>
      </c>
      <c r="Q232" s="14" t="s">
        <v>11</v>
      </c>
      <c r="R232" s="14" t="s">
        <v>13</v>
      </c>
      <c r="S232" s="14" t="s">
        <v>11</v>
      </c>
      <c r="T232" s="14" t="s">
        <v>11</v>
      </c>
      <c r="U232" s="14" t="s">
        <v>11</v>
      </c>
      <c r="V232" s="14" t="s">
        <v>11</v>
      </c>
      <c r="W232" s="14" t="s">
        <v>11</v>
      </c>
      <c r="X232" s="14" t="s">
        <v>11</v>
      </c>
      <c r="Y232" s="14" t="str">
        <f t="shared" si="127"/>
        <v/>
      </c>
      <c r="Z232" s="14" t="str">
        <f t="shared" si="128"/>
        <v/>
      </c>
      <c r="AA232" s="15">
        <f t="shared" si="13"/>
        <v>0</v>
      </c>
      <c r="AB232" s="14" t="s">
        <v>11</v>
      </c>
      <c r="AC232" s="14" t="s">
        <v>41</v>
      </c>
      <c r="AD232" s="14" t="s">
        <v>11</v>
      </c>
      <c r="AE232" s="14" t="s">
        <v>11</v>
      </c>
      <c r="AF232" s="14" t="s">
        <v>13</v>
      </c>
      <c r="AG232" s="14" t="s">
        <v>11</v>
      </c>
      <c r="AH232" s="14" t="s">
        <v>11</v>
      </c>
      <c r="AI232" s="14" t="s">
        <v>11</v>
      </c>
      <c r="AJ232" s="14" t="s">
        <v>11</v>
      </c>
      <c r="AK232" s="14" t="s">
        <v>11</v>
      </c>
      <c r="AL232" s="14" t="str">
        <f t="shared" si="129"/>
        <v>T</v>
      </c>
      <c r="AM232" s="14" t="str">
        <f t="shared" si="130"/>
        <v>T</v>
      </c>
      <c r="AN232" s="14" t="str">
        <f t="shared" si="131"/>
        <v/>
      </c>
      <c r="AO232" s="14" t="str">
        <f t="shared" si="132"/>
        <v/>
      </c>
      <c r="AP232" s="14" t="str">
        <f t="shared" si="133"/>
        <v/>
      </c>
      <c r="AQ232" s="14" t="str">
        <f t="shared" si="125"/>
        <v/>
      </c>
      <c r="AR232" s="15">
        <f t="shared" si="18"/>
        <v>0</v>
      </c>
      <c r="AT232" s="17">
        <f t="shared" si="124"/>
        <v>0</v>
      </c>
    </row>
    <row r="233" spans="2:46" x14ac:dyDescent="0.2">
      <c r="B233" s="16"/>
      <c r="C233" s="15" t="s">
        <v>53</v>
      </c>
      <c r="D233" s="30" t="str">
        <f t="shared" si="126"/>
        <v/>
      </c>
      <c r="E233" s="14" t="str">
        <f t="shared" si="106"/>
        <v/>
      </c>
      <c r="F233" s="14" t="str">
        <f t="shared" si="107"/>
        <v/>
      </c>
      <c r="G233" s="14" t="str">
        <f t="shared" si="108"/>
        <v/>
      </c>
      <c r="H233" s="14" t="str">
        <f t="shared" si="109"/>
        <v/>
      </c>
      <c r="I233" s="14" t="str">
        <f t="shared" si="110"/>
        <v/>
      </c>
      <c r="J233" s="14" t="str">
        <f t="shared" si="111"/>
        <v/>
      </c>
      <c r="K233" s="14" t="str">
        <f t="shared" si="112"/>
        <v/>
      </c>
      <c r="L233" s="14" t="str">
        <f t="shared" si="113"/>
        <v/>
      </c>
      <c r="M233" s="14" t="str">
        <f t="shared" si="114"/>
        <v/>
      </c>
      <c r="N233" s="14" t="str">
        <f t="shared" si="115"/>
        <v/>
      </c>
      <c r="O233" s="14" t="s">
        <v>11</v>
      </c>
      <c r="P233" s="14" t="s">
        <v>11</v>
      </c>
      <c r="Q233" s="14" t="s">
        <v>11</v>
      </c>
      <c r="R233" s="14" t="s">
        <v>13</v>
      </c>
      <c r="S233" s="14" t="s">
        <v>11</v>
      </c>
      <c r="T233" s="14" t="s">
        <v>11</v>
      </c>
      <c r="U233" s="14" t="s">
        <v>11</v>
      </c>
      <c r="V233" s="14" t="s">
        <v>11</v>
      </c>
      <c r="W233" s="14" t="s">
        <v>11</v>
      </c>
      <c r="X233" s="14" t="s">
        <v>11</v>
      </c>
      <c r="Y233" s="14" t="str">
        <f t="shared" si="127"/>
        <v/>
      </c>
      <c r="Z233" s="14" t="str">
        <f t="shared" si="128"/>
        <v/>
      </c>
      <c r="AA233" s="15">
        <f t="shared" si="13"/>
        <v>0</v>
      </c>
      <c r="AB233" s="14" t="s">
        <v>11</v>
      </c>
      <c r="AC233" s="14" t="s">
        <v>41</v>
      </c>
      <c r="AD233" s="14" t="s">
        <v>11</v>
      </c>
      <c r="AE233" s="14" t="s">
        <v>11</v>
      </c>
      <c r="AF233" s="14" t="s">
        <v>13</v>
      </c>
      <c r="AG233" s="14" t="s">
        <v>11</v>
      </c>
      <c r="AH233" s="14" t="s">
        <v>11</v>
      </c>
      <c r="AI233" s="14" t="s">
        <v>11</v>
      </c>
      <c r="AJ233" s="14" t="s">
        <v>11</v>
      </c>
      <c r="AK233" s="14" t="s">
        <v>11</v>
      </c>
      <c r="AL233" s="14" t="str">
        <f t="shared" si="129"/>
        <v>T</v>
      </c>
      <c r="AM233" s="14" t="str">
        <f t="shared" si="130"/>
        <v>T</v>
      </c>
      <c r="AN233" s="14" t="str">
        <f t="shared" si="131"/>
        <v/>
      </c>
      <c r="AO233" s="14" t="str">
        <f t="shared" si="132"/>
        <v/>
      </c>
      <c r="AP233" s="14" t="str">
        <f t="shared" si="133"/>
        <v/>
      </c>
      <c r="AQ233" s="14" t="str">
        <f t="shared" si="125"/>
        <v/>
      </c>
      <c r="AR233" s="15">
        <f t="shared" si="18"/>
        <v>0</v>
      </c>
      <c r="AT233" s="17">
        <f t="shared" si="124"/>
        <v>0</v>
      </c>
    </row>
    <row r="234" spans="2:46" x14ac:dyDescent="0.2">
      <c r="B234" s="16"/>
      <c r="C234" s="15" t="s">
        <v>53</v>
      </c>
      <c r="D234" s="30" t="str">
        <f t="shared" si="126"/>
        <v/>
      </c>
      <c r="E234" s="14" t="str">
        <f t="shared" si="106"/>
        <v/>
      </c>
      <c r="F234" s="14" t="str">
        <f t="shared" si="107"/>
        <v/>
      </c>
      <c r="G234" s="14" t="str">
        <f t="shared" si="108"/>
        <v/>
      </c>
      <c r="H234" s="14" t="str">
        <f t="shared" si="109"/>
        <v/>
      </c>
      <c r="I234" s="14" t="str">
        <f t="shared" si="110"/>
        <v/>
      </c>
      <c r="J234" s="14" t="str">
        <f t="shared" si="111"/>
        <v/>
      </c>
      <c r="K234" s="14" t="str">
        <f t="shared" si="112"/>
        <v/>
      </c>
      <c r="L234" s="14" t="str">
        <f t="shared" si="113"/>
        <v/>
      </c>
      <c r="M234" s="14" t="str">
        <f t="shared" si="114"/>
        <v/>
      </c>
      <c r="N234" s="14" t="str">
        <f t="shared" si="115"/>
        <v/>
      </c>
      <c r="O234" s="14" t="s">
        <v>11</v>
      </c>
      <c r="P234" s="14" t="s">
        <v>11</v>
      </c>
      <c r="Q234" s="14" t="s">
        <v>11</v>
      </c>
      <c r="R234" s="14" t="s">
        <v>13</v>
      </c>
      <c r="S234" s="14" t="s">
        <v>11</v>
      </c>
      <c r="T234" s="14" t="s">
        <v>11</v>
      </c>
      <c r="U234" s="14" t="s">
        <v>11</v>
      </c>
      <c r="V234" s="14" t="s">
        <v>11</v>
      </c>
      <c r="W234" s="14" t="s">
        <v>11</v>
      </c>
      <c r="X234" s="14" t="s">
        <v>11</v>
      </c>
      <c r="Y234" s="14" t="str">
        <f t="shared" si="127"/>
        <v/>
      </c>
      <c r="Z234" s="14" t="str">
        <f t="shared" si="128"/>
        <v/>
      </c>
      <c r="AA234" s="15">
        <f t="shared" si="13"/>
        <v>0</v>
      </c>
      <c r="AB234" s="14" t="s">
        <v>11</v>
      </c>
      <c r="AC234" s="14" t="s">
        <v>41</v>
      </c>
      <c r="AD234" s="14" t="s">
        <v>11</v>
      </c>
      <c r="AE234" s="14" t="s">
        <v>11</v>
      </c>
      <c r="AF234" s="14" t="s">
        <v>13</v>
      </c>
      <c r="AG234" s="14" t="s">
        <v>11</v>
      </c>
      <c r="AH234" s="14" t="s">
        <v>11</v>
      </c>
      <c r="AI234" s="14" t="s">
        <v>11</v>
      </c>
      <c r="AJ234" s="14" t="s">
        <v>11</v>
      </c>
      <c r="AK234" s="14" t="s">
        <v>11</v>
      </c>
      <c r="AL234" s="14" t="str">
        <f t="shared" si="129"/>
        <v>T</v>
      </c>
      <c r="AM234" s="14" t="str">
        <f t="shared" si="130"/>
        <v>T</v>
      </c>
      <c r="AN234" s="14" t="str">
        <f t="shared" si="131"/>
        <v/>
      </c>
      <c r="AO234" s="14" t="str">
        <f t="shared" si="132"/>
        <v/>
      </c>
      <c r="AP234" s="14" t="str">
        <f t="shared" si="133"/>
        <v/>
      </c>
      <c r="AQ234" s="14" t="str">
        <f t="shared" si="125"/>
        <v/>
      </c>
      <c r="AR234" s="15">
        <f t="shared" si="18"/>
        <v>0</v>
      </c>
      <c r="AT234" s="17">
        <f t="shared" si="124"/>
        <v>0</v>
      </c>
    </row>
    <row r="235" spans="2:46" x14ac:dyDescent="0.2">
      <c r="B235" s="16"/>
      <c r="C235" s="15" t="s">
        <v>53</v>
      </c>
      <c r="D235" s="30" t="str">
        <f t="shared" si="126"/>
        <v/>
      </c>
      <c r="E235" s="14" t="str">
        <f t="shared" si="106"/>
        <v/>
      </c>
      <c r="F235" s="14" t="str">
        <f t="shared" si="107"/>
        <v/>
      </c>
      <c r="G235" s="14" t="str">
        <f t="shared" si="108"/>
        <v/>
      </c>
      <c r="H235" s="14" t="str">
        <f t="shared" si="109"/>
        <v/>
      </c>
      <c r="I235" s="14" t="str">
        <f t="shared" si="110"/>
        <v/>
      </c>
      <c r="J235" s="14" t="str">
        <f t="shared" si="111"/>
        <v/>
      </c>
      <c r="K235" s="14" t="str">
        <f t="shared" si="112"/>
        <v/>
      </c>
      <c r="L235" s="14" t="str">
        <f t="shared" si="113"/>
        <v/>
      </c>
      <c r="M235" s="14" t="str">
        <f t="shared" si="114"/>
        <v/>
      </c>
      <c r="N235" s="14" t="str">
        <f t="shared" si="115"/>
        <v/>
      </c>
      <c r="O235" s="14" t="s">
        <v>11</v>
      </c>
      <c r="P235" s="14" t="s">
        <v>11</v>
      </c>
      <c r="Q235" s="14" t="s">
        <v>11</v>
      </c>
      <c r="R235" s="14" t="s">
        <v>13</v>
      </c>
      <c r="S235" s="14" t="s">
        <v>11</v>
      </c>
      <c r="T235" s="14" t="s">
        <v>11</v>
      </c>
      <c r="U235" s="14" t="s">
        <v>11</v>
      </c>
      <c r="V235" s="14" t="s">
        <v>11</v>
      </c>
      <c r="W235" s="14" t="s">
        <v>11</v>
      </c>
      <c r="X235" s="14" t="s">
        <v>11</v>
      </c>
      <c r="Y235" s="14" t="str">
        <f t="shared" si="127"/>
        <v/>
      </c>
      <c r="Z235" s="14" t="str">
        <f t="shared" si="128"/>
        <v/>
      </c>
      <c r="AA235" s="15">
        <f t="shared" si="13"/>
        <v>0</v>
      </c>
      <c r="AB235" s="14" t="s">
        <v>11</v>
      </c>
      <c r="AC235" s="14" t="s">
        <v>11</v>
      </c>
      <c r="AD235" s="14" t="s">
        <v>11</v>
      </c>
      <c r="AE235" s="14" t="s">
        <v>11</v>
      </c>
      <c r="AF235" s="14" t="s">
        <v>13</v>
      </c>
      <c r="AG235" s="14" t="s">
        <v>11</v>
      </c>
      <c r="AH235" s="14" t="s">
        <v>11</v>
      </c>
      <c r="AI235" s="14" t="s">
        <v>11</v>
      </c>
      <c r="AJ235" s="14" t="s">
        <v>11</v>
      </c>
      <c r="AK235" s="14" t="s">
        <v>11</v>
      </c>
      <c r="AL235" s="14" t="str">
        <f t="shared" si="129"/>
        <v>T</v>
      </c>
      <c r="AM235" s="14" t="str">
        <f t="shared" si="130"/>
        <v>T</v>
      </c>
      <c r="AN235" s="14" t="str">
        <f t="shared" si="131"/>
        <v/>
      </c>
      <c r="AO235" s="14" t="str">
        <f t="shared" si="132"/>
        <v/>
      </c>
      <c r="AP235" s="14" t="str">
        <f t="shared" si="133"/>
        <v/>
      </c>
      <c r="AQ235" s="14" t="str">
        <f t="shared" si="125"/>
        <v/>
      </c>
      <c r="AR235" s="15">
        <f t="shared" si="18"/>
        <v>0</v>
      </c>
      <c r="AT235" s="17">
        <f t="shared" si="124"/>
        <v>0</v>
      </c>
    </row>
    <row r="236" spans="2:46" x14ac:dyDescent="0.2">
      <c r="B236" s="16"/>
      <c r="C236" s="15" t="s">
        <v>53</v>
      </c>
      <c r="D236" s="30" t="str">
        <f t="shared" si="126"/>
        <v/>
      </c>
      <c r="E236" s="14" t="str">
        <f t="shared" ref="E236:E269" si="134">MID(D236,E$3,IF(ISERR(SEARCH(" ",D236,E$3)),1000,SEARCH(" ",D236,E$3))-E$3)</f>
        <v/>
      </c>
      <c r="F236" s="14" t="str">
        <f t="shared" ref="F236:F269" si="135">MID(D236,LEN(E236)+F$3,IF(ISERR(SEARCH(" ",D236,LEN(E236)+F$3)),1000,SEARCH(" ",D236,LEN(E236)+F$3)-LEN(E236)-F$3))</f>
        <v/>
      </c>
      <c r="G236" s="14" t="str">
        <f t="shared" ref="G236:G269" si="136">MID(D236,LEN(E236&amp;F236)+G$3,IF(ISERR(SEARCH(" ",D236,LEN(E236&amp;F236)+G$3)),1000,SEARCH(" ",D236,LEN(E236&amp;F236)+G$3)-LEN(E236&amp;F236)-G$3))</f>
        <v/>
      </c>
      <c r="H236" s="14" t="str">
        <f t="shared" ref="H236:H269" si="137">MID(D236,LEN(E236&amp;F236&amp;G236)+H$3,IF(ISERR(SEARCH(" ",D236,LEN(E236&amp;F236&amp;G236)+H$3)),1000,SEARCH(" ",D236,LEN(E236&amp;F236&amp;G236)+H$3)-LEN(E236&amp;F236&amp;G236)-H$3))</f>
        <v/>
      </c>
      <c r="I236" s="14" t="str">
        <f t="shared" ref="I236:I269" si="138">MID(D236,LEN(E236&amp;F236&amp;G236&amp;H236)+I$3,IF(ISERR(SEARCH(" ",D236,LEN(E236&amp;F236&amp;G236&amp;H236)+I$3)),1000,SEARCH(" ",D236,LEN(E236&amp;F236&amp;G236&amp;H236)+I$3)-LEN(E236&amp;F236&amp;G236&amp;H236)-I$3))</f>
        <v/>
      </c>
      <c r="J236" s="14" t="str">
        <f t="shared" ref="J236:J269" si="139">MID(D236,LEN(E236&amp;F236&amp;G236&amp;H236&amp;I236)+J$3,IF(ISERR(SEARCH(" ",D236,LEN(E236&amp;F236&amp;G236&amp;H236&amp;I236)+J$3)),1000,SEARCH(" ",D236,LEN(E236&amp;F236&amp;G236&amp;H236&amp;I236)+J$3)-LEN(E236&amp;F236&amp;G236&amp;H236&amp;I236)-J$3))</f>
        <v/>
      </c>
      <c r="K236" s="14" t="str">
        <f t="shared" ref="K236:K269" si="140">MID(D236,LEN(E236&amp;F236&amp;G236&amp;H236&amp;I236&amp;J236)+K$3,IF(ISERR(SEARCH(" ",D236,LEN(E236&amp;F236&amp;G236&amp;H236&amp;I236&amp;J236)+K$3)),1000,SEARCH(" ",D236,LEN(E236&amp;F236&amp;G236&amp;H236&amp;I236&amp;J236)+K$3)-LEN(E236&amp;F236&amp;G236&amp;H236&amp;I236&amp;J236)-K$3))</f>
        <v/>
      </c>
      <c r="L236" s="14" t="str">
        <f t="shared" ref="L236:L269" si="141">MID(D236,LEN(E236&amp;F236&amp;G236&amp;H236&amp;I236&amp;J236&amp;K236)+L$3,IF(ISERR(SEARCH(" ",D236,LEN(E236&amp;F236&amp;G236&amp;H236&amp;I236&amp;J236&amp;K236)+L$3)),1000,SEARCH(" ",D236,LEN(E236&amp;F236&amp;G236&amp;H236&amp;I236&amp;J236&amp;K236)+L$3)-LEN(E236&amp;F236&amp;G236&amp;H236&amp;I236&amp;J236&amp;K236)-L$3))</f>
        <v/>
      </c>
      <c r="M236" s="14" t="str">
        <f t="shared" ref="M236:M269" si="142">MID(D236,LEN(E236&amp;F236&amp;G236&amp;H236&amp;I236&amp;J236&amp;K236&amp;L236)+M$3,IF(ISERR(SEARCH(" ",D236,LEN(E236&amp;F236&amp;G236&amp;H236&amp;I236&amp;J236&amp;K236&amp;L236)+M$3)),1000,SEARCH(" ",D236,LEN(E236&amp;F236&amp;G236&amp;H236&amp;I236&amp;J236&amp;K236&amp;L236)+M$3)-LEN(E236&amp;F236&amp;G236&amp;H236&amp;I236&amp;J236&amp;K236&amp;L236)-M$3))</f>
        <v/>
      </c>
      <c r="N236" s="14" t="str">
        <f t="shared" ref="N236:N269" si="143">MID(D236,LEN(E236&amp;F236&amp;G236&amp;H236&amp;I236&amp;J236&amp;K236&amp;L236&amp;M236)+N$3,IF(ISERR(SEARCH(" ",D236,LEN(E236&amp;F236&amp;G236&amp;H236&amp;I236&amp;J236&amp;K236&amp;L236&amp;M236)+N$3)),1000,SEARCH(" ",D236,LEN(E236&amp;F236&amp;G236&amp;H236&amp;I236&amp;J236&amp;K236&amp;L236&amp;M236)+N$3)-LEN(E236&amp;F236&amp;G236&amp;H236&amp;I236&amp;J236&amp;K236&amp;L236&amp;M236)-N$3))</f>
        <v/>
      </c>
      <c r="O236" s="14" t="s">
        <v>11</v>
      </c>
      <c r="P236" s="14" t="s">
        <v>11</v>
      </c>
      <c r="Q236" s="14" t="s">
        <v>11</v>
      </c>
      <c r="R236" s="14" t="s">
        <v>13</v>
      </c>
      <c r="S236" s="14" t="s">
        <v>11</v>
      </c>
      <c r="T236" s="14" t="s">
        <v>11</v>
      </c>
      <c r="U236" s="14" t="s">
        <v>11</v>
      </c>
      <c r="V236" s="14" t="s">
        <v>11</v>
      </c>
      <c r="W236" s="14" t="s">
        <v>11</v>
      </c>
      <c r="X236" s="14" t="s">
        <v>11</v>
      </c>
      <c r="Y236" s="14" t="str">
        <f t="shared" si="127"/>
        <v/>
      </c>
      <c r="Z236" s="14" t="str">
        <f t="shared" si="128"/>
        <v/>
      </c>
      <c r="AA236" s="15">
        <f t="shared" si="13"/>
        <v>0</v>
      </c>
      <c r="AB236" s="14" t="s">
        <v>11</v>
      </c>
      <c r="AC236" s="14" t="s">
        <v>41</v>
      </c>
      <c r="AD236" s="14" t="s">
        <v>11</v>
      </c>
      <c r="AE236" s="14" t="s">
        <v>11</v>
      </c>
      <c r="AF236" s="14" t="s">
        <v>13</v>
      </c>
      <c r="AG236" s="14" t="s">
        <v>11</v>
      </c>
      <c r="AH236" s="14" t="s">
        <v>11</v>
      </c>
      <c r="AI236" s="14" t="s">
        <v>11</v>
      </c>
      <c r="AJ236" s="14" t="s">
        <v>11</v>
      </c>
      <c r="AK236" s="14" t="s">
        <v>11</v>
      </c>
      <c r="AL236" s="14" t="str">
        <f t="shared" si="129"/>
        <v>T</v>
      </c>
      <c r="AM236" s="14" t="str">
        <f t="shared" si="130"/>
        <v>T</v>
      </c>
      <c r="AN236" s="14" t="str">
        <f t="shared" si="131"/>
        <v/>
      </c>
      <c r="AO236" s="14" t="str">
        <f t="shared" si="132"/>
        <v/>
      </c>
      <c r="AP236" s="14" t="str">
        <f t="shared" si="133"/>
        <v/>
      </c>
      <c r="AQ236" s="14" t="str">
        <f t="shared" si="125"/>
        <v/>
      </c>
      <c r="AR236" s="15">
        <f t="shared" si="18"/>
        <v>0</v>
      </c>
      <c r="AT236" s="17">
        <f t="shared" si="124"/>
        <v>0</v>
      </c>
    </row>
    <row r="237" spans="2:46" x14ac:dyDescent="0.2">
      <c r="B237" s="16"/>
      <c r="C237" s="15" t="s">
        <v>53</v>
      </c>
      <c r="D237" s="30" t="str">
        <f t="shared" si="126"/>
        <v/>
      </c>
      <c r="E237" s="14" t="str">
        <f t="shared" si="134"/>
        <v/>
      </c>
      <c r="F237" s="14" t="str">
        <f t="shared" si="135"/>
        <v/>
      </c>
      <c r="G237" s="14" t="str">
        <f t="shared" si="136"/>
        <v/>
      </c>
      <c r="H237" s="14" t="str">
        <f t="shared" si="137"/>
        <v/>
      </c>
      <c r="I237" s="14" t="str">
        <f t="shared" si="138"/>
        <v/>
      </c>
      <c r="J237" s="14" t="str">
        <f t="shared" si="139"/>
        <v/>
      </c>
      <c r="K237" s="14" t="str">
        <f t="shared" si="140"/>
        <v/>
      </c>
      <c r="L237" s="14" t="str">
        <f t="shared" si="141"/>
        <v/>
      </c>
      <c r="M237" s="14" t="str">
        <f t="shared" si="142"/>
        <v/>
      </c>
      <c r="N237" s="14" t="str">
        <f t="shared" si="143"/>
        <v/>
      </c>
      <c r="O237" s="14" t="s">
        <v>11</v>
      </c>
      <c r="P237" s="14" t="s">
        <v>11</v>
      </c>
      <c r="Q237" s="14" t="s">
        <v>11</v>
      </c>
      <c r="R237" s="14" t="s">
        <v>13</v>
      </c>
      <c r="S237" s="14" t="s">
        <v>11</v>
      </c>
      <c r="T237" s="14" t="s">
        <v>11</v>
      </c>
      <c r="U237" s="14" t="s">
        <v>11</v>
      </c>
      <c r="V237" s="14" t="s">
        <v>11</v>
      </c>
      <c r="W237" s="14" t="s">
        <v>11</v>
      </c>
      <c r="X237" s="14" t="s">
        <v>11</v>
      </c>
      <c r="Y237" s="14" t="str">
        <f t="shared" si="127"/>
        <v/>
      </c>
      <c r="Z237" s="14" t="str">
        <f t="shared" si="128"/>
        <v/>
      </c>
      <c r="AA237" s="15">
        <f t="shared" si="13"/>
        <v>0</v>
      </c>
      <c r="AB237" s="14" t="s">
        <v>11</v>
      </c>
      <c r="AC237" s="14" t="s">
        <v>11</v>
      </c>
      <c r="AD237" s="14" t="s">
        <v>11</v>
      </c>
      <c r="AE237" s="14" t="s">
        <v>11</v>
      </c>
      <c r="AF237" s="14" t="s">
        <v>13</v>
      </c>
      <c r="AG237" s="14" t="s">
        <v>11</v>
      </c>
      <c r="AH237" s="14" t="s">
        <v>11</v>
      </c>
      <c r="AI237" s="14" t="s">
        <v>11</v>
      </c>
      <c r="AJ237" s="14" t="s">
        <v>11</v>
      </c>
      <c r="AK237" s="14" t="s">
        <v>11</v>
      </c>
      <c r="AL237" s="14" t="str">
        <f t="shared" si="129"/>
        <v>T</v>
      </c>
      <c r="AM237" s="14" t="str">
        <f t="shared" si="130"/>
        <v>T</v>
      </c>
      <c r="AN237" s="14" t="str">
        <f t="shared" si="131"/>
        <v/>
      </c>
      <c r="AO237" s="14" t="str">
        <f t="shared" si="132"/>
        <v/>
      </c>
      <c r="AP237" s="14" t="str">
        <f t="shared" si="133"/>
        <v/>
      </c>
      <c r="AQ237" s="14" t="str">
        <f t="shared" si="125"/>
        <v/>
      </c>
      <c r="AR237" s="15">
        <f t="shared" si="18"/>
        <v>0</v>
      </c>
      <c r="AT237" s="17">
        <f t="shared" si="124"/>
        <v>0</v>
      </c>
    </row>
    <row r="238" spans="2:46" x14ac:dyDescent="0.2">
      <c r="B238" s="16"/>
      <c r="C238" s="15" t="s">
        <v>53</v>
      </c>
      <c r="D238" s="30" t="str">
        <f t="shared" si="126"/>
        <v/>
      </c>
      <c r="E238" s="14" t="str">
        <f t="shared" si="134"/>
        <v/>
      </c>
      <c r="F238" s="14" t="str">
        <f t="shared" si="135"/>
        <v/>
      </c>
      <c r="G238" s="14" t="str">
        <f t="shared" si="136"/>
        <v/>
      </c>
      <c r="H238" s="14" t="str">
        <f t="shared" si="137"/>
        <v/>
      </c>
      <c r="I238" s="14" t="str">
        <f t="shared" si="138"/>
        <v/>
      </c>
      <c r="J238" s="14" t="str">
        <f t="shared" si="139"/>
        <v/>
      </c>
      <c r="K238" s="14" t="str">
        <f t="shared" si="140"/>
        <v/>
      </c>
      <c r="L238" s="14" t="str">
        <f t="shared" si="141"/>
        <v/>
      </c>
      <c r="M238" s="14" t="str">
        <f t="shared" si="142"/>
        <v/>
      </c>
      <c r="N238" s="14" t="str">
        <f t="shared" si="143"/>
        <v/>
      </c>
      <c r="O238" s="14" t="s">
        <v>11</v>
      </c>
      <c r="P238" s="14" t="s">
        <v>11</v>
      </c>
      <c r="Q238" s="14" t="s">
        <v>11</v>
      </c>
      <c r="R238" s="14" t="s">
        <v>13</v>
      </c>
      <c r="S238" s="14" t="s">
        <v>11</v>
      </c>
      <c r="T238" s="14" t="s">
        <v>11</v>
      </c>
      <c r="U238" s="14" t="s">
        <v>11</v>
      </c>
      <c r="V238" s="14" t="s">
        <v>11</v>
      </c>
      <c r="W238" s="14" t="s">
        <v>11</v>
      </c>
      <c r="X238" s="14" t="s">
        <v>11</v>
      </c>
      <c r="Y238" s="14" t="str">
        <f t="shared" si="127"/>
        <v/>
      </c>
      <c r="Z238" s="14" t="str">
        <f t="shared" si="128"/>
        <v/>
      </c>
      <c r="AA238" s="15">
        <f t="shared" si="13"/>
        <v>0</v>
      </c>
      <c r="AB238" s="14" t="s">
        <v>11</v>
      </c>
      <c r="AC238" s="14" t="s">
        <v>11</v>
      </c>
      <c r="AD238" s="14" t="s">
        <v>11</v>
      </c>
      <c r="AE238" s="14" t="s">
        <v>11</v>
      </c>
      <c r="AF238" s="14" t="s">
        <v>13</v>
      </c>
      <c r="AG238" s="14" t="s">
        <v>11</v>
      </c>
      <c r="AH238" s="14" t="s">
        <v>11</v>
      </c>
      <c r="AI238" s="14" t="s">
        <v>11</v>
      </c>
      <c r="AJ238" s="14" t="s">
        <v>11</v>
      </c>
      <c r="AK238" s="14" t="s">
        <v>11</v>
      </c>
      <c r="AL238" s="14" t="str">
        <f t="shared" si="129"/>
        <v>T</v>
      </c>
      <c r="AM238" s="14" t="str">
        <f t="shared" si="130"/>
        <v>T</v>
      </c>
      <c r="AN238" s="14" t="str">
        <f t="shared" si="131"/>
        <v/>
      </c>
      <c r="AO238" s="14" t="str">
        <f t="shared" si="132"/>
        <v/>
      </c>
      <c r="AP238" s="14" t="str">
        <f t="shared" si="133"/>
        <v/>
      </c>
      <c r="AQ238" s="14" t="str">
        <f t="shared" si="125"/>
        <v/>
      </c>
      <c r="AR238" s="15">
        <f t="shared" si="18"/>
        <v>0</v>
      </c>
      <c r="AT238" s="17">
        <f t="shared" si="124"/>
        <v>0</v>
      </c>
    </row>
    <row r="239" spans="2:46" x14ac:dyDescent="0.2">
      <c r="B239" s="16"/>
      <c r="C239" s="15" t="s">
        <v>53</v>
      </c>
      <c r="D239" s="30" t="str">
        <f t="shared" si="126"/>
        <v/>
      </c>
      <c r="E239" s="14" t="str">
        <f t="shared" si="134"/>
        <v/>
      </c>
      <c r="F239" s="14" t="str">
        <f t="shared" si="135"/>
        <v/>
      </c>
      <c r="G239" s="14" t="str">
        <f t="shared" si="136"/>
        <v/>
      </c>
      <c r="H239" s="14" t="str">
        <f t="shared" si="137"/>
        <v/>
      </c>
      <c r="I239" s="14" t="str">
        <f t="shared" si="138"/>
        <v/>
      </c>
      <c r="J239" s="14" t="str">
        <f t="shared" si="139"/>
        <v/>
      </c>
      <c r="K239" s="14" t="str">
        <f t="shared" si="140"/>
        <v/>
      </c>
      <c r="L239" s="14" t="str">
        <f t="shared" si="141"/>
        <v/>
      </c>
      <c r="M239" s="14" t="str">
        <f t="shared" si="142"/>
        <v/>
      </c>
      <c r="N239" s="14" t="str">
        <f t="shared" si="143"/>
        <v/>
      </c>
      <c r="O239" s="14" t="s">
        <v>11</v>
      </c>
      <c r="P239" s="14" t="s">
        <v>11</v>
      </c>
      <c r="Q239" s="14" t="s">
        <v>11</v>
      </c>
      <c r="R239" s="14" t="s">
        <v>13</v>
      </c>
      <c r="S239" s="14" t="s">
        <v>11</v>
      </c>
      <c r="T239" s="14" t="s">
        <v>11</v>
      </c>
      <c r="U239" s="14" t="s">
        <v>11</v>
      </c>
      <c r="V239" s="14" t="s">
        <v>11</v>
      </c>
      <c r="W239" s="14" t="s">
        <v>11</v>
      </c>
      <c r="X239" s="14" t="s">
        <v>11</v>
      </c>
      <c r="Y239" s="14" t="str">
        <f t="shared" si="127"/>
        <v/>
      </c>
      <c r="Z239" s="14" t="str">
        <f t="shared" si="128"/>
        <v/>
      </c>
      <c r="AA239" s="15">
        <f t="shared" si="13"/>
        <v>0</v>
      </c>
      <c r="AB239" s="14" t="s">
        <v>11</v>
      </c>
      <c r="AC239" s="14" t="s">
        <v>11</v>
      </c>
      <c r="AD239" s="14" t="s">
        <v>11</v>
      </c>
      <c r="AE239" s="14" t="s">
        <v>11</v>
      </c>
      <c r="AF239" s="14" t="s">
        <v>13</v>
      </c>
      <c r="AG239" s="14" t="s">
        <v>11</v>
      </c>
      <c r="AH239" s="14" t="s">
        <v>11</v>
      </c>
      <c r="AI239" s="14" t="s">
        <v>11</v>
      </c>
      <c r="AJ239" s="14" t="s">
        <v>11</v>
      </c>
      <c r="AK239" s="14" t="s">
        <v>11</v>
      </c>
      <c r="AL239" s="14" t="str">
        <f t="shared" si="129"/>
        <v>T</v>
      </c>
      <c r="AM239" s="14" t="str">
        <f t="shared" si="130"/>
        <v>T</v>
      </c>
      <c r="AN239" s="14" t="str">
        <f t="shared" si="131"/>
        <v/>
      </c>
      <c r="AO239" s="14" t="str">
        <f t="shared" si="132"/>
        <v/>
      </c>
      <c r="AP239" s="14" t="str">
        <f t="shared" si="133"/>
        <v/>
      </c>
      <c r="AQ239" s="14" t="str">
        <f t="shared" si="125"/>
        <v/>
      </c>
      <c r="AR239" s="15">
        <f t="shared" si="18"/>
        <v>0</v>
      </c>
      <c r="AT239" s="17">
        <f t="shared" si="124"/>
        <v>0</v>
      </c>
    </row>
    <row r="240" spans="2:46" x14ac:dyDescent="0.2">
      <c r="B240" s="16"/>
      <c r="C240" s="15" t="s">
        <v>53</v>
      </c>
      <c r="D240" s="30" t="str">
        <f t="shared" si="126"/>
        <v/>
      </c>
      <c r="E240" s="14" t="str">
        <f t="shared" si="134"/>
        <v/>
      </c>
      <c r="F240" s="14" t="str">
        <f t="shared" si="135"/>
        <v/>
      </c>
      <c r="G240" s="14" t="str">
        <f t="shared" si="136"/>
        <v/>
      </c>
      <c r="H240" s="14" t="str">
        <f t="shared" si="137"/>
        <v/>
      </c>
      <c r="I240" s="14" t="str">
        <f t="shared" si="138"/>
        <v/>
      </c>
      <c r="J240" s="14" t="str">
        <f t="shared" si="139"/>
        <v/>
      </c>
      <c r="K240" s="14" t="str">
        <f t="shared" si="140"/>
        <v/>
      </c>
      <c r="L240" s="14" t="str">
        <f t="shared" si="141"/>
        <v/>
      </c>
      <c r="M240" s="14" t="str">
        <f t="shared" si="142"/>
        <v/>
      </c>
      <c r="N240" s="14" t="str">
        <f t="shared" si="143"/>
        <v/>
      </c>
      <c r="O240" s="14" t="s">
        <v>11</v>
      </c>
      <c r="P240" s="14" t="s">
        <v>11</v>
      </c>
      <c r="Q240" s="14" t="s">
        <v>11</v>
      </c>
      <c r="R240" s="14" t="s">
        <v>13</v>
      </c>
      <c r="S240" s="14" t="s">
        <v>11</v>
      </c>
      <c r="T240" s="14" t="s">
        <v>11</v>
      </c>
      <c r="U240" s="14" t="s">
        <v>11</v>
      </c>
      <c r="V240" s="14" t="s">
        <v>11</v>
      </c>
      <c r="W240" s="14" t="s">
        <v>11</v>
      </c>
      <c r="X240" s="14" t="s">
        <v>11</v>
      </c>
      <c r="Y240" s="14" t="str">
        <f t="shared" si="127"/>
        <v/>
      </c>
      <c r="Z240" s="14" t="str">
        <f t="shared" si="128"/>
        <v/>
      </c>
      <c r="AA240" s="15">
        <f t="shared" si="13"/>
        <v>0</v>
      </c>
      <c r="AB240" s="14" t="s">
        <v>11</v>
      </c>
      <c r="AC240" s="14" t="s">
        <v>11</v>
      </c>
      <c r="AD240" s="14" t="s">
        <v>11</v>
      </c>
      <c r="AE240" s="14" t="s">
        <v>11</v>
      </c>
      <c r="AF240" s="14" t="s">
        <v>13</v>
      </c>
      <c r="AG240" s="14" t="s">
        <v>11</v>
      </c>
      <c r="AH240" s="14" t="s">
        <v>11</v>
      </c>
      <c r="AI240" s="14" t="s">
        <v>11</v>
      </c>
      <c r="AJ240" s="14" t="s">
        <v>11</v>
      </c>
      <c r="AK240" s="14" t="s">
        <v>11</v>
      </c>
      <c r="AL240" s="14" t="str">
        <f t="shared" si="129"/>
        <v>T</v>
      </c>
      <c r="AM240" s="14" t="str">
        <f t="shared" si="130"/>
        <v>T</v>
      </c>
      <c r="AN240" s="14" t="str">
        <f t="shared" si="131"/>
        <v/>
      </c>
      <c r="AO240" s="14" t="str">
        <f t="shared" si="132"/>
        <v/>
      </c>
      <c r="AP240" s="14" t="str">
        <f t="shared" si="133"/>
        <v/>
      </c>
      <c r="AQ240" s="14" t="str">
        <f t="shared" si="125"/>
        <v/>
      </c>
      <c r="AR240" s="15">
        <f t="shared" si="18"/>
        <v>0</v>
      </c>
      <c r="AT240" s="17">
        <f t="shared" si="124"/>
        <v>0</v>
      </c>
    </row>
    <row r="241" spans="2:46" x14ac:dyDescent="0.2">
      <c r="B241" s="16"/>
      <c r="C241" s="15" t="s">
        <v>53</v>
      </c>
      <c r="D241" s="30" t="str">
        <f t="shared" si="126"/>
        <v/>
      </c>
      <c r="E241" s="14" t="str">
        <f t="shared" si="134"/>
        <v/>
      </c>
      <c r="F241" s="14" t="str">
        <f t="shared" si="135"/>
        <v/>
      </c>
      <c r="G241" s="14" t="str">
        <f t="shared" si="136"/>
        <v/>
      </c>
      <c r="H241" s="14" t="str">
        <f t="shared" si="137"/>
        <v/>
      </c>
      <c r="I241" s="14" t="str">
        <f t="shared" si="138"/>
        <v/>
      </c>
      <c r="J241" s="14" t="str">
        <f t="shared" si="139"/>
        <v/>
      </c>
      <c r="K241" s="14" t="str">
        <f t="shared" si="140"/>
        <v/>
      </c>
      <c r="L241" s="14" t="str">
        <f t="shared" si="141"/>
        <v/>
      </c>
      <c r="M241" s="14" t="str">
        <f t="shared" si="142"/>
        <v/>
      </c>
      <c r="N241" s="14" t="str">
        <f t="shared" si="143"/>
        <v/>
      </c>
      <c r="O241" s="14" t="s">
        <v>11</v>
      </c>
      <c r="P241" s="14" t="s">
        <v>11</v>
      </c>
      <c r="Q241" s="14" t="s">
        <v>11</v>
      </c>
      <c r="R241" s="14" t="s">
        <v>13</v>
      </c>
      <c r="S241" s="14" t="s">
        <v>11</v>
      </c>
      <c r="T241" s="14" t="s">
        <v>11</v>
      </c>
      <c r="U241" s="14" t="s">
        <v>11</v>
      </c>
      <c r="V241" s="14" t="s">
        <v>11</v>
      </c>
      <c r="W241" s="14" t="s">
        <v>11</v>
      </c>
      <c r="X241" s="14" t="s">
        <v>11</v>
      </c>
      <c r="Y241" s="14" t="str">
        <f t="shared" si="127"/>
        <v/>
      </c>
      <c r="Z241" s="14" t="str">
        <f t="shared" si="128"/>
        <v/>
      </c>
      <c r="AA241" s="15">
        <f t="shared" si="13"/>
        <v>0</v>
      </c>
      <c r="AB241" s="14" t="s">
        <v>11</v>
      </c>
      <c r="AC241" s="14" t="s">
        <v>11</v>
      </c>
      <c r="AD241" s="14" t="s">
        <v>11</v>
      </c>
      <c r="AE241" s="14" t="s">
        <v>11</v>
      </c>
      <c r="AF241" s="14" t="s">
        <v>13</v>
      </c>
      <c r="AG241" s="14" t="s">
        <v>11</v>
      </c>
      <c r="AH241" s="14" t="s">
        <v>11</v>
      </c>
      <c r="AI241" s="14" t="s">
        <v>11</v>
      </c>
      <c r="AJ241" s="14" t="s">
        <v>11</v>
      </c>
      <c r="AK241" s="14" t="s">
        <v>11</v>
      </c>
      <c r="AL241" s="14" t="str">
        <f t="shared" si="129"/>
        <v>T</v>
      </c>
      <c r="AM241" s="14" t="str">
        <f t="shared" si="130"/>
        <v>T</v>
      </c>
      <c r="AN241" s="14" t="str">
        <f t="shared" si="131"/>
        <v/>
      </c>
      <c r="AO241" s="14" t="str">
        <f t="shared" si="132"/>
        <v/>
      </c>
      <c r="AP241" s="14" t="str">
        <f t="shared" si="133"/>
        <v/>
      </c>
      <c r="AQ241" s="14" t="str">
        <f t="shared" si="125"/>
        <v/>
      </c>
      <c r="AR241" s="15">
        <f t="shared" si="18"/>
        <v>0</v>
      </c>
      <c r="AT241" s="17">
        <f t="shared" si="124"/>
        <v>0</v>
      </c>
    </row>
    <row r="242" spans="2:46" x14ac:dyDescent="0.2">
      <c r="B242" s="16"/>
      <c r="C242" s="15" t="s">
        <v>53</v>
      </c>
      <c r="D242" s="30" t="str">
        <f t="shared" si="126"/>
        <v/>
      </c>
      <c r="E242" s="14" t="str">
        <f t="shared" si="134"/>
        <v/>
      </c>
      <c r="F242" s="14" t="str">
        <f t="shared" si="135"/>
        <v/>
      </c>
      <c r="G242" s="14" t="str">
        <f t="shared" si="136"/>
        <v/>
      </c>
      <c r="H242" s="14" t="str">
        <f t="shared" si="137"/>
        <v/>
      </c>
      <c r="I242" s="14" t="str">
        <f t="shared" si="138"/>
        <v/>
      </c>
      <c r="J242" s="14" t="str">
        <f t="shared" si="139"/>
        <v/>
      </c>
      <c r="K242" s="14" t="str">
        <f t="shared" si="140"/>
        <v/>
      </c>
      <c r="L242" s="14" t="str">
        <f t="shared" si="141"/>
        <v/>
      </c>
      <c r="M242" s="14" t="str">
        <f t="shared" si="142"/>
        <v/>
      </c>
      <c r="N242" s="14" t="str">
        <f t="shared" si="143"/>
        <v/>
      </c>
      <c r="O242" s="14" t="s">
        <v>11</v>
      </c>
      <c r="P242" s="14" t="s">
        <v>11</v>
      </c>
      <c r="Q242" s="14" t="s">
        <v>11</v>
      </c>
      <c r="R242" s="14" t="s">
        <v>13</v>
      </c>
      <c r="S242" s="14" t="s">
        <v>11</v>
      </c>
      <c r="T242" s="14" t="s">
        <v>11</v>
      </c>
      <c r="U242" s="14" t="s">
        <v>11</v>
      </c>
      <c r="V242" s="14" t="s">
        <v>11</v>
      </c>
      <c r="W242" s="14" t="s">
        <v>11</v>
      </c>
      <c r="X242" s="14" t="s">
        <v>11</v>
      </c>
      <c r="Y242" s="14" t="str">
        <f t="shared" si="127"/>
        <v/>
      </c>
      <c r="Z242" s="14" t="str">
        <f t="shared" si="128"/>
        <v/>
      </c>
      <c r="AA242" s="15">
        <f t="shared" si="13"/>
        <v>0</v>
      </c>
      <c r="AB242" s="14" t="s">
        <v>11</v>
      </c>
      <c r="AC242" s="14" t="s">
        <v>11</v>
      </c>
      <c r="AD242" s="14" t="s">
        <v>11</v>
      </c>
      <c r="AE242" s="14" t="s">
        <v>11</v>
      </c>
      <c r="AF242" s="14" t="s">
        <v>13</v>
      </c>
      <c r="AG242" s="14" t="s">
        <v>11</v>
      </c>
      <c r="AH242" s="14" t="s">
        <v>11</v>
      </c>
      <c r="AI242" s="14" t="s">
        <v>11</v>
      </c>
      <c r="AJ242" s="14" t="s">
        <v>11</v>
      </c>
      <c r="AK242" s="14" t="s">
        <v>11</v>
      </c>
      <c r="AL242" s="14" t="str">
        <f t="shared" si="129"/>
        <v>T</v>
      </c>
      <c r="AM242" s="14" t="str">
        <f t="shared" si="130"/>
        <v>T</v>
      </c>
      <c r="AN242" s="14" t="str">
        <f t="shared" si="131"/>
        <v/>
      </c>
      <c r="AO242" s="14" t="str">
        <f t="shared" si="132"/>
        <v/>
      </c>
      <c r="AP242" s="14" t="str">
        <f t="shared" si="133"/>
        <v/>
      </c>
      <c r="AQ242" s="14" t="str">
        <f t="shared" si="125"/>
        <v/>
      </c>
      <c r="AR242" s="15">
        <f t="shared" si="18"/>
        <v>0</v>
      </c>
      <c r="AT242" s="17">
        <f t="shared" si="124"/>
        <v>0</v>
      </c>
    </row>
    <row r="243" spans="2:46" x14ac:dyDescent="0.2">
      <c r="B243" s="16"/>
      <c r="C243" s="15" t="s">
        <v>53</v>
      </c>
      <c r="D243" s="30" t="str">
        <f t="shared" si="126"/>
        <v/>
      </c>
      <c r="E243" s="14" t="str">
        <f t="shared" si="134"/>
        <v/>
      </c>
      <c r="F243" s="14" t="str">
        <f t="shared" si="135"/>
        <v/>
      </c>
      <c r="G243" s="14" t="str">
        <f t="shared" si="136"/>
        <v/>
      </c>
      <c r="H243" s="14" t="str">
        <f t="shared" si="137"/>
        <v/>
      </c>
      <c r="I243" s="14" t="str">
        <f t="shared" si="138"/>
        <v/>
      </c>
      <c r="J243" s="14" t="str">
        <f t="shared" si="139"/>
        <v/>
      </c>
      <c r="K243" s="14" t="str">
        <f t="shared" si="140"/>
        <v/>
      </c>
      <c r="L243" s="14" t="str">
        <f t="shared" si="141"/>
        <v/>
      </c>
      <c r="M243" s="14" t="str">
        <f t="shared" si="142"/>
        <v/>
      </c>
      <c r="N243" s="14" t="str">
        <f t="shared" si="143"/>
        <v/>
      </c>
      <c r="O243" s="14" t="s">
        <v>11</v>
      </c>
      <c r="P243" s="14" t="s">
        <v>11</v>
      </c>
      <c r="Q243" s="14" t="s">
        <v>11</v>
      </c>
      <c r="R243" s="14" t="s">
        <v>13</v>
      </c>
      <c r="S243" s="14" t="s">
        <v>11</v>
      </c>
      <c r="T243" s="14" t="s">
        <v>11</v>
      </c>
      <c r="U243" s="14" t="s">
        <v>11</v>
      </c>
      <c r="V243" s="14" t="s">
        <v>11</v>
      </c>
      <c r="W243" s="14" t="s">
        <v>11</v>
      </c>
      <c r="X243" s="14" t="s">
        <v>11</v>
      </c>
      <c r="Y243" s="14" t="str">
        <f t="shared" si="127"/>
        <v/>
      </c>
      <c r="Z243" s="14" t="str">
        <f t="shared" si="128"/>
        <v/>
      </c>
      <c r="AA243" s="15">
        <f t="shared" si="13"/>
        <v>0</v>
      </c>
      <c r="AB243" s="14" t="s">
        <v>11</v>
      </c>
      <c r="AC243" s="14" t="s">
        <v>11</v>
      </c>
      <c r="AD243" s="14" t="s">
        <v>11</v>
      </c>
      <c r="AE243" s="14" t="s">
        <v>11</v>
      </c>
      <c r="AF243" s="14" t="s">
        <v>13</v>
      </c>
      <c r="AG243" s="14" t="s">
        <v>11</v>
      </c>
      <c r="AH243" s="14" t="s">
        <v>11</v>
      </c>
      <c r="AI243" s="14" t="s">
        <v>11</v>
      </c>
      <c r="AJ243" s="14" t="s">
        <v>11</v>
      </c>
      <c r="AK243" s="14" t="s">
        <v>11</v>
      </c>
      <c r="AL243" s="14" t="str">
        <f t="shared" si="129"/>
        <v>T</v>
      </c>
      <c r="AM243" s="14" t="str">
        <f t="shared" si="130"/>
        <v>T</v>
      </c>
      <c r="AN243" s="14" t="str">
        <f t="shared" si="131"/>
        <v/>
      </c>
      <c r="AO243" s="14" t="str">
        <f t="shared" si="132"/>
        <v/>
      </c>
      <c r="AP243" s="14" t="str">
        <f t="shared" si="133"/>
        <v/>
      </c>
      <c r="AQ243" s="14" t="str">
        <f t="shared" si="125"/>
        <v/>
      </c>
      <c r="AR243" s="15">
        <f t="shared" si="18"/>
        <v>0</v>
      </c>
      <c r="AT243" s="17">
        <f t="shared" si="124"/>
        <v>0</v>
      </c>
    </row>
    <row r="244" spans="2:46" x14ac:dyDescent="0.2">
      <c r="B244" s="16"/>
      <c r="C244" s="15" t="s">
        <v>53</v>
      </c>
      <c r="D244" s="30" t="str">
        <f t="shared" si="126"/>
        <v/>
      </c>
      <c r="E244" s="14" t="str">
        <f t="shared" si="134"/>
        <v/>
      </c>
      <c r="F244" s="14" t="str">
        <f t="shared" si="135"/>
        <v/>
      </c>
      <c r="G244" s="14" t="str">
        <f t="shared" si="136"/>
        <v/>
      </c>
      <c r="H244" s="14" t="str">
        <f t="shared" si="137"/>
        <v/>
      </c>
      <c r="I244" s="14" t="str">
        <f t="shared" si="138"/>
        <v/>
      </c>
      <c r="J244" s="14" t="str">
        <f t="shared" si="139"/>
        <v/>
      </c>
      <c r="K244" s="14" t="str">
        <f t="shared" si="140"/>
        <v/>
      </c>
      <c r="L244" s="14" t="str">
        <f t="shared" si="141"/>
        <v/>
      </c>
      <c r="M244" s="14" t="str">
        <f t="shared" si="142"/>
        <v/>
      </c>
      <c r="N244" s="14" t="str">
        <f t="shared" si="143"/>
        <v/>
      </c>
      <c r="O244" s="14" t="s">
        <v>11</v>
      </c>
      <c r="P244" s="14" t="s">
        <v>11</v>
      </c>
      <c r="Q244" s="14" t="s">
        <v>11</v>
      </c>
      <c r="R244" s="14" t="s">
        <v>13</v>
      </c>
      <c r="S244" s="14" t="s">
        <v>11</v>
      </c>
      <c r="T244" s="14" t="s">
        <v>11</v>
      </c>
      <c r="U244" s="14" t="s">
        <v>11</v>
      </c>
      <c r="V244" s="14" t="s">
        <v>11</v>
      </c>
      <c r="W244" s="14" t="s">
        <v>11</v>
      </c>
      <c r="X244" s="14" t="s">
        <v>11</v>
      </c>
      <c r="Y244" s="14" t="str">
        <f t="shared" si="127"/>
        <v/>
      </c>
      <c r="Z244" s="14" t="str">
        <f t="shared" si="128"/>
        <v/>
      </c>
      <c r="AA244" s="15">
        <f t="shared" si="13"/>
        <v>0</v>
      </c>
      <c r="AB244" s="14" t="s">
        <v>11</v>
      </c>
      <c r="AC244" s="14" t="s">
        <v>11</v>
      </c>
      <c r="AD244" s="14" t="s">
        <v>11</v>
      </c>
      <c r="AE244" s="14" t="s">
        <v>11</v>
      </c>
      <c r="AF244" s="14" t="s">
        <v>13</v>
      </c>
      <c r="AG244" s="14" t="s">
        <v>11</v>
      </c>
      <c r="AH244" s="14" t="s">
        <v>11</v>
      </c>
      <c r="AI244" s="14" t="s">
        <v>11</v>
      </c>
      <c r="AJ244" s="14" t="s">
        <v>11</v>
      </c>
      <c r="AK244" s="14" t="s">
        <v>11</v>
      </c>
      <c r="AL244" s="14" t="str">
        <f t="shared" si="129"/>
        <v>T</v>
      </c>
      <c r="AM244" s="14" t="str">
        <f t="shared" si="130"/>
        <v>T</v>
      </c>
      <c r="AN244" s="14" t="str">
        <f t="shared" si="131"/>
        <v/>
      </c>
      <c r="AO244" s="14" t="str">
        <f t="shared" si="132"/>
        <v/>
      </c>
      <c r="AP244" s="14" t="str">
        <f t="shared" si="133"/>
        <v/>
      </c>
      <c r="AQ244" s="14" t="str">
        <f t="shared" si="125"/>
        <v/>
      </c>
      <c r="AR244" s="15">
        <f t="shared" si="18"/>
        <v>0</v>
      </c>
      <c r="AT244" s="17">
        <f t="shared" si="124"/>
        <v>0</v>
      </c>
    </row>
    <row r="245" spans="2:46" x14ac:dyDescent="0.2">
      <c r="B245" s="16"/>
      <c r="C245" s="15" t="s">
        <v>53</v>
      </c>
      <c r="D245" s="30" t="str">
        <f t="shared" si="126"/>
        <v/>
      </c>
      <c r="E245" s="14" t="str">
        <f t="shared" si="134"/>
        <v/>
      </c>
      <c r="F245" s="14" t="str">
        <f t="shared" si="135"/>
        <v/>
      </c>
      <c r="G245" s="14" t="str">
        <f t="shared" si="136"/>
        <v/>
      </c>
      <c r="H245" s="14" t="str">
        <f t="shared" si="137"/>
        <v/>
      </c>
      <c r="I245" s="14" t="str">
        <f t="shared" si="138"/>
        <v/>
      </c>
      <c r="J245" s="14" t="str">
        <f t="shared" si="139"/>
        <v/>
      </c>
      <c r="K245" s="14" t="str">
        <f t="shared" si="140"/>
        <v/>
      </c>
      <c r="L245" s="14" t="str">
        <f t="shared" si="141"/>
        <v/>
      </c>
      <c r="M245" s="14" t="str">
        <f t="shared" si="142"/>
        <v/>
      </c>
      <c r="N245" s="14" t="str">
        <f t="shared" si="143"/>
        <v/>
      </c>
      <c r="O245" s="14" t="s">
        <v>11</v>
      </c>
      <c r="P245" s="14" t="s">
        <v>11</v>
      </c>
      <c r="Q245" s="14" t="s">
        <v>11</v>
      </c>
      <c r="R245" s="14" t="s">
        <v>13</v>
      </c>
      <c r="S245" s="14" t="s">
        <v>11</v>
      </c>
      <c r="T245" s="14" t="s">
        <v>11</v>
      </c>
      <c r="U245" s="14" t="s">
        <v>11</v>
      </c>
      <c r="V245" s="14" t="s">
        <v>11</v>
      </c>
      <c r="W245" s="14" t="s">
        <v>11</v>
      </c>
      <c r="X245" s="14" t="s">
        <v>11</v>
      </c>
      <c r="Y245" s="14" t="str">
        <f t="shared" si="127"/>
        <v/>
      </c>
      <c r="Z245" s="14" t="str">
        <f t="shared" si="128"/>
        <v/>
      </c>
      <c r="AA245" s="15">
        <f t="shared" si="13"/>
        <v>0</v>
      </c>
      <c r="AB245" s="14" t="s">
        <v>11</v>
      </c>
      <c r="AC245" s="14" t="s">
        <v>11</v>
      </c>
      <c r="AD245" s="14" t="s">
        <v>11</v>
      </c>
      <c r="AE245" s="14" t="s">
        <v>11</v>
      </c>
      <c r="AF245" s="14" t="s">
        <v>13</v>
      </c>
      <c r="AG245" s="14" t="s">
        <v>11</v>
      </c>
      <c r="AH245" s="14" t="s">
        <v>11</v>
      </c>
      <c r="AI245" s="14" t="s">
        <v>11</v>
      </c>
      <c r="AJ245" s="14" t="s">
        <v>11</v>
      </c>
      <c r="AK245" s="14" t="s">
        <v>11</v>
      </c>
      <c r="AL245" s="14" t="str">
        <f t="shared" si="129"/>
        <v>T</v>
      </c>
      <c r="AM245" s="14" t="str">
        <f t="shared" si="130"/>
        <v>T</v>
      </c>
      <c r="AN245" s="14" t="str">
        <f t="shared" si="131"/>
        <v/>
      </c>
      <c r="AO245" s="14" t="str">
        <f t="shared" si="132"/>
        <v/>
      </c>
      <c r="AP245" s="14" t="str">
        <f t="shared" si="133"/>
        <v/>
      </c>
      <c r="AQ245" s="14" t="str">
        <f t="shared" si="125"/>
        <v/>
      </c>
      <c r="AR245" s="15">
        <f t="shared" si="18"/>
        <v>0</v>
      </c>
      <c r="AT245" s="17">
        <f t="shared" si="124"/>
        <v>0</v>
      </c>
    </row>
    <row r="246" spans="2:46" x14ac:dyDescent="0.2">
      <c r="B246" s="16"/>
      <c r="C246" s="15" t="s">
        <v>53</v>
      </c>
      <c r="D246" s="30" t="str">
        <f t="shared" si="126"/>
        <v/>
      </c>
      <c r="E246" s="14" t="str">
        <f t="shared" si="134"/>
        <v/>
      </c>
      <c r="F246" s="14" t="str">
        <f t="shared" si="135"/>
        <v/>
      </c>
      <c r="G246" s="14" t="str">
        <f t="shared" si="136"/>
        <v/>
      </c>
      <c r="H246" s="14" t="str">
        <f t="shared" si="137"/>
        <v/>
      </c>
      <c r="I246" s="14" t="str">
        <f t="shared" si="138"/>
        <v/>
      </c>
      <c r="J246" s="14" t="str">
        <f t="shared" si="139"/>
        <v/>
      </c>
      <c r="K246" s="14" t="str">
        <f t="shared" si="140"/>
        <v/>
      </c>
      <c r="L246" s="14" t="str">
        <f t="shared" si="141"/>
        <v/>
      </c>
      <c r="M246" s="14" t="str">
        <f t="shared" si="142"/>
        <v/>
      </c>
      <c r="N246" s="14" t="str">
        <f t="shared" si="143"/>
        <v/>
      </c>
      <c r="O246" s="14" t="s">
        <v>11</v>
      </c>
      <c r="P246" s="14" t="s">
        <v>11</v>
      </c>
      <c r="Q246" s="14" t="s">
        <v>11</v>
      </c>
      <c r="R246" s="14" t="s">
        <v>13</v>
      </c>
      <c r="S246" s="14" t="s">
        <v>11</v>
      </c>
      <c r="T246" s="14" t="s">
        <v>11</v>
      </c>
      <c r="U246" s="14" t="s">
        <v>11</v>
      </c>
      <c r="V246" s="14" t="s">
        <v>11</v>
      </c>
      <c r="W246" s="14" t="s">
        <v>11</v>
      </c>
      <c r="X246" s="14" t="s">
        <v>11</v>
      </c>
      <c r="Y246" s="14" t="str">
        <f t="shared" si="127"/>
        <v/>
      </c>
      <c r="Z246" s="14" t="str">
        <f t="shared" si="128"/>
        <v/>
      </c>
      <c r="AA246" s="15">
        <f t="shared" si="13"/>
        <v>0</v>
      </c>
      <c r="AB246" s="14" t="s">
        <v>11</v>
      </c>
      <c r="AC246" s="14" t="s">
        <v>11</v>
      </c>
      <c r="AD246" s="14" t="s">
        <v>11</v>
      </c>
      <c r="AE246" s="14" t="s">
        <v>11</v>
      </c>
      <c r="AF246" s="14" t="s">
        <v>13</v>
      </c>
      <c r="AG246" s="14" t="s">
        <v>11</v>
      </c>
      <c r="AH246" s="14" t="s">
        <v>11</v>
      </c>
      <c r="AI246" s="14" t="s">
        <v>11</v>
      </c>
      <c r="AJ246" s="14" t="s">
        <v>11</v>
      </c>
      <c r="AK246" s="14" t="s">
        <v>11</v>
      </c>
      <c r="AL246" s="14" t="str">
        <f t="shared" si="129"/>
        <v>T</v>
      </c>
      <c r="AM246" s="14" t="str">
        <f t="shared" si="130"/>
        <v>T</v>
      </c>
      <c r="AN246" s="14" t="str">
        <f t="shared" si="131"/>
        <v/>
      </c>
      <c r="AO246" s="14" t="str">
        <f t="shared" si="132"/>
        <v/>
      </c>
      <c r="AP246" s="14" t="str">
        <f t="shared" si="133"/>
        <v/>
      </c>
      <c r="AQ246" s="14" t="str">
        <f t="shared" si="125"/>
        <v/>
      </c>
      <c r="AR246" s="15">
        <f t="shared" si="18"/>
        <v>0</v>
      </c>
      <c r="AT246" s="17">
        <f t="shared" si="124"/>
        <v>0</v>
      </c>
    </row>
    <row r="247" spans="2:46" x14ac:dyDescent="0.2">
      <c r="B247" s="16"/>
      <c r="C247" s="15" t="s">
        <v>53</v>
      </c>
      <c r="D247" s="30" t="str">
        <f t="shared" si="126"/>
        <v/>
      </c>
      <c r="E247" s="14" t="str">
        <f t="shared" si="134"/>
        <v/>
      </c>
      <c r="F247" s="14" t="str">
        <f t="shared" si="135"/>
        <v/>
      </c>
      <c r="G247" s="14" t="str">
        <f t="shared" si="136"/>
        <v/>
      </c>
      <c r="H247" s="14" t="str">
        <f t="shared" si="137"/>
        <v/>
      </c>
      <c r="I247" s="14" t="str">
        <f t="shared" si="138"/>
        <v/>
      </c>
      <c r="J247" s="14" t="str">
        <f t="shared" si="139"/>
        <v/>
      </c>
      <c r="K247" s="14" t="str">
        <f t="shared" si="140"/>
        <v/>
      </c>
      <c r="L247" s="14" t="str">
        <f t="shared" si="141"/>
        <v/>
      </c>
      <c r="M247" s="14" t="str">
        <f t="shared" si="142"/>
        <v/>
      </c>
      <c r="N247" s="14" t="str">
        <f t="shared" si="143"/>
        <v/>
      </c>
      <c r="O247" s="14" t="s">
        <v>11</v>
      </c>
      <c r="P247" s="14" t="s">
        <v>11</v>
      </c>
      <c r="Q247" s="14" t="s">
        <v>11</v>
      </c>
      <c r="R247" s="14" t="s">
        <v>13</v>
      </c>
      <c r="S247" s="14" t="s">
        <v>11</v>
      </c>
      <c r="T247" s="14" t="s">
        <v>11</v>
      </c>
      <c r="U247" s="14" t="s">
        <v>11</v>
      </c>
      <c r="V247" s="14" t="s">
        <v>11</v>
      </c>
      <c r="W247" s="14" t="s">
        <v>11</v>
      </c>
      <c r="X247" s="14" t="s">
        <v>11</v>
      </c>
      <c r="Y247" s="14" t="str">
        <f t="shared" si="127"/>
        <v/>
      </c>
      <c r="Z247" s="14" t="str">
        <f t="shared" si="128"/>
        <v/>
      </c>
      <c r="AA247" s="15">
        <f t="shared" si="13"/>
        <v>0</v>
      </c>
      <c r="AB247" s="14" t="s">
        <v>11</v>
      </c>
      <c r="AC247" s="14" t="s">
        <v>11</v>
      </c>
      <c r="AD247" s="14" t="s">
        <v>11</v>
      </c>
      <c r="AE247" s="14" t="s">
        <v>11</v>
      </c>
      <c r="AF247" s="14" t="s">
        <v>13</v>
      </c>
      <c r="AG247" s="14" t="s">
        <v>11</v>
      </c>
      <c r="AH247" s="14" t="s">
        <v>11</v>
      </c>
      <c r="AI247" s="14" t="s">
        <v>11</v>
      </c>
      <c r="AJ247" s="14" t="s">
        <v>11</v>
      </c>
      <c r="AK247" s="14" t="s">
        <v>11</v>
      </c>
      <c r="AL247" s="14" t="str">
        <f t="shared" si="129"/>
        <v>T</v>
      </c>
      <c r="AM247" s="14" t="str">
        <f t="shared" si="130"/>
        <v>T</v>
      </c>
      <c r="AN247" s="14" t="str">
        <f t="shared" si="131"/>
        <v/>
      </c>
      <c r="AO247" s="14" t="str">
        <f t="shared" si="132"/>
        <v/>
      </c>
      <c r="AP247" s="14" t="str">
        <f t="shared" si="133"/>
        <v/>
      </c>
      <c r="AQ247" s="14" t="str">
        <f t="shared" si="125"/>
        <v/>
      </c>
      <c r="AR247" s="15">
        <f t="shared" si="18"/>
        <v>0</v>
      </c>
      <c r="AT247" s="17">
        <f t="shared" si="124"/>
        <v>0</v>
      </c>
    </row>
    <row r="248" spans="2:46" x14ac:dyDescent="0.2">
      <c r="B248" s="16"/>
      <c r="C248" s="15" t="s">
        <v>53</v>
      </c>
      <c r="D248" s="30" t="str">
        <f t="shared" si="126"/>
        <v/>
      </c>
      <c r="E248" s="14" t="str">
        <f t="shared" si="134"/>
        <v/>
      </c>
      <c r="F248" s="14" t="str">
        <f t="shared" si="135"/>
        <v/>
      </c>
      <c r="G248" s="14" t="str">
        <f t="shared" si="136"/>
        <v/>
      </c>
      <c r="H248" s="14" t="str">
        <f t="shared" si="137"/>
        <v/>
      </c>
      <c r="I248" s="14" t="str">
        <f t="shared" si="138"/>
        <v/>
      </c>
      <c r="J248" s="14" t="str">
        <f t="shared" si="139"/>
        <v/>
      </c>
      <c r="K248" s="14" t="str">
        <f t="shared" si="140"/>
        <v/>
      </c>
      <c r="L248" s="14" t="str">
        <f t="shared" si="141"/>
        <v/>
      </c>
      <c r="M248" s="14" t="str">
        <f t="shared" si="142"/>
        <v/>
      </c>
      <c r="N248" s="14" t="str">
        <f t="shared" si="143"/>
        <v/>
      </c>
      <c r="O248" s="14" t="s">
        <v>11</v>
      </c>
      <c r="P248" s="14" t="s">
        <v>11</v>
      </c>
      <c r="Q248" s="14" t="s">
        <v>11</v>
      </c>
      <c r="R248" s="14" t="s">
        <v>13</v>
      </c>
      <c r="S248" s="14" t="s">
        <v>11</v>
      </c>
      <c r="T248" s="14" t="s">
        <v>11</v>
      </c>
      <c r="U248" s="14" t="s">
        <v>11</v>
      </c>
      <c r="V248" s="14" t="s">
        <v>11</v>
      </c>
      <c r="W248" s="14" t="s">
        <v>11</v>
      </c>
      <c r="X248" s="14" t="s">
        <v>11</v>
      </c>
      <c r="Y248" s="14" t="str">
        <f t="shared" si="127"/>
        <v/>
      </c>
      <c r="Z248" s="14" t="str">
        <f t="shared" si="128"/>
        <v/>
      </c>
      <c r="AA248" s="15">
        <f t="shared" si="13"/>
        <v>0</v>
      </c>
      <c r="AB248" s="14" t="s">
        <v>11</v>
      </c>
      <c r="AC248" s="14" t="s">
        <v>13</v>
      </c>
      <c r="AD248" s="14" t="s">
        <v>41</v>
      </c>
      <c r="AE248" s="14" t="s">
        <v>11</v>
      </c>
      <c r="AF248" s="14" t="s">
        <v>13</v>
      </c>
      <c r="AG248" s="14" t="s">
        <v>11</v>
      </c>
      <c r="AH248" s="14" t="s">
        <v>11</v>
      </c>
      <c r="AI248" s="14" t="s">
        <v>11</v>
      </c>
      <c r="AJ248" s="14" t="s">
        <v>11</v>
      </c>
      <c r="AK248" s="14" t="s">
        <v>11</v>
      </c>
      <c r="AL248" s="14" t="str">
        <f t="shared" si="129"/>
        <v>T</v>
      </c>
      <c r="AM248" s="14" t="str">
        <f t="shared" si="130"/>
        <v>T</v>
      </c>
      <c r="AN248" s="14" t="str">
        <f t="shared" si="131"/>
        <v/>
      </c>
      <c r="AO248" s="14" t="str">
        <f t="shared" si="132"/>
        <v/>
      </c>
      <c r="AP248" s="14" t="str">
        <f t="shared" si="133"/>
        <v/>
      </c>
      <c r="AQ248" s="14" t="str">
        <f t="shared" si="125"/>
        <v/>
      </c>
      <c r="AR248" s="15">
        <f t="shared" si="18"/>
        <v>0</v>
      </c>
      <c r="AT248" s="17">
        <f t="shared" si="124"/>
        <v>0</v>
      </c>
    </row>
    <row r="249" spans="2:46" x14ac:dyDescent="0.2">
      <c r="B249" s="16"/>
      <c r="C249" s="15" t="s">
        <v>53</v>
      </c>
      <c r="D249" s="30" t="str">
        <f t="shared" si="126"/>
        <v/>
      </c>
      <c r="E249" s="14" t="str">
        <f t="shared" si="134"/>
        <v/>
      </c>
      <c r="F249" s="14" t="str">
        <f t="shared" si="135"/>
        <v/>
      </c>
      <c r="G249" s="14" t="str">
        <f t="shared" si="136"/>
        <v/>
      </c>
      <c r="H249" s="14" t="str">
        <f t="shared" si="137"/>
        <v/>
      </c>
      <c r="I249" s="14" t="str">
        <f t="shared" si="138"/>
        <v/>
      </c>
      <c r="J249" s="14" t="str">
        <f t="shared" si="139"/>
        <v/>
      </c>
      <c r="K249" s="14" t="str">
        <f t="shared" si="140"/>
        <v/>
      </c>
      <c r="L249" s="14" t="str">
        <f t="shared" si="141"/>
        <v/>
      </c>
      <c r="M249" s="14" t="str">
        <f t="shared" si="142"/>
        <v/>
      </c>
      <c r="N249" s="14" t="str">
        <f t="shared" si="143"/>
        <v/>
      </c>
      <c r="O249" s="14" t="s">
        <v>11</v>
      </c>
      <c r="P249" s="14" t="s">
        <v>11</v>
      </c>
      <c r="Q249" s="14" t="s">
        <v>11</v>
      </c>
      <c r="R249" s="14" t="s">
        <v>13</v>
      </c>
      <c r="S249" s="14" t="s">
        <v>11</v>
      </c>
      <c r="T249" s="14" t="s">
        <v>11</v>
      </c>
      <c r="U249" s="14" t="s">
        <v>11</v>
      </c>
      <c r="V249" s="14" t="s">
        <v>11</v>
      </c>
      <c r="W249" s="14" t="s">
        <v>11</v>
      </c>
      <c r="X249" s="14" t="s">
        <v>11</v>
      </c>
      <c r="Y249" s="14" t="str">
        <f t="shared" si="127"/>
        <v/>
      </c>
      <c r="Z249" s="14" t="str">
        <f t="shared" si="128"/>
        <v/>
      </c>
      <c r="AA249" s="15">
        <f t="shared" si="13"/>
        <v>0</v>
      </c>
      <c r="AB249" s="14" t="s">
        <v>11</v>
      </c>
      <c r="AC249" s="14" t="s">
        <v>41</v>
      </c>
      <c r="AD249" s="14" t="s">
        <v>11</v>
      </c>
      <c r="AE249" s="14" t="s">
        <v>11</v>
      </c>
      <c r="AF249" s="14" t="s">
        <v>13</v>
      </c>
      <c r="AG249" s="14" t="s">
        <v>11</v>
      </c>
      <c r="AH249" s="14" t="s">
        <v>11</v>
      </c>
      <c r="AI249" s="14" t="s">
        <v>11</v>
      </c>
      <c r="AJ249" s="14" t="s">
        <v>11</v>
      </c>
      <c r="AK249" s="14" t="s">
        <v>11</v>
      </c>
      <c r="AL249" s="14" t="str">
        <f t="shared" si="129"/>
        <v>T</v>
      </c>
      <c r="AM249" s="14" t="str">
        <f t="shared" si="130"/>
        <v>T</v>
      </c>
      <c r="AN249" s="14" t="str">
        <f t="shared" si="131"/>
        <v/>
      </c>
      <c r="AO249" s="14" t="str">
        <f t="shared" si="132"/>
        <v/>
      </c>
      <c r="AP249" s="14" t="str">
        <f t="shared" si="133"/>
        <v/>
      </c>
      <c r="AQ249" s="14" t="str">
        <f t="shared" si="125"/>
        <v/>
      </c>
      <c r="AR249" s="15">
        <f t="shared" si="18"/>
        <v>0</v>
      </c>
      <c r="AT249" s="17">
        <f t="shared" si="124"/>
        <v>0</v>
      </c>
    </row>
    <row r="250" spans="2:46" x14ac:dyDescent="0.2">
      <c r="B250" s="16"/>
      <c r="C250" s="15" t="s">
        <v>53</v>
      </c>
      <c r="D250" s="30" t="str">
        <f t="shared" si="126"/>
        <v/>
      </c>
      <c r="E250" s="14" t="str">
        <f t="shared" si="134"/>
        <v/>
      </c>
      <c r="F250" s="14" t="str">
        <f t="shared" si="135"/>
        <v/>
      </c>
      <c r="G250" s="14" t="str">
        <f t="shared" si="136"/>
        <v/>
      </c>
      <c r="H250" s="14" t="str">
        <f t="shared" si="137"/>
        <v/>
      </c>
      <c r="I250" s="14" t="str">
        <f t="shared" si="138"/>
        <v/>
      </c>
      <c r="J250" s="14" t="str">
        <f t="shared" si="139"/>
        <v/>
      </c>
      <c r="K250" s="14" t="str">
        <f t="shared" si="140"/>
        <v/>
      </c>
      <c r="L250" s="14" t="str">
        <f t="shared" si="141"/>
        <v/>
      </c>
      <c r="M250" s="14" t="str">
        <f t="shared" si="142"/>
        <v/>
      </c>
      <c r="N250" s="14" t="str">
        <f t="shared" si="143"/>
        <v/>
      </c>
      <c r="O250" s="14" t="s">
        <v>11</v>
      </c>
      <c r="P250" s="14" t="s">
        <v>11</v>
      </c>
      <c r="Q250" s="14" t="s">
        <v>11</v>
      </c>
      <c r="R250" s="14" t="s">
        <v>13</v>
      </c>
      <c r="S250" s="14" t="s">
        <v>11</v>
      </c>
      <c r="T250" s="14" t="s">
        <v>11</v>
      </c>
      <c r="U250" s="14" t="s">
        <v>11</v>
      </c>
      <c r="V250" s="14" t="s">
        <v>11</v>
      </c>
      <c r="W250" s="14" t="s">
        <v>11</v>
      </c>
      <c r="X250" s="14" t="s">
        <v>11</v>
      </c>
      <c r="Y250" s="14" t="str">
        <f t="shared" si="127"/>
        <v/>
      </c>
      <c r="Z250" s="14" t="str">
        <f t="shared" si="128"/>
        <v/>
      </c>
      <c r="AA250" s="15">
        <f t="shared" si="13"/>
        <v>0</v>
      </c>
      <c r="AB250" s="14" t="s">
        <v>11</v>
      </c>
      <c r="AC250" s="14" t="s">
        <v>41</v>
      </c>
      <c r="AD250" s="14" t="s">
        <v>11</v>
      </c>
      <c r="AE250" s="14" t="s">
        <v>41</v>
      </c>
      <c r="AF250" s="14" t="s">
        <v>13</v>
      </c>
      <c r="AG250" s="14" t="s">
        <v>11</v>
      </c>
      <c r="AH250" s="14" t="s">
        <v>11</v>
      </c>
      <c r="AI250" s="14" t="s">
        <v>11</v>
      </c>
      <c r="AJ250" s="14" t="s">
        <v>11</v>
      </c>
      <c r="AK250" s="14" t="s">
        <v>11</v>
      </c>
      <c r="AL250" s="14" t="str">
        <f t="shared" si="129"/>
        <v>T</v>
      </c>
      <c r="AM250" s="14" t="str">
        <f t="shared" si="130"/>
        <v>T</v>
      </c>
      <c r="AN250" s="14" t="str">
        <f t="shared" si="131"/>
        <v/>
      </c>
      <c r="AO250" s="14" t="str">
        <f t="shared" si="132"/>
        <v/>
      </c>
      <c r="AP250" s="14" t="str">
        <f t="shared" si="133"/>
        <v/>
      </c>
      <c r="AQ250" s="14" t="str">
        <f t="shared" si="125"/>
        <v/>
      </c>
      <c r="AR250" s="15">
        <f t="shared" si="18"/>
        <v>0</v>
      </c>
      <c r="AT250" s="17">
        <f t="shared" si="124"/>
        <v>0</v>
      </c>
    </row>
    <row r="251" spans="2:46" x14ac:dyDescent="0.2">
      <c r="B251" s="16"/>
      <c r="C251" s="15" t="s">
        <v>53</v>
      </c>
      <c r="D251" s="30" t="str">
        <f t="shared" si="126"/>
        <v/>
      </c>
      <c r="E251" s="14" t="str">
        <f t="shared" si="134"/>
        <v/>
      </c>
      <c r="F251" s="14" t="str">
        <f t="shared" si="135"/>
        <v/>
      </c>
      <c r="G251" s="14" t="str">
        <f t="shared" si="136"/>
        <v/>
      </c>
      <c r="H251" s="14" t="str">
        <f t="shared" si="137"/>
        <v/>
      </c>
      <c r="I251" s="14" t="str">
        <f t="shared" si="138"/>
        <v/>
      </c>
      <c r="J251" s="14" t="str">
        <f t="shared" si="139"/>
        <v/>
      </c>
      <c r="K251" s="14" t="str">
        <f t="shared" si="140"/>
        <v/>
      </c>
      <c r="L251" s="14" t="str">
        <f t="shared" si="141"/>
        <v/>
      </c>
      <c r="M251" s="14" t="str">
        <f t="shared" si="142"/>
        <v/>
      </c>
      <c r="N251" s="14" t="str">
        <f t="shared" si="143"/>
        <v/>
      </c>
      <c r="O251" s="14" t="s">
        <v>11</v>
      </c>
      <c r="P251" s="14" t="s">
        <v>11</v>
      </c>
      <c r="Q251" s="14" t="s">
        <v>11</v>
      </c>
      <c r="R251" s="14" t="s">
        <v>13</v>
      </c>
      <c r="S251" s="14" t="s">
        <v>11</v>
      </c>
      <c r="T251" s="14" t="s">
        <v>11</v>
      </c>
      <c r="U251" s="14" t="s">
        <v>11</v>
      </c>
      <c r="V251" s="14" t="s">
        <v>11</v>
      </c>
      <c r="W251" s="14" t="s">
        <v>11</v>
      </c>
      <c r="X251" s="14" t="s">
        <v>11</v>
      </c>
      <c r="Y251" s="14" t="str">
        <f t="shared" si="127"/>
        <v/>
      </c>
      <c r="Z251" s="14" t="str">
        <f t="shared" si="128"/>
        <v/>
      </c>
      <c r="AA251" s="15">
        <f t="shared" si="13"/>
        <v>0</v>
      </c>
      <c r="AB251" s="14" t="s">
        <v>11</v>
      </c>
      <c r="AC251" s="14" t="s">
        <v>41</v>
      </c>
      <c r="AD251" s="14" t="s">
        <v>11</v>
      </c>
      <c r="AE251" s="14" t="s">
        <v>41</v>
      </c>
      <c r="AF251" s="14" t="s">
        <v>13</v>
      </c>
      <c r="AG251" s="14" t="s">
        <v>11</v>
      </c>
      <c r="AH251" s="14" t="s">
        <v>11</v>
      </c>
      <c r="AI251" s="14" t="s">
        <v>11</v>
      </c>
      <c r="AJ251" s="14" t="s">
        <v>11</v>
      </c>
      <c r="AK251" s="14" t="s">
        <v>11</v>
      </c>
      <c r="AL251" s="14" t="str">
        <f t="shared" si="129"/>
        <v>T</v>
      </c>
      <c r="AM251" s="14" t="str">
        <f t="shared" si="130"/>
        <v>T</v>
      </c>
      <c r="AN251" s="14" t="str">
        <f t="shared" si="131"/>
        <v/>
      </c>
      <c r="AO251" s="14" t="str">
        <f t="shared" si="132"/>
        <v/>
      </c>
      <c r="AP251" s="14" t="str">
        <f t="shared" si="133"/>
        <v/>
      </c>
      <c r="AQ251" s="14" t="str">
        <f t="shared" si="125"/>
        <v/>
      </c>
      <c r="AR251" s="15">
        <f t="shared" si="18"/>
        <v>0</v>
      </c>
      <c r="AT251" s="17">
        <f t="shared" si="124"/>
        <v>0</v>
      </c>
    </row>
    <row r="252" spans="2:46" x14ac:dyDescent="0.2">
      <c r="B252" s="16"/>
      <c r="C252" s="15" t="s">
        <v>53</v>
      </c>
      <c r="D252" s="30" t="str">
        <f t="shared" si="126"/>
        <v/>
      </c>
      <c r="E252" s="14" t="str">
        <f t="shared" si="134"/>
        <v/>
      </c>
      <c r="F252" s="14" t="str">
        <f t="shared" si="135"/>
        <v/>
      </c>
      <c r="G252" s="14" t="str">
        <f t="shared" si="136"/>
        <v/>
      </c>
      <c r="H252" s="14" t="str">
        <f t="shared" si="137"/>
        <v/>
      </c>
      <c r="I252" s="14" t="str">
        <f t="shared" si="138"/>
        <v/>
      </c>
      <c r="J252" s="14" t="str">
        <f t="shared" si="139"/>
        <v/>
      </c>
      <c r="K252" s="14" t="str">
        <f t="shared" si="140"/>
        <v/>
      </c>
      <c r="L252" s="14" t="str">
        <f t="shared" si="141"/>
        <v/>
      </c>
      <c r="M252" s="14" t="str">
        <f t="shared" si="142"/>
        <v/>
      </c>
      <c r="N252" s="14" t="str">
        <f t="shared" si="143"/>
        <v/>
      </c>
      <c r="O252" s="14" t="s">
        <v>11</v>
      </c>
      <c r="P252" s="14" t="s">
        <v>11</v>
      </c>
      <c r="Q252" s="14" t="s">
        <v>11</v>
      </c>
      <c r="R252" s="14" t="s">
        <v>13</v>
      </c>
      <c r="S252" s="14" t="s">
        <v>11</v>
      </c>
      <c r="T252" s="14" t="s">
        <v>11</v>
      </c>
      <c r="U252" s="14" t="s">
        <v>11</v>
      </c>
      <c r="V252" s="14" t="s">
        <v>11</v>
      </c>
      <c r="W252" s="14" t="s">
        <v>11</v>
      </c>
      <c r="X252" s="14" t="s">
        <v>11</v>
      </c>
      <c r="Y252" s="14" t="str">
        <f t="shared" si="127"/>
        <v/>
      </c>
      <c r="Z252" s="14" t="str">
        <f t="shared" si="128"/>
        <v/>
      </c>
      <c r="AA252" s="15">
        <f t="shared" si="13"/>
        <v>0</v>
      </c>
      <c r="AB252" s="14" t="s">
        <v>11</v>
      </c>
      <c r="AC252" s="14" t="s">
        <v>41</v>
      </c>
      <c r="AD252" s="14" t="s">
        <v>11</v>
      </c>
      <c r="AE252" s="14" t="s">
        <v>11</v>
      </c>
      <c r="AF252" s="14" t="s">
        <v>13</v>
      </c>
      <c r="AG252" s="14" t="s">
        <v>11</v>
      </c>
      <c r="AH252" s="14" t="s">
        <v>11</v>
      </c>
      <c r="AI252" s="14" t="s">
        <v>11</v>
      </c>
      <c r="AJ252" s="14" t="s">
        <v>11</v>
      </c>
      <c r="AK252" s="14" t="s">
        <v>11</v>
      </c>
      <c r="AL252" s="14" t="str">
        <f t="shared" si="129"/>
        <v>T</v>
      </c>
      <c r="AM252" s="14" t="str">
        <f t="shared" si="130"/>
        <v>T</v>
      </c>
      <c r="AN252" s="14" t="str">
        <f t="shared" si="131"/>
        <v/>
      </c>
      <c r="AO252" s="14" t="str">
        <f t="shared" si="132"/>
        <v/>
      </c>
      <c r="AP252" s="14" t="str">
        <f t="shared" si="133"/>
        <v/>
      </c>
      <c r="AQ252" s="14" t="str">
        <f t="shared" si="125"/>
        <v/>
      </c>
      <c r="AR252" s="15">
        <f t="shared" si="18"/>
        <v>0</v>
      </c>
      <c r="AT252" s="17">
        <f t="shared" si="124"/>
        <v>0</v>
      </c>
    </row>
    <row r="253" spans="2:46" x14ac:dyDescent="0.2">
      <c r="B253" s="16"/>
      <c r="C253" s="15" t="s">
        <v>53</v>
      </c>
      <c r="D253" s="30" t="str">
        <f t="shared" si="126"/>
        <v/>
      </c>
      <c r="E253" s="14" t="str">
        <f t="shared" si="134"/>
        <v/>
      </c>
      <c r="F253" s="14" t="str">
        <f t="shared" si="135"/>
        <v/>
      </c>
      <c r="G253" s="14" t="str">
        <f t="shared" si="136"/>
        <v/>
      </c>
      <c r="H253" s="14" t="str">
        <f t="shared" si="137"/>
        <v/>
      </c>
      <c r="I253" s="14" t="str">
        <f t="shared" si="138"/>
        <v/>
      </c>
      <c r="J253" s="14" t="str">
        <f t="shared" si="139"/>
        <v/>
      </c>
      <c r="K253" s="14" t="str">
        <f t="shared" si="140"/>
        <v/>
      </c>
      <c r="L253" s="14" t="str">
        <f t="shared" si="141"/>
        <v/>
      </c>
      <c r="M253" s="14" t="str">
        <f t="shared" si="142"/>
        <v/>
      </c>
      <c r="N253" s="14" t="str">
        <f t="shared" si="143"/>
        <v/>
      </c>
      <c r="O253" s="14" t="s">
        <v>11</v>
      </c>
      <c r="P253" s="14" t="s">
        <v>11</v>
      </c>
      <c r="Q253" s="14" t="s">
        <v>11</v>
      </c>
      <c r="R253" s="14" t="s">
        <v>13</v>
      </c>
      <c r="S253" s="14" t="s">
        <v>11</v>
      </c>
      <c r="T253" s="14" t="s">
        <v>11</v>
      </c>
      <c r="U253" s="14" t="s">
        <v>11</v>
      </c>
      <c r="V253" s="14" t="s">
        <v>11</v>
      </c>
      <c r="W253" s="14" t="s">
        <v>11</v>
      </c>
      <c r="X253" s="14" t="s">
        <v>11</v>
      </c>
      <c r="Y253" s="14" t="str">
        <f t="shared" si="127"/>
        <v/>
      </c>
      <c r="Z253" s="14" t="str">
        <f t="shared" si="128"/>
        <v/>
      </c>
      <c r="AA253" s="15">
        <f t="shared" si="13"/>
        <v>0</v>
      </c>
      <c r="AB253" s="14" t="s">
        <v>11</v>
      </c>
      <c r="AC253" s="14" t="s">
        <v>11</v>
      </c>
      <c r="AD253" s="14" t="s">
        <v>11</v>
      </c>
      <c r="AE253" s="14" t="s">
        <v>11</v>
      </c>
      <c r="AF253" s="14" t="s">
        <v>13</v>
      </c>
      <c r="AG253" s="14" t="s">
        <v>11</v>
      </c>
      <c r="AH253" s="14" t="s">
        <v>11</v>
      </c>
      <c r="AI253" s="14" t="s">
        <v>11</v>
      </c>
      <c r="AJ253" s="14" t="s">
        <v>11</v>
      </c>
      <c r="AK253" s="14" t="s">
        <v>11</v>
      </c>
      <c r="AL253" s="14" t="str">
        <f t="shared" si="129"/>
        <v>T</v>
      </c>
      <c r="AM253" s="14" t="str">
        <f t="shared" si="130"/>
        <v>T</v>
      </c>
      <c r="AN253" s="14" t="str">
        <f t="shared" si="131"/>
        <v/>
      </c>
      <c r="AO253" s="14" t="str">
        <f t="shared" si="132"/>
        <v/>
      </c>
      <c r="AP253" s="14" t="str">
        <f t="shared" si="133"/>
        <v/>
      </c>
      <c r="AQ253" s="14" t="str">
        <f t="shared" si="125"/>
        <v/>
      </c>
      <c r="AR253" s="15">
        <f t="shared" si="18"/>
        <v>0</v>
      </c>
      <c r="AT253" s="17">
        <f t="shared" si="124"/>
        <v>0</v>
      </c>
    </row>
    <row r="254" spans="2:46" x14ac:dyDescent="0.2">
      <c r="B254" s="16"/>
      <c r="C254" s="15" t="s">
        <v>53</v>
      </c>
      <c r="D254" s="30" t="str">
        <f t="shared" si="126"/>
        <v/>
      </c>
      <c r="E254" s="14" t="str">
        <f t="shared" si="134"/>
        <v/>
      </c>
      <c r="F254" s="14" t="str">
        <f t="shared" si="135"/>
        <v/>
      </c>
      <c r="G254" s="14" t="str">
        <f t="shared" si="136"/>
        <v/>
      </c>
      <c r="H254" s="14" t="str">
        <f t="shared" si="137"/>
        <v/>
      </c>
      <c r="I254" s="14" t="str">
        <f t="shared" si="138"/>
        <v/>
      </c>
      <c r="J254" s="14" t="str">
        <f t="shared" si="139"/>
        <v/>
      </c>
      <c r="K254" s="14" t="str">
        <f t="shared" si="140"/>
        <v/>
      </c>
      <c r="L254" s="14" t="str">
        <f t="shared" si="141"/>
        <v/>
      </c>
      <c r="M254" s="14" t="str">
        <f t="shared" si="142"/>
        <v/>
      </c>
      <c r="N254" s="14" t="str">
        <f t="shared" si="143"/>
        <v/>
      </c>
      <c r="O254" s="14" t="s">
        <v>11</v>
      </c>
      <c r="P254" s="14" t="s">
        <v>11</v>
      </c>
      <c r="Q254" s="14" t="s">
        <v>11</v>
      </c>
      <c r="R254" s="14" t="s">
        <v>13</v>
      </c>
      <c r="S254" s="14" t="s">
        <v>11</v>
      </c>
      <c r="T254" s="14" t="s">
        <v>11</v>
      </c>
      <c r="U254" s="14" t="s">
        <v>11</v>
      </c>
      <c r="V254" s="14" t="s">
        <v>11</v>
      </c>
      <c r="W254" s="14" t="s">
        <v>11</v>
      </c>
      <c r="X254" s="14" t="s">
        <v>11</v>
      </c>
      <c r="Y254" s="14" t="str">
        <f t="shared" si="127"/>
        <v/>
      </c>
      <c r="Z254" s="14" t="str">
        <f t="shared" si="128"/>
        <v/>
      </c>
      <c r="AA254" s="15">
        <f t="shared" si="13"/>
        <v>0</v>
      </c>
      <c r="AB254" s="14" t="s">
        <v>11</v>
      </c>
      <c r="AC254" s="14" t="s">
        <v>11</v>
      </c>
      <c r="AD254" s="14" t="s">
        <v>11</v>
      </c>
      <c r="AE254" s="14" t="s">
        <v>11</v>
      </c>
      <c r="AF254" s="14" t="s">
        <v>13</v>
      </c>
      <c r="AG254" s="14" t="s">
        <v>11</v>
      </c>
      <c r="AH254" s="14" t="s">
        <v>11</v>
      </c>
      <c r="AI254" s="14" t="s">
        <v>11</v>
      </c>
      <c r="AJ254" s="14" t="s">
        <v>11</v>
      </c>
      <c r="AK254" s="14" t="s">
        <v>11</v>
      </c>
      <c r="AL254" s="14" t="str">
        <f t="shared" si="129"/>
        <v>T</v>
      </c>
      <c r="AM254" s="14" t="str">
        <f t="shared" si="130"/>
        <v>T</v>
      </c>
      <c r="AN254" s="14" t="str">
        <f t="shared" si="131"/>
        <v/>
      </c>
      <c r="AO254" s="14" t="str">
        <f t="shared" si="132"/>
        <v/>
      </c>
      <c r="AP254" s="14" t="str">
        <f t="shared" si="133"/>
        <v/>
      </c>
      <c r="AQ254" s="14" t="str">
        <f t="shared" si="125"/>
        <v/>
      </c>
      <c r="AR254" s="15">
        <f t="shared" si="18"/>
        <v>0</v>
      </c>
      <c r="AT254" s="17">
        <f t="shared" ref="AT254:AT289" si="144">COUNTIF($AP$4:$AP$6,AP254)</f>
        <v>0</v>
      </c>
    </row>
    <row r="255" spans="2:46" x14ac:dyDescent="0.2">
      <c r="B255" s="16"/>
      <c r="C255" s="15" t="s">
        <v>53</v>
      </c>
      <c r="D255" s="30" t="str">
        <f t="shared" si="126"/>
        <v/>
      </c>
      <c r="E255" s="14" t="str">
        <f t="shared" si="134"/>
        <v/>
      </c>
      <c r="F255" s="14" t="str">
        <f t="shared" si="135"/>
        <v/>
      </c>
      <c r="G255" s="14" t="str">
        <f t="shared" si="136"/>
        <v/>
      </c>
      <c r="H255" s="14" t="str">
        <f t="shared" si="137"/>
        <v/>
      </c>
      <c r="I255" s="14" t="str">
        <f t="shared" si="138"/>
        <v/>
      </c>
      <c r="J255" s="14" t="str">
        <f t="shared" si="139"/>
        <v/>
      </c>
      <c r="K255" s="14" t="str">
        <f t="shared" si="140"/>
        <v/>
      </c>
      <c r="L255" s="14" t="str">
        <f t="shared" si="141"/>
        <v/>
      </c>
      <c r="M255" s="14" t="str">
        <f t="shared" si="142"/>
        <v/>
      </c>
      <c r="N255" s="14" t="str">
        <f t="shared" si="143"/>
        <v/>
      </c>
      <c r="O255" s="14" t="s">
        <v>11</v>
      </c>
      <c r="P255" s="14" t="s">
        <v>11</v>
      </c>
      <c r="Q255" s="14" t="s">
        <v>11</v>
      </c>
      <c r="R255" s="14" t="s">
        <v>13</v>
      </c>
      <c r="S255" s="14" t="s">
        <v>11</v>
      </c>
      <c r="T255" s="14" t="s">
        <v>11</v>
      </c>
      <c r="U255" s="14" t="s">
        <v>11</v>
      </c>
      <c r="V255" s="14" t="s">
        <v>11</v>
      </c>
      <c r="W255" s="14" t="s">
        <v>11</v>
      </c>
      <c r="X255" s="14" t="s">
        <v>11</v>
      </c>
      <c r="Y255" s="14" t="str">
        <f t="shared" si="127"/>
        <v/>
      </c>
      <c r="Z255" s="14" t="str">
        <f t="shared" si="128"/>
        <v/>
      </c>
      <c r="AA255" s="15">
        <f t="shared" si="13"/>
        <v>0</v>
      </c>
      <c r="AB255" s="14" t="s">
        <v>11</v>
      </c>
      <c r="AC255" s="14" t="s">
        <v>11</v>
      </c>
      <c r="AD255" s="14" t="s">
        <v>11</v>
      </c>
      <c r="AE255" s="14" t="s">
        <v>11</v>
      </c>
      <c r="AF255" s="14" t="s">
        <v>13</v>
      </c>
      <c r="AG255" s="14" t="s">
        <v>11</v>
      </c>
      <c r="AH255" s="14" t="s">
        <v>11</v>
      </c>
      <c r="AI255" s="14" t="s">
        <v>11</v>
      </c>
      <c r="AJ255" s="14" t="s">
        <v>11</v>
      </c>
      <c r="AK255" s="14" t="s">
        <v>11</v>
      </c>
      <c r="AL255" s="14" t="str">
        <f t="shared" si="129"/>
        <v>T</v>
      </c>
      <c r="AM255" s="14" t="str">
        <f t="shared" si="130"/>
        <v>T</v>
      </c>
      <c r="AN255" s="14" t="str">
        <f t="shared" si="131"/>
        <v/>
      </c>
      <c r="AO255" s="14" t="str">
        <f t="shared" si="132"/>
        <v/>
      </c>
      <c r="AP255" s="14" t="str">
        <f t="shared" si="133"/>
        <v/>
      </c>
      <c r="AQ255" s="14" t="str">
        <f t="shared" si="125"/>
        <v/>
      </c>
      <c r="AR255" s="15">
        <f t="shared" si="18"/>
        <v>0</v>
      </c>
      <c r="AT255" s="17">
        <f t="shared" si="144"/>
        <v>0</v>
      </c>
    </row>
    <row r="256" spans="2:46" x14ac:dyDescent="0.2">
      <c r="B256" s="16"/>
      <c r="C256" s="15" t="s">
        <v>53</v>
      </c>
      <c r="D256" s="30" t="str">
        <f t="shared" si="126"/>
        <v/>
      </c>
      <c r="E256" s="14" t="str">
        <f t="shared" si="134"/>
        <v/>
      </c>
      <c r="F256" s="14" t="str">
        <f t="shared" si="135"/>
        <v/>
      </c>
      <c r="G256" s="14" t="str">
        <f t="shared" si="136"/>
        <v/>
      </c>
      <c r="H256" s="14" t="str">
        <f t="shared" si="137"/>
        <v/>
      </c>
      <c r="I256" s="14" t="str">
        <f t="shared" si="138"/>
        <v/>
      </c>
      <c r="J256" s="14" t="str">
        <f t="shared" si="139"/>
        <v/>
      </c>
      <c r="K256" s="14" t="str">
        <f t="shared" si="140"/>
        <v/>
      </c>
      <c r="L256" s="14" t="str">
        <f t="shared" si="141"/>
        <v/>
      </c>
      <c r="M256" s="14" t="str">
        <f t="shared" si="142"/>
        <v/>
      </c>
      <c r="N256" s="14" t="str">
        <f t="shared" si="143"/>
        <v/>
      </c>
      <c r="O256" s="14" t="s">
        <v>11</v>
      </c>
      <c r="P256" s="14" t="s">
        <v>11</v>
      </c>
      <c r="Q256" s="14" t="s">
        <v>11</v>
      </c>
      <c r="R256" s="14" t="s">
        <v>13</v>
      </c>
      <c r="S256" s="14" t="s">
        <v>11</v>
      </c>
      <c r="T256" s="14" t="s">
        <v>11</v>
      </c>
      <c r="U256" s="14" t="s">
        <v>11</v>
      </c>
      <c r="V256" s="14" t="s">
        <v>11</v>
      </c>
      <c r="W256" s="14" t="s">
        <v>11</v>
      </c>
      <c r="X256" s="14" t="s">
        <v>11</v>
      </c>
      <c r="Y256" s="14" t="str">
        <f t="shared" si="127"/>
        <v/>
      </c>
      <c r="Z256" s="14" t="str">
        <f t="shared" si="128"/>
        <v/>
      </c>
      <c r="AA256" s="15">
        <f t="shared" si="13"/>
        <v>0</v>
      </c>
      <c r="AB256" s="14" t="s">
        <v>11</v>
      </c>
      <c r="AC256" s="14" t="s">
        <v>11</v>
      </c>
      <c r="AD256" s="14" t="s">
        <v>11</v>
      </c>
      <c r="AE256" s="14" t="s">
        <v>11</v>
      </c>
      <c r="AF256" s="14" t="s">
        <v>13</v>
      </c>
      <c r="AG256" s="14" t="s">
        <v>11</v>
      </c>
      <c r="AH256" s="14" t="s">
        <v>11</v>
      </c>
      <c r="AI256" s="14" t="s">
        <v>11</v>
      </c>
      <c r="AJ256" s="14" t="s">
        <v>11</v>
      </c>
      <c r="AK256" s="14" t="s">
        <v>11</v>
      </c>
      <c r="AL256" s="14" t="str">
        <f t="shared" si="129"/>
        <v>T</v>
      </c>
      <c r="AM256" s="14" t="str">
        <f t="shared" si="130"/>
        <v>T</v>
      </c>
      <c r="AN256" s="14" t="str">
        <f t="shared" si="131"/>
        <v/>
      </c>
      <c r="AO256" s="14" t="str">
        <f t="shared" si="132"/>
        <v/>
      </c>
      <c r="AP256" s="14" t="str">
        <f t="shared" si="133"/>
        <v/>
      </c>
      <c r="AQ256" s="14" t="str">
        <f t="shared" si="125"/>
        <v/>
      </c>
      <c r="AR256" s="15">
        <f t="shared" si="18"/>
        <v>0</v>
      </c>
      <c r="AT256" s="17">
        <f t="shared" si="144"/>
        <v>0</v>
      </c>
    </row>
    <row r="257" spans="2:46" x14ac:dyDescent="0.2">
      <c r="B257" s="16"/>
      <c r="C257" s="15" t="s">
        <v>53</v>
      </c>
      <c r="D257" s="30" t="str">
        <f t="shared" si="126"/>
        <v/>
      </c>
      <c r="E257" s="14" t="str">
        <f t="shared" si="134"/>
        <v/>
      </c>
      <c r="F257" s="14" t="str">
        <f t="shared" si="135"/>
        <v/>
      </c>
      <c r="G257" s="14" t="str">
        <f t="shared" si="136"/>
        <v/>
      </c>
      <c r="H257" s="14" t="str">
        <f t="shared" si="137"/>
        <v/>
      </c>
      <c r="I257" s="14" t="str">
        <f t="shared" si="138"/>
        <v/>
      </c>
      <c r="J257" s="14" t="str">
        <f t="shared" si="139"/>
        <v/>
      </c>
      <c r="K257" s="14" t="str">
        <f t="shared" si="140"/>
        <v/>
      </c>
      <c r="L257" s="14" t="str">
        <f t="shared" si="141"/>
        <v/>
      </c>
      <c r="M257" s="14" t="str">
        <f t="shared" si="142"/>
        <v/>
      </c>
      <c r="N257" s="14" t="str">
        <f t="shared" si="143"/>
        <v/>
      </c>
      <c r="O257" s="14" t="s">
        <v>11</v>
      </c>
      <c r="P257" s="14" t="s">
        <v>11</v>
      </c>
      <c r="Q257" s="14" t="s">
        <v>11</v>
      </c>
      <c r="R257" s="14" t="s">
        <v>13</v>
      </c>
      <c r="S257" s="14" t="s">
        <v>11</v>
      </c>
      <c r="T257" s="14" t="s">
        <v>11</v>
      </c>
      <c r="U257" s="14" t="s">
        <v>11</v>
      </c>
      <c r="V257" s="14" t="s">
        <v>11</v>
      </c>
      <c r="W257" s="14" t="s">
        <v>11</v>
      </c>
      <c r="X257" s="14" t="s">
        <v>11</v>
      </c>
      <c r="Y257" s="14" t="str">
        <f t="shared" si="127"/>
        <v/>
      </c>
      <c r="Z257" s="14" t="str">
        <f t="shared" si="128"/>
        <v/>
      </c>
      <c r="AA257" s="15">
        <f t="shared" si="13"/>
        <v>0</v>
      </c>
      <c r="AB257" s="14" t="s">
        <v>11</v>
      </c>
      <c r="AC257" s="14" t="s">
        <v>11</v>
      </c>
      <c r="AD257" s="14" t="s">
        <v>11</v>
      </c>
      <c r="AE257" s="14" t="s">
        <v>11</v>
      </c>
      <c r="AF257" s="14" t="s">
        <v>13</v>
      </c>
      <c r="AG257" s="14" t="s">
        <v>11</v>
      </c>
      <c r="AH257" s="14" t="s">
        <v>11</v>
      </c>
      <c r="AI257" s="14" t="s">
        <v>11</v>
      </c>
      <c r="AJ257" s="14" t="s">
        <v>11</v>
      </c>
      <c r="AK257" s="14" t="s">
        <v>11</v>
      </c>
      <c r="AL257" s="14" t="str">
        <f t="shared" si="129"/>
        <v>T</v>
      </c>
      <c r="AM257" s="14" t="str">
        <f t="shared" si="130"/>
        <v>T</v>
      </c>
      <c r="AN257" s="14" t="str">
        <f t="shared" si="131"/>
        <v/>
      </c>
      <c r="AO257" s="14" t="str">
        <f t="shared" si="132"/>
        <v/>
      </c>
      <c r="AP257" s="14" t="str">
        <f t="shared" si="133"/>
        <v/>
      </c>
      <c r="AQ257" s="14" t="str">
        <f t="shared" si="125"/>
        <v/>
      </c>
      <c r="AR257" s="15">
        <f t="shared" si="18"/>
        <v>0</v>
      </c>
      <c r="AT257" s="17">
        <f t="shared" si="144"/>
        <v>0</v>
      </c>
    </row>
    <row r="258" spans="2:46" x14ac:dyDescent="0.2">
      <c r="B258" s="16"/>
      <c r="C258" s="15" t="s">
        <v>53</v>
      </c>
      <c r="D258" s="30" t="str">
        <f t="shared" si="126"/>
        <v/>
      </c>
      <c r="E258" s="14" t="str">
        <f t="shared" si="134"/>
        <v/>
      </c>
      <c r="F258" s="14" t="str">
        <f t="shared" si="135"/>
        <v/>
      </c>
      <c r="G258" s="14" t="str">
        <f t="shared" si="136"/>
        <v/>
      </c>
      <c r="H258" s="14" t="str">
        <f t="shared" si="137"/>
        <v/>
      </c>
      <c r="I258" s="14" t="str">
        <f t="shared" si="138"/>
        <v/>
      </c>
      <c r="J258" s="14" t="str">
        <f t="shared" si="139"/>
        <v/>
      </c>
      <c r="K258" s="14" t="str">
        <f t="shared" si="140"/>
        <v/>
      </c>
      <c r="L258" s="14" t="str">
        <f t="shared" si="141"/>
        <v/>
      </c>
      <c r="M258" s="14" t="str">
        <f t="shared" si="142"/>
        <v/>
      </c>
      <c r="N258" s="14" t="str">
        <f t="shared" si="143"/>
        <v/>
      </c>
      <c r="O258" s="14" t="s">
        <v>11</v>
      </c>
      <c r="P258" s="14" t="s">
        <v>11</v>
      </c>
      <c r="Q258" s="14" t="s">
        <v>11</v>
      </c>
      <c r="R258" s="14" t="s">
        <v>13</v>
      </c>
      <c r="S258" s="14" t="s">
        <v>11</v>
      </c>
      <c r="T258" s="14" t="s">
        <v>11</v>
      </c>
      <c r="U258" s="14" t="s">
        <v>11</v>
      </c>
      <c r="V258" s="14" t="s">
        <v>11</v>
      </c>
      <c r="W258" s="14" t="s">
        <v>11</v>
      </c>
      <c r="X258" s="14" t="s">
        <v>11</v>
      </c>
      <c r="Y258" s="14" t="str">
        <f t="shared" si="127"/>
        <v/>
      </c>
      <c r="Z258" s="14" t="str">
        <f t="shared" si="128"/>
        <v/>
      </c>
      <c r="AA258" s="15">
        <f t="shared" si="13"/>
        <v>0</v>
      </c>
      <c r="AB258" s="14" t="s">
        <v>11</v>
      </c>
      <c r="AC258" s="14" t="s">
        <v>11</v>
      </c>
      <c r="AD258" s="14" t="s">
        <v>11</v>
      </c>
      <c r="AE258" s="14" t="s">
        <v>11</v>
      </c>
      <c r="AF258" s="14" t="s">
        <v>13</v>
      </c>
      <c r="AG258" s="14" t="s">
        <v>11</v>
      </c>
      <c r="AH258" s="14" t="s">
        <v>11</v>
      </c>
      <c r="AI258" s="14" t="s">
        <v>11</v>
      </c>
      <c r="AJ258" s="14" t="s">
        <v>11</v>
      </c>
      <c r="AK258" s="14" t="s">
        <v>11</v>
      </c>
      <c r="AL258" s="14" t="str">
        <f t="shared" si="129"/>
        <v>T</v>
      </c>
      <c r="AM258" s="14" t="str">
        <f t="shared" si="130"/>
        <v>T</v>
      </c>
      <c r="AN258" s="14" t="str">
        <f t="shared" si="131"/>
        <v/>
      </c>
      <c r="AO258" s="14" t="str">
        <f t="shared" si="132"/>
        <v/>
      </c>
      <c r="AP258" s="14" t="str">
        <f t="shared" si="133"/>
        <v/>
      </c>
      <c r="AQ258" s="14" t="str">
        <f t="shared" si="125"/>
        <v/>
      </c>
      <c r="AR258" s="15">
        <f t="shared" si="18"/>
        <v>0</v>
      </c>
      <c r="AT258" s="17">
        <f t="shared" si="144"/>
        <v>0</v>
      </c>
    </row>
    <row r="259" spans="2:46" x14ac:dyDescent="0.2">
      <c r="B259" s="16"/>
      <c r="C259" s="15" t="s">
        <v>53</v>
      </c>
      <c r="D259" s="30" t="str">
        <f t="shared" si="126"/>
        <v/>
      </c>
      <c r="E259" s="14" t="str">
        <f t="shared" si="134"/>
        <v/>
      </c>
      <c r="F259" s="14" t="str">
        <f t="shared" si="135"/>
        <v/>
      </c>
      <c r="G259" s="14" t="str">
        <f t="shared" si="136"/>
        <v/>
      </c>
      <c r="H259" s="14" t="str">
        <f t="shared" si="137"/>
        <v/>
      </c>
      <c r="I259" s="14" t="str">
        <f t="shared" si="138"/>
        <v/>
      </c>
      <c r="J259" s="14" t="str">
        <f t="shared" si="139"/>
        <v/>
      </c>
      <c r="K259" s="14" t="str">
        <f t="shared" si="140"/>
        <v/>
      </c>
      <c r="L259" s="14" t="str">
        <f t="shared" si="141"/>
        <v/>
      </c>
      <c r="M259" s="14" t="str">
        <f t="shared" si="142"/>
        <v/>
      </c>
      <c r="N259" s="14" t="str">
        <f t="shared" si="143"/>
        <v/>
      </c>
      <c r="O259" s="14" t="s">
        <v>11</v>
      </c>
      <c r="P259" s="14" t="s">
        <v>11</v>
      </c>
      <c r="Q259" s="14" t="s">
        <v>11</v>
      </c>
      <c r="R259" s="14" t="s">
        <v>13</v>
      </c>
      <c r="S259" s="14" t="s">
        <v>11</v>
      </c>
      <c r="T259" s="14" t="s">
        <v>11</v>
      </c>
      <c r="U259" s="14" t="s">
        <v>11</v>
      </c>
      <c r="V259" s="14" t="s">
        <v>11</v>
      </c>
      <c r="W259" s="14" t="s">
        <v>11</v>
      </c>
      <c r="X259" s="14" t="s">
        <v>11</v>
      </c>
      <c r="Y259" s="14" t="str">
        <f t="shared" si="127"/>
        <v/>
      </c>
      <c r="Z259" s="14" t="str">
        <f t="shared" si="128"/>
        <v/>
      </c>
      <c r="AA259" s="15">
        <f t="shared" si="13"/>
        <v>0</v>
      </c>
      <c r="AB259" s="14" t="s">
        <v>11</v>
      </c>
      <c r="AC259" s="14" t="s">
        <v>11</v>
      </c>
      <c r="AD259" s="14" t="s">
        <v>11</v>
      </c>
      <c r="AE259" s="14" t="s">
        <v>11</v>
      </c>
      <c r="AF259" s="14" t="s">
        <v>13</v>
      </c>
      <c r="AG259" s="14" t="s">
        <v>11</v>
      </c>
      <c r="AH259" s="14" t="s">
        <v>11</v>
      </c>
      <c r="AI259" s="14" t="s">
        <v>11</v>
      </c>
      <c r="AJ259" s="14" t="s">
        <v>11</v>
      </c>
      <c r="AK259" s="14" t="s">
        <v>11</v>
      </c>
      <c r="AL259" s="14" t="str">
        <f t="shared" si="129"/>
        <v>T</v>
      </c>
      <c r="AM259" s="14" t="str">
        <f t="shared" si="130"/>
        <v>T</v>
      </c>
      <c r="AN259" s="14" t="str">
        <f t="shared" si="131"/>
        <v/>
      </c>
      <c r="AO259" s="14" t="str">
        <f t="shared" si="132"/>
        <v/>
      </c>
      <c r="AP259" s="14" t="str">
        <f t="shared" si="133"/>
        <v/>
      </c>
      <c r="AQ259" s="14" t="str">
        <f t="shared" si="125"/>
        <v/>
      </c>
      <c r="AR259" s="15">
        <f t="shared" si="18"/>
        <v>0</v>
      </c>
      <c r="AT259" s="17">
        <f t="shared" si="144"/>
        <v>0</v>
      </c>
    </row>
    <row r="260" spans="2:46" x14ac:dyDescent="0.2">
      <c r="B260" s="16"/>
      <c r="C260" s="15" t="s">
        <v>53</v>
      </c>
      <c r="D260" s="30" t="str">
        <f t="shared" si="126"/>
        <v/>
      </c>
      <c r="E260" s="14" t="str">
        <f t="shared" si="134"/>
        <v/>
      </c>
      <c r="F260" s="14" t="str">
        <f t="shared" si="135"/>
        <v/>
      </c>
      <c r="G260" s="14" t="str">
        <f t="shared" si="136"/>
        <v/>
      </c>
      <c r="H260" s="14" t="str">
        <f t="shared" si="137"/>
        <v/>
      </c>
      <c r="I260" s="14" t="str">
        <f t="shared" si="138"/>
        <v/>
      </c>
      <c r="J260" s="14" t="str">
        <f t="shared" si="139"/>
        <v/>
      </c>
      <c r="K260" s="14" t="str">
        <f t="shared" si="140"/>
        <v/>
      </c>
      <c r="L260" s="14" t="str">
        <f t="shared" si="141"/>
        <v/>
      </c>
      <c r="M260" s="14" t="str">
        <f t="shared" si="142"/>
        <v/>
      </c>
      <c r="N260" s="14" t="str">
        <f t="shared" si="143"/>
        <v/>
      </c>
      <c r="O260" s="14" t="s">
        <v>11</v>
      </c>
      <c r="P260" s="14" t="s">
        <v>11</v>
      </c>
      <c r="Q260" s="14" t="s">
        <v>11</v>
      </c>
      <c r="R260" s="14" t="s">
        <v>13</v>
      </c>
      <c r="S260" s="14" t="s">
        <v>11</v>
      </c>
      <c r="T260" s="14" t="s">
        <v>11</v>
      </c>
      <c r="U260" s="14" t="s">
        <v>11</v>
      </c>
      <c r="V260" s="14" t="s">
        <v>11</v>
      </c>
      <c r="W260" s="14" t="s">
        <v>11</v>
      </c>
      <c r="X260" s="14" t="s">
        <v>11</v>
      </c>
      <c r="Y260" s="14" t="str">
        <f t="shared" si="127"/>
        <v/>
      </c>
      <c r="Z260" s="14" t="str">
        <f t="shared" si="128"/>
        <v/>
      </c>
      <c r="AA260" s="15">
        <f t="shared" si="13"/>
        <v>0</v>
      </c>
      <c r="AB260" s="14" t="s">
        <v>11</v>
      </c>
      <c r="AC260" s="14" t="s">
        <v>11</v>
      </c>
      <c r="AD260" s="14" t="s">
        <v>11</v>
      </c>
      <c r="AE260" s="14" t="s">
        <v>11</v>
      </c>
      <c r="AF260" s="14" t="s">
        <v>13</v>
      </c>
      <c r="AG260" s="14" t="s">
        <v>11</v>
      </c>
      <c r="AH260" s="14" t="s">
        <v>11</v>
      </c>
      <c r="AI260" s="14" t="s">
        <v>11</v>
      </c>
      <c r="AJ260" s="14" t="s">
        <v>11</v>
      </c>
      <c r="AK260" s="14" t="s">
        <v>11</v>
      </c>
      <c r="AL260" s="14" t="str">
        <f t="shared" si="129"/>
        <v>T</v>
      </c>
      <c r="AM260" s="14" t="str">
        <f t="shared" si="130"/>
        <v>T</v>
      </c>
      <c r="AN260" s="14" t="str">
        <f t="shared" si="131"/>
        <v/>
      </c>
      <c r="AO260" s="14" t="str">
        <f t="shared" si="132"/>
        <v/>
      </c>
      <c r="AP260" s="14" t="str">
        <f t="shared" si="133"/>
        <v/>
      </c>
      <c r="AQ260" s="14" t="str">
        <f t="shared" si="125"/>
        <v/>
      </c>
      <c r="AR260" s="15">
        <f t="shared" si="18"/>
        <v>0</v>
      </c>
      <c r="AT260" s="17">
        <f t="shared" si="144"/>
        <v>0</v>
      </c>
    </row>
    <row r="261" spans="2:46" x14ac:dyDescent="0.2">
      <c r="B261" s="16"/>
      <c r="C261" s="15" t="s">
        <v>53</v>
      </c>
      <c r="D261" s="30" t="str">
        <f t="shared" si="126"/>
        <v/>
      </c>
      <c r="E261" s="14" t="str">
        <f t="shared" si="134"/>
        <v/>
      </c>
      <c r="F261" s="14" t="str">
        <f t="shared" si="135"/>
        <v/>
      </c>
      <c r="G261" s="14" t="str">
        <f t="shared" si="136"/>
        <v/>
      </c>
      <c r="H261" s="14" t="str">
        <f t="shared" si="137"/>
        <v/>
      </c>
      <c r="I261" s="14" t="str">
        <f t="shared" si="138"/>
        <v/>
      </c>
      <c r="J261" s="14" t="str">
        <f t="shared" si="139"/>
        <v/>
      </c>
      <c r="K261" s="14" t="str">
        <f t="shared" si="140"/>
        <v/>
      </c>
      <c r="L261" s="14" t="str">
        <f t="shared" si="141"/>
        <v/>
      </c>
      <c r="M261" s="14" t="str">
        <f t="shared" si="142"/>
        <v/>
      </c>
      <c r="N261" s="14" t="str">
        <f t="shared" si="143"/>
        <v/>
      </c>
      <c r="O261" s="14" t="s">
        <v>11</v>
      </c>
      <c r="P261" s="14" t="s">
        <v>11</v>
      </c>
      <c r="Q261" s="14" t="s">
        <v>11</v>
      </c>
      <c r="R261" s="14" t="s">
        <v>13</v>
      </c>
      <c r="S261" s="14" t="s">
        <v>11</v>
      </c>
      <c r="T261" s="14" t="s">
        <v>11</v>
      </c>
      <c r="U261" s="14" t="s">
        <v>11</v>
      </c>
      <c r="V261" s="14" t="s">
        <v>11</v>
      </c>
      <c r="W261" s="14" t="s">
        <v>11</v>
      </c>
      <c r="X261" s="14" t="s">
        <v>11</v>
      </c>
      <c r="Y261" s="14" t="str">
        <f t="shared" si="127"/>
        <v/>
      </c>
      <c r="Z261" s="14" t="str">
        <f t="shared" si="128"/>
        <v/>
      </c>
      <c r="AA261" s="15">
        <f t="shared" si="13"/>
        <v>0</v>
      </c>
      <c r="AB261" s="14" t="s">
        <v>11</v>
      </c>
      <c r="AC261" s="14" t="s">
        <v>11</v>
      </c>
      <c r="AD261" s="14" t="s">
        <v>11</v>
      </c>
      <c r="AE261" s="14" t="s">
        <v>11</v>
      </c>
      <c r="AF261" s="14" t="s">
        <v>13</v>
      </c>
      <c r="AG261" s="14" t="s">
        <v>11</v>
      </c>
      <c r="AH261" s="14" t="s">
        <v>11</v>
      </c>
      <c r="AI261" s="14" t="s">
        <v>11</v>
      </c>
      <c r="AJ261" s="14" t="s">
        <v>11</v>
      </c>
      <c r="AK261" s="14" t="s">
        <v>11</v>
      </c>
      <c r="AL261" s="14" t="str">
        <f t="shared" si="129"/>
        <v>T</v>
      </c>
      <c r="AM261" s="14" t="str">
        <f t="shared" si="130"/>
        <v>T</v>
      </c>
      <c r="AN261" s="14" t="str">
        <f t="shared" si="131"/>
        <v/>
      </c>
      <c r="AO261" s="14" t="str">
        <f t="shared" si="132"/>
        <v/>
      </c>
      <c r="AP261" s="14" t="str">
        <f t="shared" si="133"/>
        <v/>
      </c>
      <c r="AQ261" s="14" t="str">
        <f t="shared" si="125"/>
        <v/>
      </c>
      <c r="AR261" s="15">
        <f t="shared" si="18"/>
        <v>0</v>
      </c>
      <c r="AT261" s="17">
        <f t="shared" si="144"/>
        <v>0</v>
      </c>
    </row>
    <row r="262" spans="2:46" x14ac:dyDescent="0.2">
      <c r="B262" s="16"/>
      <c r="C262" s="15" t="s">
        <v>53</v>
      </c>
      <c r="D262" s="30" t="str">
        <f t="shared" si="126"/>
        <v/>
      </c>
      <c r="E262" s="14" t="str">
        <f t="shared" si="134"/>
        <v/>
      </c>
      <c r="F262" s="14" t="str">
        <f t="shared" si="135"/>
        <v/>
      </c>
      <c r="G262" s="14" t="str">
        <f t="shared" si="136"/>
        <v/>
      </c>
      <c r="H262" s="14" t="str">
        <f t="shared" si="137"/>
        <v/>
      </c>
      <c r="I262" s="14" t="str">
        <f t="shared" si="138"/>
        <v/>
      </c>
      <c r="J262" s="14" t="str">
        <f t="shared" si="139"/>
        <v/>
      </c>
      <c r="K262" s="14" t="str">
        <f t="shared" si="140"/>
        <v/>
      </c>
      <c r="L262" s="14" t="str">
        <f t="shared" si="141"/>
        <v/>
      </c>
      <c r="M262" s="14" t="str">
        <f t="shared" si="142"/>
        <v/>
      </c>
      <c r="N262" s="14" t="str">
        <f t="shared" si="143"/>
        <v/>
      </c>
      <c r="O262" s="14" t="s">
        <v>11</v>
      </c>
      <c r="P262" s="14" t="s">
        <v>11</v>
      </c>
      <c r="Q262" s="14" t="s">
        <v>11</v>
      </c>
      <c r="R262" s="14" t="s">
        <v>13</v>
      </c>
      <c r="S262" s="14" t="s">
        <v>11</v>
      </c>
      <c r="T262" s="14" t="s">
        <v>11</v>
      </c>
      <c r="U262" s="14" t="s">
        <v>11</v>
      </c>
      <c r="V262" s="14" t="s">
        <v>11</v>
      </c>
      <c r="W262" s="14" t="s">
        <v>11</v>
      </c>
      <c r="X262" s="14" t="s">
        <v>11</v>
      </c>
      <c r="Y262" s="14" t="str">
        <f t="shared" si="127"/>
        <v/>
      </c>
      <c r="Z262" s="14" t="str">
        <f t="shared" si="128"/>
        <v/>
      </c>
      <c r="AA262" s="15">
        <f t="shared" si="13"/>
        <v>0</v>
      </c>
      <c r="AB262" s="14" t="s">
        <v>11</v>
      </c>
      <c r="AC262" s="14" t="s">
        <v>11</v>
      </c>
      <c r="AD262" s="14" t="s">
        <v>11</v>
      </c>
      <c r="AE262" s="14" t="s">
        <v>11</v>
      </c>
      <c r="AF262" s="14" t="s">
        <v>13</v>
      </c>
      <c r="AG262" s="14" t="s">
        <v>11</v>
      </c>
      <c r="AH262" s="14" t="s">
        <v>11</v>
      </c>
      <c r="AI262" s="14" t="s">
        <v>11</v>
      </c>
      <c r="AJ262" s="14" t="s">
        <v>11</v>
      </c>
      <c r="AK262" s="14" t="s">
        <v>11</v>
      </c>
      <c r="AL262" s="14" t="str">
        <f t="shared" si="129"/>
        <v>T</v>
      </c>
      <c r="AM262" s="14" t="str">
        <f t="shared" si="130"/>
        <v>T</v>
      </c>
      <c r="AN262" s="14" t="str">
        <f t="shared" si="131"/>
        <v/>
      </c>
      <c r="AO262" s="14" t="str">
        <f t="shared" si="132"/>
        <v/>
      </c>
      <c r="AP262" s="14" t="str">
        <f t="shared" si="133"/>
        <v/>
      </c>
      <c r="AQ262" s="14" t="str">
        <f t="shared" si="125"/>
        <v/>
      </c>
      <c r="AR262" s="15">
        <f t="shared" si="18"/>
        <v>0</v>
      </c>
      <c r="AT262" s="17">
        <f t="shared" si="144"/>
        <v>0</v>
      </c>
    </row>
    <row r="263" spans="2:46" x14ac:dyDescent="0.2">
      <c r="B263" s="16"/>
      <c r="C263" s="15" t="s">
        <v>53</v>
      </c>
      <c r="D263" s="30" t="str">
        <f t="shared" si="126"/>
        <v/>
      </c>
      <c r="E263" s="14" t="str">
        <f t="shared" si="134"/>
        <v/>
      </c>
      <c r="F263" s="14" t="str">
        <f t="shared" si="135"/>
        <v/>
      </c>
      <c r="G263" s="14" t="str">
        <f t="shared" si="136"/>
        <v/>
      </c>
      <c r="H263" s="14" t="str">
        <f t="shared" si="137"/>
        <v/>
      </c>
      <c r="I263" s="14" t="str">
        <f t="shared" si="138"/>
        <v/>
      </c>
      <c r="J263" s="14" t="str">
        <f t="shared" si="139"/>
        <v/>
      </c>
      <c r="K263" s="14" t="str">
        <f t="shared" si="140"/>
        <v/>
      </c>
      <c r="L263" s="14" t="str">
        <f t="shared" si="141"/>
        <v/>
      </c>
      <c r="M263" s="14" t="str">
        <f t="shared" si="142"/>
        <v/>
      </c>
      <c r="N263" s="14" t="str">
        <f t="shared" si="143"/>
        <v/>
      </c>
      <c r="O263" s="14" t="s">
        <v>11</v>
      </c>
      <c r="P263" s="14" t="s">
        <v>11</v>
      </c>
      <c r="Q263" s="14" t="s">
        <v>11</v>
      </c>
      <c r="R263" s="14" t="s">
        <v>13</v>
      </c>
      <c r="S263" s="14" t="s">
        <v>11</v>
      </c>
      <c r="T263" s="14" t="s">
        <v>11</v>
      </c>
      <c r="U263" s="14" t="s">
        <v>11</v>
      </c>
      <c r="V263" s="14" t="s">
        <v>11</v>
      </c>
      <c r="W263" s="14" t="s">
        <v>11</v>
      </c>
      <c r="X263" s="14" t="s">
        <v>11</v>
      </c>
      <c r="Y263" s="14" t="str">
        <f t="shared" si="127"/>
        <v/>
      </c>
      <c r="Z263" s="14" t="str">
        <f t="shared" si="128"/>
        <v/>
      </c>
      <c r="AA263" s="15">
        <f t="shared" si="13"/>
        <v>0</v>
      </c>
      <c r="AB263" s="14" t="s">
        <v>11</v>
      </c>
      <c r="AC263" s="14" t="s">
        <v>11</v>
      </c>
      <c r="AD263" s="14" t="s">
        <v>11</v>
      </c>
      <c r="AE263" s="14" t="s">
        <v>11</v>
      </c>
      <c r="AF263" s="14" t="s">
        <v>13</v>
      </c>
      <c r="AG263" s="14" t="s">
        <v>11</v>
      </c>
      <c r="AH263" s="14" t="s">
        <v>11</v>
      </c>
      <c r="AI263" s="14" t="s">
        <v>11</v>
      </c>
      <c r="AJ263" s="14" t="s">
        <v>11</v>
      </c>
      <c r="AK263" s="14" t="s">
        <v>11</v>
      </c>
      <c r="AL263" s="14" t="str">
        <f t="shared" si="129"/>
        <v>T</v>
      </c>
      <c r="AM263" s="14" t="str">
        <f t="shared" si="130"/>
        <v>T</v>
      </c>
      <c r="AN263" s="14" t="str">
        <f t="shared" si="131"/>
        <v/>
      </c>
      <c r="AO263" s="14" t="str">
        <f t="shared" si="132"/>
        <v/>
      </c>
      <c r="AP263" s="14" t="str">
        <f t="shared" si="133"/>
        <v/>
      </c>
      <c r="AQ263" s="14" t="str">
        <f t="shared" si="125"/>
        <v/>
      </c>
      <c r="AR263" s="15">
        <f t="shared" si="18"/>
        <v>0</v>
      </c>
      <c r="AT263" s="17">
        <f t="shared" si="144"/>
        <v>0</v>
      </c>
    </row>
    <row r="264" spans="2:46" x14ac:dyDescent="0.2">
      <c r="B264" s="16"/>
      <c r="C264" s="15" t="s">
        <v>53</v>
      </c>
      <c r="D264" s="30" t="str">
        <f t="shared" si="126"/>
        <v/>
      </c>
      <c r="E264" s="14" t="str">
        <f t="shared" si="134"/>
        <v/>
      </c>
      <c r="F264" s="14" t="str">
        <f t="shared" si="135"/>
        <v/>
      </c>
      <c r="G264" s="14" t="str">
        <f t="shared" si="136"/>
        <v/>
      </c>
      <c r="H264" s="14" t="str">
        <f t="shared" si="137"/>
        <v/>
      </c>
      <c r="I264" s="14" t="str">
        <f t="shared" si="138"/>
        <v/>
      </c>
      <c r="J264" s="14" t="str">
        <f t="shared" si="139"/>
        <v/>
      </c>
      <c r="K264" s="14" t="str">
        <f t="shared" si="140"/>
        <v/>
      </c>
      <c r="L264" s="14" t="str">
        <f t="shared" si="141"/>
        <v/>
      </c>
      <c r="M264" s="14" t="str">
        <f t="shared" si="142"/>
        <v/>
      </c>
      <c r="N264" s="14" t="str">
        <f t="shared" si="143"/>
        <v/>
      </c>
      <c r="O264" s="14" t="s">
        <v>11</v>
      </c>
      <c r="P264" s="14" t="s">
        <v>11</v>
      </c>
      <c r="Q264" s="14" t="s">
        <v>11</v>
      </c>
      <c r="R264" s="14" t="s">
        <v>13</v>
      </c>
      <c r="S264" s="14" t="s">
        <v>11</v>
      </c>
      <c r="T264" s="14" t="s">
        <v>11</v>
      </c>
      <c r="U264" s="14" t="s">
        <v>11</v>
      </c>
      <c r="V264" s="14" t="s">
        <v>11</v>
      </c>
      <c r="W264" s="14" t="s">
        <v>11</v>
      </c>
      <c r="X264" s="14" t="s">
        <v>11</v>
      </c>
      <c r="Y264" s="14" t="str">
        <f t="shared" si="127"/>
        <v/>
      </c>
      <c r="Z264" s="14" t="str">
        <f t="shared" si="128"/>
        <v/>
      </c>
      <c r="AA264" s="15">
        <f t="shared" si="13"/>
        <v>0</v>
      </c>
      <c r="AB264" s="14" t="s">
        <v>11</v>
      </c>
      <c r="AC264" s="14" t="s">
        <v>11</v>
      </c>
      <c r="AD264" s="14" t="s">
        <v>11</v>
      </c>
      <c r="AE264" s="14" t="s">
        <v>11</v>
      </c>
      <c r="AF264" s="14" t="s">
        <v>13</v>
      </c>
      <c r="AG264" s="14" t="s">
        <v>11</v>
      </c>
      <c r="AH264" s="14" t="s">
        <v>11</v>
      </c>
      <c r="AI264" s="14" t="s">
        <v>11</v>
      </c>
      <c r="AJ264" s="14" t="s">
        <v>11</v>
      </c>
      <c r="AK264" s="14" t="s">
        <v>11</v>
      </c>
      <c r="AL264" s="14" t="str">
        <f t="shared" si="129"/>
        <v>T</v>
      </c>
      <c r="AM264" s="14" t="str">
        <f t="shared" si="130"/>
        <v>T</v>
      </c>
      <c r="AN264" s="14" t="str">
        <f t="shared" si="131"/>
        <v/>
      </c>
      <c r="AO264" s="14" t="str">
        <f t="shared" si="132"/>
        <v/>
      </c>
      <c r="AP264" s="14" t="str">
        <f t="shared" si="133"/>
        <v/>
      </c>
      <c r="AQ264" s="14" t="str">
        <f t="shared" ref="AQ264:AQ327" si="145">LOWER(AP264)</f>
        <v/>
      </c>
      <c r="AR264" s="15">
        <f t="shared" si="18"/>
        <v>0</v>
      </c>
      <c r="AT264" s="17">
        <f t="shared" si="144"/>
        <v>0</v>
      </c>
    </row>
    <row r="265" spans="2:46" x14ac:dyDescent="0.2">
      <c r="B265" s="16"/>
      <c r="C265" s="15" t="s">
        <v>53</v>
      </c>
      <c r="D265" s="30" t="str">
        <f t="shared" si="126"/>
        <v/>
      </c>
      <c r="E265" s="14" t="str">
        <f t="shared" si="134"/>
        <v/>
      </c>
      <c r="F265" s="14" t="str">
        <f t="shared" si="135"/>
        <v/>
      </c>
      <c r="G265" s="14" t="str">
        <f t="shared" si="136"/>
        <v/>
      </c>
      <c r="H265" s="14" t="str">
        <f t="shared" si="137"/>
        <v/>
      </c>
      <c r="I265" s="14" t="str">
        <f t="shared" si="138"/>
        <v/>
      </c>
      <c r="J265" s="14" t="str">
        <f t="shared" si="139"/>
        <v/>
      </c>
      <c r="K265" s="14" t="str">
        <f t="shared" si="140"/>
        <v/>
      </c>
      <c r="L265" s="14" t="str">
        <f t="shared" si="141"/>
        <v/>
      </c>
      <c r="M265" s="14" t="str">
        <f t="shared" si="142"/>
        <v/>
      </c>
      <c r="N265" s="14" t="str">
        <f t="shared" si="143"/>
        <v/>
      </c>
      <c r="O265" s="14" t="s">
        <v>11</v>
      </c>
      <c r="P265" s="14" t="s">
        <v>11</v>
      </c>
      <c r="Q265" s="14" t="s">
        <v>11</v>
      </c>
      <c r="R265" s="14" t="s">
        <v>13</v>
      </c>
      <c r="S265" s="14" t="s">
        <v>11</v>
      </c>
      <c r="T265" s="14" t="s">
        <v>11</v>
      </c>
      <c r="U265" s="14" t="s">
        <v>11</v>
      </c>
      <c r="V265" s="14" t="s">
        <v>11</v>
      </c>
      <c r="W265" s="14" t="s">
        <v>11</v>
      </c>
      <c r="X265" s="14" t="s">
        <v>11</v>
      </c>
      <c r="Y265" s="14" t="str">
        <f t="shared" si="127"/>
        <v/>
      </c>
      <c r="Z265" s="14" t="str">
        <f t="shared" si="128"/>
        <v/>
      </c>
      <c r="AA265" s="15">
        <f t="shared" si="13"/>
        <v>0</v>
      </c>
      <c r="AB265" s="14" t="s">
        <v>11</v>
      </c>
      <c r="AC265" s="14" t="s">
        <v>11</v>
      </c>
      <c r="AD265" s="14" t="s">
        <v>11</v>
      </c>
      <c r="AE265" s="14" t="s">
        <v>11</v>
      </c>
      <c r="AF265" s="14" t="s">
        <v>13</v>
      </c>
      <c r="AG265" s="14" t="s">
        <v>11</v>
      </c>
      <c r="AH265" s="14" t="s">
        <v>11</v>
      </c>
      <c r="AI265" s="14" t="s">
        <v>11</v>
      </c>
      <c r="AJ265" s="14" t="s">
        <v>11</v>
      </c>
      <c r="AK265" s="14" t="s">
        <v>11</v>
      </c>
      <c r="AL265" s="14" t="str">
        <f t="shared" si="129"/>
        <v>T</v>
      </c>
      <c r="AM265" s="14" t="str">
        <f t="shared" si="130"/>
        <v>T</v>
      </c>
      <c r="AN265" s="14" t="str">
        <f t="shared" si="131"/>
        <v/>
      </c>
      <c r="AO265" s="14" t="str">
        <f t="shared" si="132"/>
        <v/>
      </c>
      <c r="AP265" s="14" t="str">
        <f t="shared" si="133"/>
        <v/>
      </c>
      <c r="AQ265" s="14" t="str">
        <f t="shared" si="145"/>
        <v/>
      </c>
      <c r="AR265" s="15">
        <f t="shared" si="18"/>
        <v>0</v>
      </c>
      <c r="AT265" s="17">
        <f t="shared" si="144"/>
        <v>0</v>
      </c>
    </row>
    <row r="266" spans="2:46" x14ac:dyDescent="0.2">
      <c r="B266" s="16"/>
      <c r="C266" s="15" t="s">
        <v>53</v>
      </c>
      <c r="D266" s="30" t="str">
        <f t="shared" si="126"/>
        <v/>
      </c>
      <c r="E266" s="14" t="str">
        <f t="shared" si="134"/>
        <v/>
      </c>
      <c r="F266" s="14" t="str">
        <f t="shared" si="135"/>
        <v/>
      </c>
      <c r="G266" s="14" t="str">
        <f t="shared" si="136"/>
        <v/>
      </c>
      <c r="H266" s="14" t="str">
        <f t="shared" si="137"/>
        <v/>
      </c>
      <c r="I266" s="14" t="str">
        <f t="shared" si="138"/>
        <v/>
      </c>
      <c r="J266" s="14" t="str">
        <f t="shared" si="139"/>
        <v/>
      </c>
      <c r="K266" s="14" t="str">
        <f t="shared" si="140"/>
        <v/>
      </c>
      <c r="L266" s="14" t="str">
        <f t="shared" si="141"/>
        <v/>
      </c>
      <c r="M266" s="14" t="str">
        <f t="shared" si="142"/>
        <v/>
      </c>
      <c r="N266" s="14" t="str">
        <f t="shared" si="143"/>
        <v/>
      </c>
      <c r="O266" s="14" t="s">
        <v>11</v>
      </c>
      <c r="P266" s="14" t="s">
        <v>11</v>
      </c>
      <c r="Q266" s="14" t="s">
        <v>11</v>
      </c>
      <c r="R266" s="14" t="s">
        <v>13</v>
      </c>
      <c r="S266" s="14" t="s">
        <v>11</v>
      </c>
      <c r="T266" s="14" t="s">
        <v>11</v>
      </c>
      <c r="U266" s="14" t="s">
        <v>11</v>
      </c>
      <c r="V266" s="14" t="s">
        <v>11</v>
      </c>
      <c r="W266" s="14" t="s">
        <v>11</v>
      </c>
      <c r="X266" s="14" t="s">
        <v>11</v>
      </c>
      <c r="Y266" s="14" t="str">
        <f t="shared" si="127"/>
        <v/>
      </c>
      <c r="Z266" s="14" t="str">
        <f t="shared" si="128"/>
        <v/>
      </c>
      <c r="AA266" s="15">
        <f t="shared" si="13"/>
        <v>0</v>
      </c>
      <c r="AB266" s="14" t="s">
        <v>11</v>
      </c>
      <c r="AC266" s="14" t="s">
        <v>11</v>
      </c>
      <c r="AD266" s="14" t="s">
        <v>11</v>
      </c>
      <c r="AE266" s="14" t="s">
        <v>11</v>
      </c>
      <c r="AF266" s="14" t="s">
        <v>13</v>
      </c>
      <c r="AG266" s="14" t="s">
        <v>11</v>
      </c>
      <c r="AH266" s="14" t="s">
        <v>11</v>
      </c>
      <c r="AI266" s="14" t="s">
        <v>11</v>
      </c>
      <c r="AJ266" s="14" t="s">
        <v>11</v>
      </c>
      <c r="AK266" s="14" t="s">
        <v>11</v>
      </c>
      <c r="AL266" s="14" t="str">
        <f t="shared" si="129"/>
        <v>T</v>
      </c>
      <c r="AM266" s="14" t="str">
        <f t="shared" si="130"/>
        <v>T</v>
      </c>
      <c r="AN266" s="14" t="str">
        <f t="shared" si="131"/>
        <v/>
      </c>
      <c r="AO266" s="14" t="str">
        <f t="shared" si="132"/>
        <v/>
      </c>
      <c r="AP266" s="14" t="str">
        <f t="shared" si="133"/>
        <v/>
      </c>
      <c r="AQ266" s="14" t="str">
        <f t="shared" si="145"/>
        <v/>
      </c>
      <c r="AR266" s="15">
        <f t="shared" si="18"/>
        <v>0</v>
      </c>
      <c r="AT266" s="17">
        <f t="shared" si="144"/>
        <v>0</v>
      </c>
    </row>
    <row r="267" spans="2:46" x14ac:dyDescent="0.2">
      <c r="B267" s="16"/>
      <c r="C267" s="15" t="s">
        <v>53</v>
      </c>
      <c r="D267" s="30" t="str">
        <f t="shared" si="126"/>
        <v/>
      </c>
      <c r="E267" s="14" t="str">
        <f t="shared" si="134"/>
        <v/>
      </c>
      <c r="F267" s="14" t="str">
        <f t="shared" si="135"/>
        <v/>
      </c>
      <c r="G267" s="14" t="str">
        <f t="shared" si="136"/>
        <v/>
      </c>
      <c r="H267" s="14" t="str">
        <f t="shared" si="137"/>
        <v/>
      </c>
      <c r="I267" s="14" t="str">
        <f t="shared" si="138"/>
        <v/>
      </c>
      <c r="J267" s="14" t="str">
        <f t="shared" si="139"/>
        <v/>
      </c>
      <c r="K267" s="14" t="str">
        <f t="shared" si="140"/>
        <v/>
      </c>
      <c r="L267" s="14" t="str">
        <f t="shared" si="141"/>
        <v/>
      </c>
      <c r="M267" s="14" t="str">
        <f t="shared" si="142"/>
        <v/>
      </c>
      <c r="N267" s="14" t="str">
        <f t="shared" si="143"/>
        <v/>
      </c>
      <c r="O267" s="14" t="s">
        <v>11</v>
      </c>
      <c r="P267" s="14" t="s">
        <v>11</v>
      </c>
      <c r="Q267" s="14" t="s">
        <v>11</v>
      </c>
      <c r="R267" s="14" t="s">
        <v>13</v>
      </c>
      <c r="S267" s="14" t="s">
        <v>11</v>
      </c>
      <c r="T267" s="14" t="s">
        <v>11</v>
      </c>
      <c r="U267" s="14" t="s">
        <v>11</v>
      </c>
      <c r="V267" s="14" t="s">
        <v>11</v>
      </c>
      <c r="W267" s="14" t="s">
        <v>11</v>
      </c>
      <c r="X267" s="14" t="s">
        <v>11</v>
      </c>
      <c r="Y267" s="14" t="str">
        <f t="shared" si="127"/>
        <v/>
      </c>
      <c r="Z267" s="14" t="str">
        <f t="shared" si="128"/>
        <v/>
      </c>
      <c r="AA267" s="15">
        <f t="shared" si="13"/>
        <v>0</v>
      </c>
      <c r="AB267" s="14" t="s">
        <v>11</v>
      </c>
      <c r="AC267" s="14" t="s">
        <v>11</v>
      </c>
      <c r="AD267" s="14" t="s">
        <v>11</v>
      </c>
      <c r="AE267" s="14" t="s">
        <v>41</v>
      </c>
      <c r="AF267" s="14" t="s">
        <v>13</v>
      </c>
      <c r="AG267" s="14" t="s">
        <v>11</v>
      </c>
      <c r="AH267" s="14" t="s">
        <v>11</v>
      </c>
      <c r="AI267" s="14" t="s">
        <v>11</v>
      </c>
      <c r="AJ267" s="14" t="s">
        <v>11</v>
      </c>
      <c r="AK267" s="14" t="s">
        <v>11</v>
      </c>
      <c r="AL267" s="14" t="str">
        <f t="shared" si="129"/>
        <v>T</v>
      </c>
      <c r="AM267" s="14" t="str">
        <f t="shared" si="130"/>
        <v>T</v>
      </c>
      <c r="AN267" s="14" t="str">
        <f t="shared" si="131"/>
        <v/>
      </c>
      <c r="AO267" s="14" t="str">
        <f t="shared" si="132"/>
        <v/>
      </c>
      <c r="AP267" s="14" t="str">
        <f t="shared" si="133"/>
        <v/>
      </c>
      <c r="AQ267" s="14" t="str">
        <f t="shared" si="145"/>
        <v/>
      </c>
      <c r="AR267" s="15">
        <f t="shared" si="18"/>
        <v>0</v>
      </c>
      <c r="AT267" s="17">
        <f t="shared" si="144"/>
        <v>0</v>
      </c>
    </row>
    <row r="268" spans="2:46" x14ac:dyDescent="0.2">
      <c r="B268" s="16"/>
      <c r="C268" s="15" t="s">
        <v>53</v>
      </c>
      <c r="D268" s="30" t="str">
        <f t="shared" si="126"/>
        <v/>
      </c>
      <c r="E268" s="14" t="str">
        <f t="shared" si="134"/>
        <v/>
      </c>
      <c r="F268" s="14" t="str">
        <f t="shared" si="135"/>
        <v/>
      </c>
      <c r="G268" s="14" t="str">
        <f t="shared" si="136"/>
        <v/>
      </c>
      <c r="H268" s="14" t="str">
        <f t="shared" si="137"/>
        <v/>
      </c>
      <c r="I268" s="14" t="str">
        <f t="shared" si="138"/>
        <v/>
      </c>
      <c r="J268" s="14" t="str">
        <f t="shared" si="139"/>
        <v/>
      </c>
      <c r="K268" s="14" t="str">
        <f t="shared" si="140"/>
        <v/>
      </c>
      <c r="L268" s="14" t="str">
        <f t="shared" si="141"/>
        <v/>
      </c>
      <c r="M268" s="14" t="str">
        <f t="shared" si="142"/>
        <v/>
      </c>
      <c r="N268" s="14" t="str">
        <f t="shared" si="143"/>
        <v/>
      </c>
      <c r="O268" s="14" t="s">
        <v>11</v>
      </c>
      <c r="P268" s="14" t="s">
        <v>11</v>
      </c>
      <c r="Q268" s="14" t="s">
        <v>11</v>
      </c>
      <c r="R268" s="14" t="s">
        <v>13</v>
      </c>
      <c r="S268" s="14" t="s">
        <v>11</v>
      </c>
      <c r="T268" s="14" t="s">
        <v>11</v>
      </c>
      <c r="U268" s="14" t="s">
        <v>11</v>
      </c>
      <c r="V268" s="14" t="s">
        <v>11</v>
      </c>
      <c r="W268" s="14" t="s">
        <v>11</v>
      </c>
      <c r="X268" s="14" t="s">
        <v>11</v>
      </c>
      <c r="Y268" s="14" t="str">
        <f t="shared" si="127"/>
        <v/>
      </c>
      <c r="Z268" s="14" t="str">
        <f t="shared" si="128"/>
        <v/>
      </c>
      <c r="AA268" s="15">
        <f t="shared" si="13"/>
        <v>0</v>
      </c>
      <c r="AB268" s="14" t="s">
        <v>11</v>
      </c>
      <c r="AC268" s="14" t="s">
        <v>11</v>
      </c>
      <c r="AD268" s="14" t="s">
        <v>11</v>
      </c>
      <c r="AE268" s="14" t="s">
        <v>11</v>
      </c>
      <c r="AF268" s="14" t="s">
        <v>13</v>
      </c>
      <c r="AG268" s="14" t="s">
        <v>11</v>
      </c>
      <c r="AH268" s="14" t="s">
        <v>11</v>
      </c>
      <c r="AI268" s="14" t="s">
        <v>11</v>
      </c>
      <c r="AJ268" s="14" t="s">
        <v>11</v>
      </c>
      <c r="AK268" s="14" t="s">
        <v>11</v>
      </c>
      <c r="AL268" s="14" t="str">
        <f t="shared" si="129"/>
        <v>T</v>
      </c>
      <c r="AM268" s="14" t="str">
        <f t="shared" si="130"/>
        <v>T</v>
      </c>
      <c r="AN268" s="14" t="str">
        <f t="shared" si="131"/>
        <v/>
      </c>
      <c r="AO268" s="14" t="str">
        <f t="shared" si="132"/>
        <v/>
      </c>
      <c r="AP268" s="14" t="str">
        <f t="shared" si="133"/>
        <v/>
      </c>
      <c r="AQ268" s="14" t="str">
        <f t="shared" si="145"/>
        <v/>
      </c>
      <c r="AR268" s="15">
        <f t="shared" si="18"/>
        <v>0</v>
      </c>
      <c r="AT268" s="17">
        <f t="shared" si="144"/>
        <v>0</v>
      </c>
    </row>
    <row r="269" spans="2:46" x14ac:dyDescent="0.2">
      <c r="B269" s="16"/>
      <c r="C269" s="15" t="s">
        <v>53</v>
      </c>
      <c r="D269" s="30" t="str">
        <f t="shared" si="126"/>
        <v/>
      </c>
      <c r="E269" s="14" t="str">
        <f t="shared" si="134"/>
        <v/>
      </c>
      <c r="F269" s="14" t="str">
        <f t="shared" si="135"/>
        <v/>
      </c>
      <c r="G269" s="14" t="str">
        <f t="shared" si="136"/>
        <v/>
      </c>
      <c r="H269" s="14" t="str">
        <f t="shared" si="137"/>
        <v/>
      </c>
      <c r="I269" s="14" t="str">
        <f t="shared" si="138"/>
        <v/>
      </c>
      <c r="J269" s="14" t="str">
        <f t="shared" si="139"/>
        <v/>
      </c>
      <c r="K269" s="14" t="str">
        <f t="shared" si="140"/>
        <v/>
      </c>
      <c r="L269" s="14" t="str">
        <f t="shared" si="141"/>
        <v/>
      </c>
      <c r="M269" s="14" t="str">
        <f t="shared" si="142"/>
        <v/>
      </c>
      <c r="N269" s="14" t="str">
        <f t="shared" si="143"/>
        <v/>
      </c>
      <c r="O269" s="14" t="s">
        <v>11</v>
      </c>
      <c r="P269" s="14" t="s">
        <v>11</v>
      </c>
      <c r="Q269" s="14" t="s">
        <v>11</v>
      </c>
      <c r="R269" s="14" t="s">
        <v>13</v>
      </c>
      <c r="S269" s="14" t="s">
        <v>11</v>
      </c>
      <c r="T269" s="14" t="s">
        <v>11</v>
      </c>
      <c r="U269" s="14" t="s">
        <v>11</v>
      </c>
      <c r="V269" s="14" t="s">
        <v>11</v>
      </c>
      <c r="W269" s="14" t="s">
        <v>11</v>
      </c>
      <c r="X269" s="14" t="s">
        <v>11</v>
      </c>
      <c r="Y269" s="14" t="str">
        <f t="shared" si="127"/>
        <v/>
      </c>
      <c r="Z269" s="14" t="str">
        <f t="shared" si="128"/>
        <v/>
      </c>
      <c r="AA269" s="15">
        <f t="shared" si="13"/>
        <v>0</v>
      </c>
      <c r="AB269" s="14" t="s">
        <v>11</v>
      </c>
      <c r="AC269" s="14" t="s">
        <v>41</v>
      </c>
      <c r="AD269" s="14" t="s">
        <v>11</v>
      </c>
      <c r="AE269" s="14" t="s">
        <v>41</v>
      </c>
      <c r="AF269" s="14" t="s">
        <v>13</v>
      </c>
      <c r="AG269" s="14" t="s">
        <v>11</v>
      </c>
      <c r="AH269" s="14" t="s">
        <v>11</v>
      </c>
      <c r="AI269" s="14" t="s">
        <v>11</v>
      </c>
      <c r="AJ269" s="14" t="s">
        <v>11</v>
      </c>
      <c r="AK269" s="14" t="s">
        <v>11</v>
      </c>
      <c r="AL269" s="14" t="str">
        <f t="shared" si="129"/>
        <v>T</v>
      </c>
      <c r="AM269" s="14" t="str">
        <f t="shared" si="130"/>
        <v>T</v>
      </c>
      <c r="AN269" s="14" t="str">
        <f t="shared" si="131"/>
        <v/>
      </c>
      <c r="AO269" s="14" t="str">
        <f t="shared" si="132"/>
        <v/>
      </c>
      <c r="AP269" s="14" t="str">
        <f t="shared" si="133"/>
        <v/>
      </c>
      <c r="AQ269" s="14" t="str">
        <f t="shared" si="145"/>
        <v/>
      </c>
      <c r="AR269" s="15">
        <f t="shared" si="18"/>
        <v>0</v>
      </c>
      <c r="AT269" s="17">
        <f t="shared" si="144"/>
        <v>0</v>
      </c>
    </row>
    <row r="270" spans="2:46" x14ac:dyDescent="0.2">
      <c r="B270" s="16"/>
      <c r="C270" s="15" t="s">
        <v>53</v>
      </c>
      <c r="D270" s="30" t="str">
        <f t="shared" ref="D270:D271" si="146">SuprimePreposições(SubstituirTildes(B270))</f>
        <v/>
      </c>
      <c r="E270" s="14" t="str">
        <f t="shared" ref="E270:E271" si="147">MID(D270,E$3,IF(ISERR(SEARCH(" ",D270,E$3)),1000,SEARCH(" ",D270,E$3))-E$3)</f>
        <v/>
      </c>
      <c r="F270" s="14" t="str">
        <f t="shared" ref="F270:F271" si="148">MID(D270,LEN(E270)+F$3,IF(ISERR(SEARCH(" ",D270,LEN(E270)+F$3)),1000,SEARCH(" ",D270,LEN(E270)+F$3)-LEN(E270)-F$3))</f>
        <v/>
      </c>
      <c r="G270" s="14" t="str">
        <f t="shared" ref="G270:G271" si="149">MID(D270,LEN(E270&amp;F270)+G$3,IF(ISERR(SEARCH(" ",D270,LEN(E270&amp;F270)+G$3)),1000,SEARCH(" ",D270,LEN(E270&amp;F270)+G$3)-LEN(E270&amp;F270)-G$3))</f>
        <v/>
      </c>
      <c r="H270" s="14" t="str">
        <f t="shared" ref="H270:H271" si="150">MID(D270,LEN(E270&amp;F270&amp;G270)+H$3,IF(ISERR(SEARCH(" ",D270,LEN(E270&amp;F270&amp;G270)+H$3)),1000,SEARCH(" ",D270,LEN(E270&amp;F270&amp;G270)+H$3)-LEN(E270&amp;F270&amp;G270)-H$3))</f>
        <v/>
      </c>
      <c r="I270" s="14" t="str">
        <f t="shared" ref="I270:I271" si="151">MID(D270,LEN(E270&amp;F270&amp;G270&amp;H270)+I$3,IF(ISERR(SEARCH(" ",D270,LEN(E270&amp;F270&amp;G270&amp;H270)+I$3)),1000,SEARCH(" ",D270,LEN(E270&amp;F270&amp;G270&amp;H270)+I$3)-LEN(E270&amp;F270&amp;G270&amp;H270)-I$3))</f>
        <v/>
      </c>
      <c r="J270" s="14" t="str">
        <f t="shared" ref="J270:J271" si="152">MID(D270,LEN(E270&amp;F270&amp;G270&amp;H270&amp;I270)+J$3,IF(ISERR(SEARCH(" ",D270,LEN(E270&amp;F270&amp;G270&amp;H270&amp;I270)+J$3)),1000,SEARCH(" ",D270,LEN(E270&amp;F270&amp;G270&amp;H270&amp;I270)+J$3)-LEN(E270&amp;F270&amp;G270&amp;H270&amp;I270)-J$3))</f>
        <v/>
      </c>
      <c r="K270" s="14" t="str">
        <f t="shared" ref="K270:K271" si="153">MID(D270,LEN(E270&amp;F270&amp;G270&amp;H270&amp;I270&amp;J270)+K$3,IF(ISERR(SEARCH(" ",D270,LEN(E270&amp;F270&amp;G270&amp;H270&amp;I270&amp;J270)+K$3)),1000,SEARCH(" ",D270,LEN(E270&amp;F270&amp;G270&amp;H270&amp;I270&amp;J270)+K$3)-LEN(E270&amp;F270&amp;G270&amp;H270&amp;I270&amp;J270)-K$3))</f>
        <v/>
      </c>
      <c r="L270" s="14" t="str">
        <f t="shared" ref="L270:L271" si="154">MID(D270,LEN(E270&amp;F270&amp;G270&amp;H270&amp;I270&amp;J270&amp;K270)+L$3,IF(ISERR(SEARCH(" ",D270,LEN(E270&amp;F270&amp;G270&amp;H270&amp;I270&amp;J270&amp;K270)+L$3)),1000,SEARCH(" ",D270,LEN(E270&amp;F270&amp;G270&amp;H270&amp;I270&amp;J270&amp;K270)+L$3)-LEN(E270&amp;F270&amp;G270&amp;H270&amp;I270&amp;J270&amp;K270)-L$3))</f>
        <v/>
      </c>
      <c r="M270" s="14" t="str">
        <f t="shared" ref="M270:M271" si="155">MID(D270,LEN(E270&amp;F270&amp;G270&amp;H270&amp;I270&amp;J270&amp;K270&amp;L270)+M$3,IF(ISERR(SEARCH(" ",D270,LEN(E270&amp;F270&amp;G270&amp;H270&amp;I270&amp;J270&amp;K270&amp;L270)+M$3)),1000,SEARCH(" ",D270,LEN(E270&amp;F270&amp;G270&amp;H270&amp;I270&amp;J270&amp;K270&amp;L270)+M$3)-LEN(E270&amp;F270&amp;G270&amp;H270&amp;I270&amp;J270&amp;K270&amp;L270)-M$3))</f>
        <v/>
      </c>
      <c r="N270" s="14" t="str">
        <f t="shared" ref="N270:N271" si="156">MID(D270,LEN(E270&amp;F270&amp;G270&amp;H270&amp;I270&amp;J270&amp;K270&amp;L270&amp;M270)+N$3,IF(ISERR(SEARCH(" ",D270,LEN(E270&amp;F270&amp;G270&amp;H270&amp;I270&amp;J270&amp;K270&amp;L270&amp;M270)+N$3)),1000,SEARCH(" ",D270,LEN(E270&amp;F270&amp;G270&amp;H270&amp;I270&amp;J270&amp;K270&amp;L270&amp;M270)+N$3)-LEN(E270&amp;F270&amp;G270&amp;H270&amp;I270&amp;J270&amp;K270&amp;L270&amp;M270)-N$3))</f>
        <v/>
      </c>
      <c r="O270" s="14" t="s">
        <v>11</v>
      </c>
      <c r="P270" s="14" t="s">
        <v>11</v>
      </c>
      <c r="Q270" s="14" t="s">
        <v>11</v>
      </c>
      <c r="R270" s="14" t="s">
        <v>13</v>
      </c>
      <c r="S270" s="14" t="s">
        <v>11</v>
      </c>
      <c r="T270" s="14" t="s">
        <v>11</v>
      </c>
      <c r="U270" s="14" t="s">
        <v>11</v>
      </c>
      <c r="V270" s="14" t="s">
        <v>11</v>
      </c>
      <c r="W270" s="14" t="s">
        <v>11</v>
      </c>
      <c r="X270" s="14" t="s">
        <v>11</v>
      </c>
      <c r="Y270" s="14" t="str">
        <f t="shared" ref="Y270:Y271" si="157">IF(C270="E",IF(O270="X",IF(E270&lt;&gt;"",IF(ISERROR(VLOOKUP(E270,ListaThesaurus,2,FALSE)),"***",E270),""),""),IF(C270="A",IF(O270="X",IF(E270&lt;&gt;"",IF(ISERROR(VLOOKUP(E270,ListaNaturezas,2,FALSE)),"***",LOWER(VLOOKUP(E270,ListaNaturezas,2,FALSE))),""),""),"***"))&amp;IF(P270="X",IF(F270&lt;&gt;"",IF(ISERROR(VLOOKUP(F270,ListaThesaurus,2,FALSE)),"***",F270),""),"")&amp;IF(Q270="X",IF(G270&lt;&gt;"",IF(ISERROR(VLOOKUP(G270,ListaThesaurus,2,FALSE)),"***",G270),""),"")&amp;IF(R270="X",IF(H270&lt;&gt;"",IF(ISERROR(VLOOKUP(H270,ListaThesaurus,2,FALSE)),"***",H270),""),"")&amp;IF(S270="X",IF(I270&lt;&gt;"",IF(ISERROR(VLOOKUP(I270,ListaThesaurus,2,FALSE)),"***",I270),""),"")</f>
        <v/>
      </c>
      <c r="Z270" s="14" t="str">
        <f t="shared" ref="Z270:Z271" si="158">IF(OR(C270="E",C270="A"),Y270&amp;IF(T270="X",IF(J270&lt;&gt;"",IF(ISERROR(VLOOKUP(J270,ListaThesaurus,2,FALSE)),"***",J270),""),"")&amp;IF(U270="X",IF(K270&lt;&gt;"",IF(ISERROR(VLOOKUP(K270,ListaThesaurus,2,FALSE)),"***",K270),""),"")&amp;IF(V270="X",IF(L270&lt;&gt;"",IF(ISERROR(VLOOKUP(L270,ListaThesaurus,2,FALSE)),"***",L270),""),"")&amp;IF(W270="X",IF(M270&lt;&gt;"",IF(ISERROR(VLOOKUP(M270,ListaThesaurus,2,FALSE)),"***",M270),""),"")&amp;IF(X270="X",IF(N270&lt;&gt;"",IF(ISERROR(VLOOKUP(N270,ListaThesaurus,2,FALSE)),"***",N270),""),""),"")</f>
        <v/>
      </c>
      <c r="AA270" s="15">
        <f t="shared" si="13"/>
        <v>0</v>
      </c>
      <c r="AB270" s="14" t="s">
        <v>11</v>
      </c>
      <c r="AC270" s="14" t="s">
        <v>11</v>
      </c>
      <c r="AD270" s="14" t="s">
        <v>11</v>
      </c>
      <c r="AE270" s="14" t="s">
        <v>11</v>
      </c>
      <c r="AF270" s="14" t="s">
        <v>13</v>
      </c>
      <c r="AG270" s="14" t="s">
        <v>11</v>
      </c>
      <c r="AH270" s="14" t="s">
        <v>11</v>
      </c>
      <c r="AI270" s="14" t="s">
        <v>11</v>
      </c>
      <c r="AJ270" s="14" t="s">
        <v>11</v>
      </c>
      <c r="AK270" s="14" t="s">
        <v>11</v>
      </c>
      <c r="AL270" s="14" t="str">
        <f t="shared" ref="AL270:AL271" si="159">"T"&amp;IF(AB270="X",IF(E270&lt;&gt;"",IF(ISERROR(VLOOKUP(E270,ListaThesaurus,2,FALSE)),"***",VLOOKUP(E270,ListaThesaurus,2,FALSE)),""),"")&amp;IF(AC270="X",IF(F270&lt;&gt;"",IF(AB270="X","_","")&amp;IF(ISERROR(VLOOKUP(F270,ListaThesaurus,2,FALSE)),"***",VLOOKUP(F270,ListaThesaurus,2,FALSE)),""),"")&amp;IF(AD270="X",IF(G270&lt;&gt;"",IF(OR(AB270="X",AC270="X"),"_","")&amp;IF(ISERROR(VLOOKUP(G270,ListaThesaurus,2,FALSE)),"***",VLOOKUP(G270,ListaThesaurus,2,FALSE)),""),"")&amp;IF(AE270="X",IF(H270&lt;&gt;"",IF(OR(AB270="X",AC270="X",AD270="X"),"_","")&amp;IF(ISERROR(VLOOKUP(H270,ListaThesaurus,2,FALSE)),"***",VLOOKUP(H270,ListaThesaurus,2,FALSE)),""),"")&amp;IF(AF270="X",IF(I270&lt;&gt;"",IF(OR(AB270="X",AC270="X",AD270="X",AE270="X"),"_","")&amp;IF(ISERROR(VLOOKUP(I270,ListaThesaurus,2,FALSE)),"***",VLOOKUP(I270,ListaThesaurus,2,FALSE)),""),"")</f>
        <v>T</v>
      </c>
      <c r="AM270" s="14" t="str">
        <f t="shared" ref="AM270:AM271" si="160">AL270&amp;IF(AG270="X",IF(J270&lt;&gt;"",IF(OR(AB270="X",AC270="X",AD270="X",AE270="X",AF270="X"),"_","")&amp;IF(ISERROR(VLOOKUP(J270,ListaThesaurus,2,FALSE)),"***",VLOOKUP(J270,ListaThesaurus,2,FALSE)),""),"")&amp;IF(AH270="X",IF(K270&lt;&gt;"",IF(OR(AB270="X",AC270="X",AD270="X",AE270="X",AF270="X",AG270="X"),"_","")&amp;IF(ISERROR(VLOOKUP(K270,ListaThesaurus,2,FALSE)),"***",VLOOKUP(K270,ListaThesaurus,2,FALSE)),""),"")&amp;IF(AI270="X",IF(L270&lt;&gt;"",IF(OR(AB270="X",AC270="X",AD270="X",AE270="X",AF270="X",AG270="X",AH270="X"),"_","")&amp;IF(ISERROR(VLOOKUP(L270,ListaThesaurus,2,FALSE)),"***",VLOOKUP(L270,ListaThesaurus,2,FALSE)),""),"")&amp;IF(AJ270="X",IF(M270&lt;&gt;"",IF(OR(AB270="X",AC270="X",AD270="X",AE270="X",AF270="X",AG270="X",AH270="X",AI270="X"),"_","")&amp;IF(ISERROR(VLOOKUP(M270,ListaThesaurus,2,FALSE)),"***",VLOOKUP(M270,ListaThesaurus,2,FALSE)),""),"")&amp;IF(AK270="X",IF(N270&lt;&gt;"",IF(OR(AB270="X",AC270="X",AD270="X",AE270="X",AF270="X",AG270="X",AH270="X",AI270="X",AJ270="X"),"_","")&amp;IF(ISERROR(VLOOKUP(N270,ListaThesaurus,2,FALSE)),"***",VLOOKUP(N270,ListaThesaurus,2,FALSE)),""),"")</f>
        <v>T</v>
      </c>
      <c r="AN270" s="14" t="str">
        <f t="shared" ref="AN270:AN271" si="161">IF(AB270="X",IF(E270&lt;&gt;"",IF(ISERROR(VLOOKUP(E270,ListaNaturezas,3,FALSE)),"***",VLOOKUP(E270,ListaNaturezas,3,FALSE)),""),"")&amp;IF(AC270="X",IF(F270&lt;&gt;"",IF(ISERROR(VLOOKUP(F270,ListaThesaurus,2,FALSE)),"***",VLOOKUP(F270,ListaThesaurus,2,FALSE)),""),"")&amp;IF(AD270="X",IF(G270&lt;&gt;"",IF(AC270="X","_","")&amp;IF(ISERROR(VLOOKUP(G270,ListaThesaurus,2,FALSE)),"***",VLOOKUP(G270,ListaThesaurus,2,FALSE)),""),"")&amp;IF(AE270="X",IF(H270&lt;&gt;"",IF(OR(AC270="X",AD270="X"),"_","")&amp;IF(ISERROR(VLOOKUP(H270,ListaThesaurus,2,FALSE)),"***",VLOOKUP(H270,ListaThesaurus,2,FALSE)),""),"")&amp;IF(AF270="X",IF(I270&lt;&gt;"",IF(OR(AC270="X",AD270="X",AE270="X"),"_","")&amp;IF(ISERROR(VLOOKUP(I270,ListaThesaurus,2,FALSE)),"***",VLOOKUP(I270,ListaThesaurus,2,FALSE)),""),"")</f>
        <v/>
      </c>
      <c r="AO270" s="14" t="str">
        <f t="shared" ref="AO270:AO271" si="162">AN270&amp;IF(AG270="X",IF(J270&lt;&gt;"",IF(OR(AC270="X",AD270="X",AE270="X",AF270="X"),"_","")&amp;IF(ISERROR(VLOOKUP(J270,ListaThesaurus,2,FALSE)),"***",VLOOKUP(J270,ListaThesaurus,2,FALSE)),""),"")&amp;IF(AH270="X",IF(K270&lt;&gt;"",IF(OR(AC270="X",AD270="X",AE270="X",AF270="X",AG270="X"),"_","")&amp;IF(ISERROR(VLOOKUP(K270,ListaThesaurus,2,FALSE)),"***",VLOOKUP(K270,ListaThesaurus,2,FALSE)),""),"")&amp;IF(AI270="X",IF(L270&lt;&gt;"",IF(OR(AC270="X",AD270="X",AE270="X",AF270="X",AG270="X",AH270="X"),"_","")&amp;IF(ISERROR(VLOOKUP(L270,ListaThesaurus,2,FALSE)),"***",VLOOKUP(L270,ListaThesaurus,2,FALSE)),""),"")&amp;IF(AJ270="X",IF(M270&lt;&gt;"",IF(OR(AC270="X",AD270="X",AE270="X",AF270="X",AG270="X",AH270="X",AI270="X"),"_","")&amp;IF(ISERROR(VLOOKUP(M270,ListaThesaurus,2,FALSE)),"***",VLOOKUP(M270,ListaThesaurus,2,FALSE)),""),"")&amp;IF(AK270="X",IF(N270&lt;&gt;"",IF(OR(AC270="X",AD270="X",AE270="X",AF270="X",AG270="X",AH270="X",AI270="X",AJ270="X"),"_","")&amp;IF(ISERROR(VLOOKUP(N270,ListaThesaurus,2,FALSE)),"***",VLOOKUP(N270,ListaThesaurus,2,FALSE)),""),"")</f>
        <v/>
      </c>
      <c r="AP270" s="14" t="str">
        <f t="shared" ref="AP270:AP271" si="163">IF(C270="A",AO270,IF(C270="E",AM270,""))</f>
        <v/>
      </c>
      <c r="AQ270" s="14" t="str">
        <f t="shared" si="145"/>
        <v/>
      </c>
      <c r="AR270" s="15">
        <f t="shared" si="18"/>
        <v>0</v>
      </c>
      <c r="AT270" s="17">
        <f t="shared" si="144"/>
        <v>0</v>
      </c>
    </row>
    <row r="271" spans="2:46" x14ac:dyDescent="0.2">
      <c r="B271" s="16"/>
      <c r="C271" s="15" t="s">
        <v>53</v>
      </c>
      <c r="D271" s="30" t="str">
        <f t="shared" si="146"/>
        <v/>
      </c>
      <c r="E271" s="14" t="str">
        <f t="shared" si="147"/>
        <v/>
      </c>
      <c r="F271" s="14" t="str">
        <f t="shared" si="148"/>
        <v/>
      </c>
      <c r="G271" s="14" t="str">
        <f t="shared" si="149"/>
        <v/>
      </c>
      <c r="H271" s="14" t="str">
        <f t="shared" si="150"/>
        <v/>
      </c>
      <c r="I271" s="14" t="str">
        <f t="shared" si="151"/>
        <v/>
      </c>
      <c r="J271" s="14" t="str">
        <f t="shared" si="152"/>
        <v/>
      </c>
      <c r="K271" s="14" t="str">
        <f t="shared" si="153"/>
        <v/>
      </c>
      <c r="L271" s="14" t="str">
        <f t="shared" si="154"/>
        <v/>
      </c>
      <c r="M271" s="14" t="str">
        <f t="shared" si="155"/>
        <v/>
      </c>
      <c r="N271" s="14" t="str">
        <f t="shared" si="156"/>
        <v/>
      </c>
      <c r="O271" s="14" t="s">
        <v>11</v>
      </c>
      <c r="P271" s="14" t="s">
        <v>11</v>
      </c>
      <c r="Q271" s="14" t="s">
        <v>11</v>
      </c>
      <c r="R271" s="14" t="s">
        <v>13</v>
      </c>
      <c r="S271" s="14" t="s">
        <v>11</v>
      </c>
      <c r="T271" s="14" t="s">
        <v>11</v>
      </c>
      <c r="U271" s="14" t="s">
        <v>11</v>
      </c>
      <c r="V271" s="14" t="s">
        <v>11</v>
      </c>
      <c r="W271" s="14" t="s">
        <v>11</v>
      </c>
      <c r="X271" s="14" t="s">
        <v>11</v>
      </c>
      <c r="Y271" s="14" t="str">
        <f t="shared" si="157"/>
        <v/>
      </c>
      <c r="Z271" s="14" t="str">
        <f t="shared" si="158"/>
        <v/>
      </c>
      <c r="AA271" s="15">
        <f t="shared" si="13"/>
        <v>0</v>
      </c>
      <c r="AB271" s="14" t="s">
        <v>11</v>
      </c>
      <c r="AC271" s="14" t="s">
        <v>11</v>
      </c>
      <c r="AD271" s="14" t="s">
        <v>11</v>
      </c>
      <c r="AE271" s="14" t="s">
        <v>11</v>
      </c>
      <c r="AF271" s="14" t="s">
        <v>13</v>
      </c>
      <c r="AG271" s="14" t="s">
        <v>11</v>
      </c>
      <c r="AH271" s="14" t="s">
        <v>11</v>
      </c>
      <c r="AI271" s="14" t="s">
        <v>11</v>
      </c>
      <c r="AJ271" s="14" t="s">
        <v>11</v>
      </c>
      <c r="AK271" s="14" t="s">
        <v>11</v>
      </c>
      <c r="AL271" s="14" t="str">
        <f t="shared" si="159"/>
        <v>T</v>
      </c>
      <c r="AM271" s="14" t="str">
        <f t="shared" si="160"/>
        <v>T</v>
      </c>
      <c r="AN271" s="14" t="str">
        <f t="shared" si="161"/>
        <v/>
      </c>
      <c r="AO271" s="14" t="str">
        <f t="shared" si="162"/>
        <v/>
      </c>
      <c r="AP271" s="14" t="str">
        <f t="shared" si="163"/>
        <v/>
      </c>
      <c r="AQ271" s="14" t="str">
        <f t="shared" si="145"/>
        <v/>
      </c>
      <c r="AR271" s="15">
        <f t="shared" si="18"/>
        <v>0</v>
      </c>
      <c r="AT271" s="17">
        <f t="shared" si="144"/>
        <v>0</v>
      </c>
    </row>
    <row r="272" spans="2:46" x14ac:dyDescent="0.2">
      <c r="B272" s="16"/>
      <c r="C272" s="15" t="s">
        <v>53</v>
      </c>
      <c r="D272" s="30" t="str">
        <f t="shared" ref="D272:D335" si="164">SuprimePreposições(SubstituirTildes(B272))</f>
        <v/>
      </c>
      <c r="E272" s="14" t="str">
        <f t="shared" ref="E272:E335" si="165">MID(D272,E$3,IF(ISERR(SEARCH(" ",D272,E$3)),1000,SEARCH(" ",D272,E$3))-E$3)</f>
        <v/>
      </c>
      <c r="F272" s="14" t="str">
        <f t="shared" ref="F272:F335" si="166">MID(D272,LEN(E272)+F$3,IF(ISERR(SEARCH(" ",D272,LEN(E272)+F$3)),1000,SEARCH(" ",D272,LEN(E272)+F$3)-LEN(E272)-F$3))</f>
        <v/>
      </c>
      <c r="G272" s="14" t="str">
        <f t="shared" ref="G272:G335" si="167">MID(D272,LEN(E272&amp;F272)+G$3,IF(ISERR(SEARCH(" ",D272,LEN(E272&amp;F272)+G$3)),1000,SEARCH(" ",D272,LEN(E272&amp;F272)+G$3)-LEN(E272&amp;F272)-G$3))</f>
        <v/>
      </c>
      <c r="H272" s="14" t="str">
        <f t="shared" ref="H272:H335" si="168">MID(D272,LEN(E272&amp;F272&amp;G272)+H$3,IF(ISERR(SEARCH(" ",D272,LEN(E272&amp;F272&amp;G272)+H$3)),1000,SEARCH(" ",D272,LEN(E272&amp;F272&amp;G272)+H$3)-LEN(E272&amp;F272&amp;G272)-H$3))</f>
        <v/>
      </c>
      <c r="I272" s="14" t="str">
        <f t="shared" ref="I272:I335" si="169">MID(D272,LEN(E272&amp;F272&amp;G272&amp;H272)+I$3,IF(ISERR(SEARCH(" ",D272,LEN(E272&amp;F272&amp;G272&amp;H272)+I$3)),1000,SEARCH(" ",D272,LEN(E272&amp;F272&amp;G272&amp;H272)+I$3)-LEN(E272&amp;F272&amp;G272&amp;H272)-I$3))</f>
        <v/>
      </c>
      <c r="J272" s="14" t="str">
        <f t="shared" ref="J272:J335" si="170">MID(D272,LEN(E272&amp;F272&amp;G272&amp;H272&amp;I272)+J$3,IF(ISERR(SEARCH(" ",D272,LEN(E272&amp;F272&amp;G272&amp;H272&amp;I272)+J$3)),1000,SEARCH(" ",D272,LEN(E272&amp;F272&amp;G272&amp;H272&amp;I272)+J$3)-LEN(E272&amp;F272&amp;G272&amp;H272&amp;I272)-J$3))</f>
        <v/>
      </c>
      <c r="K272" s="14" t="str">
        <f t="shared" ref="K272:K335" si="171">MID(D272,LEN(E272&amp;F272&amp;G272&amp;H272&amp;I272&amp;J272)+K$3,IF(ISERR(SEARCH(" ",D272,LEN(E272&amp;F272&amp;G272&amp;H272&amp;I272&amp;J272)+K$3)),1000,SEARCH(" ",D272,LEN(E272&amp;F272&amp;G272&amp;H272&amp;I272&amp;J272)+K$3)-LEN(E272&amp;F272&amp;G272&amp;H272&amp;I272&amp;J272)-K$3))</f>
        <v/>
      </c>
      <c r="L272" s="14" t="str">
        <f t="shared" ref="L272:L335" si="172">MID(D272,LEN(E272&amp;F272&amp;G272&amp;H272&amp;I272&amp;J272&amp;K272)+L$3,IF(ISERR(SEARCH(" ",D272,LEN(E272&amp;F272&amp;G272&amp;H272&amp;I272&amp;J272&amp;K272)+L$3)),1000,SEARCH(" ",D272,LEN(E272&amp;F272&amp;G272&amp;H272&amp;I272&amp;J272&amp;K272)+L$3)-LEN(E272&amp;F272&amp;G272&amp;H272&amp;I272&amp;J272&amp;K272)-L$3))</f>
        <v/>
      </c>
      <c r="M272" s="14" t="str">
        <f t="shared" ref="M272:M335" si="173">MID(D272,LEN(E272&amp;F272&amp;G272&amp;H272&amp;I272&amp;J272&amp;K272&amp;L272)+M$3,IF(ISERR(SEARCH(" ",D272,LEN(E272&amp;F272&amp;G272&amp;H272&amp;I272&amp;J272&amp;K272&amp;L272)+M$3)),1000,SEARCH(" ",D272,LEN(E272&amp;F272&amp;G272&amp;H272&amp;I272&amp;J272&amp;K272&amp;L272)+M$3)-LEN(E272&amp;F272&amp;G272&amp;H272&amp;I272&amp;J272&amp;K272&amp;L272)-M$3))</f>
        <v/>
      </c>
      <c r="N272" s="14" t="str">
        <f t="shared" ref="N272:N335" si="174">MID(D272,LEN(E272&amp;F272&amp;G272&amp;H272&amp;I272&amp;J272&amp;K272&amp;L272&amp;M272)+N$3,IF(ISERR(SEARCH(" ",D272,LEN(E272&amp;F272&amp;G272&amp;H272&amp;I272&amp;J272&amp;K272&amp;L272&amp;M272)+N$3)),1000,SEARCH(" ",D272,LEN(E272&amp;F272&amp;G272&amp;H272&amp;I272&amp;J272&amp;K272&amp;L272&amp;M272)+N$3)-LEN(E272&amp;F272&amp;G272&amp;H272&amp;I272&amp;J272&amp;K272&amp;L272&amp;M272)-N$3))</f>
        <v/>
      </c>
      <c r="O272" s="14" t="s">
        <v>11</v>
      </c>
      <c r="P272" s="14" t="s">
        <v>11</v>
      </c>
      <c r="Q272" s="14" t="s">
        <v>11</v>
      </c>
      <c r="R272" s="14" t="s">
        <v>13</v>
      </c>
      <c r="S272" s="14" t="s">
        <v>11</v>
      </c>
      <c r="T272" s="14" t="s">
        <v>11</v>
      </c>
      <c r="U272" s="14" t="s">
        <v>11</v>
      </c>
      <c r="V272" s="14" t="s">
        <v>11</v>
      </c>
      <c r="W272" s="14" t="s">
        <v>11</v>
      </c>
      <c r="X272" s="14" t="s">
        <v>11</v>
      </c>
      <c r="Y272" s="14" t="str">
        <f t="shared" ref="Y272:Y335" si="175">IF(C272="E",IF(O272="X",IF(E272&lt;&gt;"",IF(ISERROR(VLOOKUP(E272,ListaThesaurus,2,FALSE)),"***",E272),""),""),IF(C272="A",IF(O272="X",IF(E272&lt;&gt;"",IF(ISERROR(VLOOKUP(E272,ListaNaturezas,2,FALSE)),"***",LOWER(VLOOKUP(E272,ListaNaturezas,2,FALSE))),""),""),"***"))&amp;IF(P272="X",IF(F272&lt;&gt;"",IF(ISERROR(VLOOKUP(F272,ListaThesaurus,2,FALSE)),"***",F272),""),"")&amp;IF(Q272="X",IF(G272&lt;&gt;"",IF(ISERROR(VLOOKUP(G272,ListaThesaurus,2,FALSE)),"***",G272),""),"")&amp;IF(R272="X",IF(H272&lt;&gt;"",IF(ISERROR(VLOOKUP(H272,ListaThesaurus,2,FALSE)),"***",H272),""),"")&amp;IF(S272="X",IF(I272&lt;&gt;"",IF(ISERROR(VLOOKUP(I272,ListaThesaurus,2,FALSE)),"***",I272),""),"")</f>
        <v/>
      </c>
      <c r="Z272" s="14" t="str">
        <f t="shared" ref="Z272:Z335" si="176">IF(OR(C272="E",C272="A"),Y272&amp;IF(T272="X",IF(J272&lt;&gt;"",IF(ISERROR(VLOOKUP(J272,ListaThesaurus,2,FALSE)),"***",J272),""),"")&amp;IF(U272="X",IF(K272&lt;&gt;"",IF(ISERROR(VLOOKUP(K272,ListaThesaurus,2,FALSE)),"***",K272),""),"")&amp;IF(V272="X",IF(L272&lt;&gt;"",IF(ISERROR(VLOOKUP(L272,ListaThesaurus,2,FALSE)),"***",L272),""),"")&amp;IF(W272="X",IF(M272&lt;&gt;"",IF(ISERROR(VLOOKUP(M272,ListaThesaurus,2,FALSE)),"***",M272),""),"")&amp;IF(X272="X",IF(N272&lt;&gt;"",IF(ISERROR(VLOOKUP(N272,ListaThesaurus,2,FALSE)),"***",N272),""),""),"")</f>
        <v/>
      </c>
      <c r="AA272" s="15">
        <f t="shared" ref="AA272:AA335" si="177">LEN(Z272)</f>
        <v>0</v>
      </c>
      <c r="AB272" s="14" t="s">
        <v>11</v>
      </c>
      <c r="AC272" s="14" t="s">
        <v>11</v>
      </c>
      <c r="AD272" s="14" t="s">
        <v>11</v>
      </c>
      <c r="AE272" s="14" t="s">
        <v>11</v>
      </c>
      <c r="AF272" s="14" t="s">
        <v>13</v>
      </c>
      <c r="AG272" s="14" t="s">
        <v>11</v>
      </c>
      <c r="AH272" s="14" t="s">
        <v>11</v>
      </c>
      <c r="AI272" s="14" t="s">
        <v>11</v>
      </c>
      <c r="AJ272" s="14" t="s">
        <v>11</v>
      </c>
      <c r="AK272" s="14" t="s">
        <v>11</v>
      </c>
      <c r="AL272" s="14" t="str">
        <f t="shared" ref="AL272:AL335" si="178">"T"&amp;IF(AB272="X",IF(E272&lt;&gt;"",IF(ISERROR(VLOOKUP(E272,ListaThesaurus,2,FALSE)),"***",VLOOKUP(E272,ListaThesaurus,2,FALSE)),""),"")&amp;IF(AC272="X",IF(F272&lt;&gt;"",IF(AB272="X","_","")&amp;IF(ISERROR(VLOOKUP(F272,ListaThesaurus,2,FALSE)),"***",VLOOKUP(F272,ListaThesaurus,2,FALSE)),""),"")&amp;IF(AD272="X",IF(G272&lt;&gt;"",IF(OR(AB272="X",AC272="X"),"_","")&amp;IF(ISERROR(VLOOKUP(G272,ListaThesaurus,2,FALSE)),"***",VLOOKUP(G272,ListaThesaurus,2,FALSE)),""),"")&amp;IF(AE272="X",IF(H272&lt;&gt;"",IF(OR(AB272="X",AC272="X",AD272="X"),"_","")&amp;IF(ISERROR(VLOOKUP(H272,ListaThesaurus,2,FALSE)),"***",VLOOKUP(H272,ListaThesaurus,2,FALSE)),""),"")&amp;IF(AF272="X",IF(I272&lt;&gt;"",IF(OR(AB272="X",AC272="X",AD272="X",AE272="X"),"_","")&amp;IF(ISERROR(VLOOKUP(I272,ListaThesaurus,2,FALSE)),"***",VLOOKUP(I272,ListaThesaurus,2,FALSE)),""),"")</f>
        <v>T</v>
      </c>
      <c r="AM272" s="14" t="str">
        <f t="shared" ref="AM272:AM335" si="179">AL272&amp;IF(AG272="X",IF(J272&lt;&gt;"",IF(OR(AB272="X",AC272="X",AD272="X",AE272="X",AF272="X"),"_","")&amp;IF(ISERROR(VLOOKUP(J272,ListaThesaurus,2,FALSE)),"***",VLOOKUP(J272,ListaThesaurus,2,FALSE)),""),"")&amp;IF(AH272="X",IF(K272&lt;&gt;"",IF(OR(AB272="X",AC272="X",AD272="X",AE272="X",AF272="X",AG272="X"),"_","")&amp;IF(ISERROR(VLOOKUP(K272,ListaThesaurus,2,FALSE)),"***",VLOOKUP(K272,ListaThesaurus,2,FALSE)),""),"")&amp;IF(AI272="X",IF(L272&lt;&gt;"",IF(OR(AB272="X",AC272="X",AD272="X",AE272="X",AF272="X",AG272="X",AH272="X"),"_","")&amp;IF(ISERROR(VLOOKUP(L272,ListaThesaurus,2,FALSE)),"***",VLOOKUP(L272,ListaThesaurus,2,FALSE)),""),"")&amp;IF(AJ272="X",IF(M272&lt;&gt;"",IF(OR(AB272="X",AC272="X",AD272="X",AE272="X",AF272="X",AG272="X",AH272="X",AI272="X"),"_","")&amp;IF(ISERROR(VLOOKUP(M272,ListaThesaurus,2,FALSE)),"***",VLOOKUP(M272,ListaThesaurus,2,FALSE)),""),"")&amp;IF(AK272="X",IF(N272&lt;&gt;"",IF(OR(AB272="X",AC272="X",AD272="X",AE272="X",AF272="X",AG272="X",AH272="X",AI272="X",AJ272="X"),"_","")&amp;IF(ISERROR(VLOOKUP(N272,ListaThesaurus,2,FALSE)),"***",VLOOKUP(N272,ListaThesaurus,2,FALSE)),""),"")</f>
        <v>T</v>
      </c>
      <c r="AN272" s="14" t="str">
        <f t="shared" ref="AN272:AN335" si="180">IF(AB272="X",IF(E272&lt;&gt;"",IF(ISERROR(VLOOKUP(E272,ListaNaturezas,3,FALSE)),"***",VLOOKUP(E272,ListaNaturezas,3,FALSE)),""),"")&amp;IF(AC272="X",IF(F272&lt;&gt;"",IF(ISERROR(VLOOKUP(F272,ListaThesaurus,2,FALSE)),"***",VLOOKUP(F272,ListaThesaurus,2,FALSE)),""),"")&amp;IF(AD272="X",IF(G272&lt;&gt;"",IF(AC272="X","_","")&amp;IF(ISERROR(VLOOKUP(G272,ListaThesaurus,2,FALSE)),"***",VLOOKUP(G272,ListaThesaurus,2,FALSE)),""),"")&amp;IF(AE272="X",IF(H272&lt;&gt;"",IF(OR(AC272="X",AD272="X"),"_","")&amp;IF(ISERROR(VLOOKUP(H272,ListaThesaurus,2,FALSE)),"***",VLOOKUP(H272,ListaThesaurus,2,FALSE)),""),"")&amp;IF(AF272="X",IF(I272&lt;&gt;"",IF(OR(AC272="X",AD272="X",AE272="X"),"_","")&amp;IF(ISERROR(VLOOKUP(I272,ListaThesaurus,2,FALSE)),"***",VLOOKUP(I272,ListaThesaurus,2,FALSE)),""),"")</f>
        <v/>
      </c>
      <c r="AO272" s="14" t="str">
        <f t="shared" ref="AO272:AO335" si="181">AN272&amp;IF(AG272="X",IF(J272&lt;&gt;"",IF(OR(AC272="X",AD272="X",AE272="X",AF272="X"),"_","")&amp;IF(ISERROR(VLOOKUP(J272,ListaThesaurus,2,FALSE)),"***",VLOOKUP(J272,ListaThesaurus,2,FALSE)),""),"")&amp;IF(AH272="X",IF(K272&lt;&gt;"",IF(OR(AC272="X",AD272="X",AE272="X",AF272="X",AG272="X"),"_","")&amp;IF(ISERROR(VLOOKUP(K272,ListaThesaurus,2,FALSE)),"***",VLOOKUP(K272,ListaThesaurus,2,FALSE)),""),"")&amp;IF(AI272="X",IF(L272&lt;&gt;"",IF(OR(AC272="X",AD272="X",AE272="X",AF272="X",AG272="X",AH272="X"),"_","")&amp;IF(ISERROR(VLOOKUP(L272,ListaThesaurus,2,FALSE)),"***",VLOOKUP(L272,ListaThesaurus,2,FALSE)),""),"")&amp;IF(AJ272="X",IF(M272&lt;&gt;"",IF(OR(AC272="X",AD272="X",AE272="X",AF272="X",AG272="X",AH272="X",AI272="X"),"_","")&amp;IF(ISERROR(VLOOKUP(M272,ListaThesaurus,2,FALSE)),"***",VLOOKUP(M272,ListaThesaurus,2,FALSE)),""),"")&amp;IF(AK272="X",IF(N272&lt;&gt;"",IF(OR(AC272="X",AD272="X",AE272="X",AF272="X",AG272="X",AH272="X",AI272="X",AJ272="X"),"_","")&amp;IF(ISERROR(VLOOKUP(N272,ListaThesaurus,2,FALSE)),"***",VLOOKUP(N272,ListaThesaurus,2,FALSE)),""),"")</f>
        <v/>
      </c>
      <c r="AP272" s="14" t="str">
        <f t="shared" ref="AP272:AP335" si="182">IF(C272="A",AO272,IF(C272="E",AM272,""))</f>
        <v/>
      </c>
      <c r="AQ272" s="14" t="str">
        <f t="shared" si="145"/>
        <v/>
      </c>
      <c r="AR272" s="15">
        <f t="shared" ref="AR272:AR335" si="183">LEN(AP272)</f>
        <v>0</v>
      </c>
      <c r="AT272" s="17">
        <f t="shared" si="144"/>
        <v>0</v>
      </c>
    </row>
    <row r="273" spans="2:46" x14ac:dyDescent="0.2">
      <c r="B273" s="16"/>
      <c r="C273" s="15" t="s">
        <v>53</v>
      </c>
      <c r="D273" s="30" t="str">
        <f t="shared" si="164"/>
        <v/>
      </c>
      <c r="E273" s="14" t="str">
        <f t="shared" si="165"/>
        <v/>
      </c>
      <c r="F273" s="14" t="str">
        <f t="shared" si="166"/>
        <v/>
      </c>
      <c r="G273" s="14" t="str">
        <f t="shared" si="167"/>
        <v/>
      </c>
      <c r="H273" s="14" t="str">
        <f t="shared" si="168"/>
        <v/>
      </c>
      <c r="I273" s="14" t="str">
        <f t="shared" si="169"/>
        <v/>
      </c>
      <c r="J273" s="14" t="str">
        <f t="shared" si="170"/>
        <v/>
      </c>
      <c r="K273" s="14" t="str">
        <f t="shared" si="171"/>
        <v/>
      </c>
      <c r="L273" s="14" t="str">
        <f t="shared" si="172"/>
        <v/>
      </c>
      <c r="M273" s="14" t="str">
        <f t="shared" si="173"/>
        <v/>
      </c>
      <c r="N273" s="14" t="str">
        <f t="shared" si="174"/>
        <v/>
      </c>
      <c r="O273" s="14" t="s">
        <v>11</v>
      </c>
      <c r="P273" s="14" t="s">
        <v>11</v>
      </c>
      <c r="Q273" s="14" t="s">
        <v>11</v>
      </c>
      <c r="R273" s="14" t="s">
        <v>13</v>
      </c>
      <c r="S273" s="14" t="s">
        <v>11</v>
      </c>
      <c r="T273" s="14" t="s">
        <v>11</v>
      </c>
      <c r="U273" s="14" t="s">
        <v>11</v>
      </c>
      <c r="V273" s="14" t="s">
        <v>11</v>
      </c>
      <c r="W273" s="14" t="s">
        <v>11</v>
      </c>
      <c r="X273" s="14" t="s">
        <v>11</v>
      </c>
      <c r="Y273" s="14" t="str">
        <f t="shared" si="175"/>
        <v/>
      </c>
      <c r="Z273" s="14" t="str">
        <f t="shared" si="176"/>
        <v/>
      </c>
      <c r="AA273" s="15">
        <f t="shared" si="177"/>
        <v>0</v>
      </c>
      <c r="AB273" s="14" t="s">
        <v>11</v>
      </c>
      <c r="AC273" s="14" t="s">
        <v>11</v>
      </c>
      <c r="AD273" s="14" t="s">
        <v>11</v>
      </c>
      <c r="AE273" s="14" t="s">
        <v>11</v>
      </c>
      <c r="AF273" s="14" t="s">
        <v>13</v>
      </c>
      <c r="AG273" s="14" t="s">
        <v>11</v>
      </c>
      <c r="AH273" s="14" t="s">
        <v>11</v>
      </c>
      <c r="AI273" s="14" t="s">
        <v>11</v>
      </c>
      <c r="AJ273" s="14" t="s">
        <v>11</v>
      </c>
      <c r="AK273" s="14" t="s">
        <v>11</v>
      </c>
      <c r="AL273" s="14" t="str">
        <f t="shared" si="178"/>
        <v>T</v>
      </c>
      <c r="AM273" s="14" t="str">
        <f t="shared" si="179"/>
        <v>T</v>
      </c>
      <c r="AN273" s="14" t="str">
        <f t="shared" si="180"/>
        <v/>
      </c>
      <c r="AO273" s="14" t="str">
        <f t="shared" si="181"/>
        <v/>
      </c>
      <c r="AP273" s="14" t="str">
        <f t="shared" si="182"/>
        <v/>
      </c>
      <c r="AQ273" s="14" t="str">
        <f t="shared" si="145"/>
        <v/>
      </c>
      <c r="AR273" s="15">
        <f t="shared" si="183"/>
        <v>0</v>
      </c>
      <c r="AT273" s="17">
        <f t="shared" si="144"/>
        <v>0</v>
      </c>
    </row>
    <row r="274" spans="2:46" x14ac:dyDescent="0.2">
      <c r="B274" s="16"/>
      <c r="C274" s="15" t="s">
        <v>53</v>
      </c>
      <c r="D274" s="30" t="str">
        <f t="shared" si="164"/>
        <v/>
      </c>
      <c r="E274" s="14" t="str">
        <f t="shared" si="165"/>
        <v/>
      </c>
      <c r="F274" s="14" t="str">
        <f t="shared" si="166"/>
        <v/>
      </c>
      <c r="G274" s="14" t="str">
        <f t="shared" si="167"/>
        <v/>
      </c>
      <c r="H274" s="14" t="str">
        <f t="shared" si="168"/>
        <v/>
      </c>
      <c r="I274" s="14" t="str">
        <f t="shared" si="169"/>
        <v/>
      </c>
      <c r="J274" s="14" t="str">
        <f t="shared" si="170"/>
        <v/>
      </c>
      <c r="K274" s="14" t="str">
        <f t="shared" si="171"/>
        <v/>
      </c>
      <c r="L274" s="14" t="str">
        <f t="shared" si="172"/>
        <v/>
      </c>
      <c r="M274" s="14" t="str">
        <f t="shared" si="173"/>
        <v/>
      </c>
      <c r="N274" s="14" t="str">
        <f t="shared" si="174"/>
        <v/>
      </c>
      <c r="O274" s="14" t="s">
        <v>11</v>
      </c>
      <c r="P274" s="14" t="s">
        <v>11</v>
      </c>
      <c r="Q274" s="14" t="s">
        <v>11</v>
      </c>
      <c r="R274" s="14" t="s">
        <v>13</v>
      </c>
      <c r="S274" s="14" t="s">
        <v>11</v>
      </c>
      <c r="T274" s="14" t="s">
        <v>11</v>
      </c>
      <c r="U274" s="14" t="s">
        <v>11</v>
      </c>
      <c r="V274" s="14" t="s">
        <v>11</v>
      </c>
      <c r="W274" s="14" t="s">
        <v>11</v>
      </c>
      <c r="X274" s="14" t="s">
        <v>11</v>
      </c>
      <c r="Y274" s="14" t="str">
        <f t="shared" si="175"/>
        <v/>
      </c>
      <c r="Z274" s="14" t="str">
        <f t="shared" si="176"/>
        <v/>
      </c>
      <c r="AA274" s="15">
        <f t="shared" si="177"/>
        <v>0</v>
      </c>
      <c r="AB274" s="14" t="s">
        <v>11</v>
      </c>
      <c r="AC274" s="14" t="s">
        <v>11</v>
      </c>
      <c r="AD274" s="14" t="s">
        <v>11</v>
      </c>
      <c r="AE274" s="14" t="s">
        <v>11</v>
      </c>
      <c r="AF274" s="14" t="s">
        <v>13</v>
      </c>
      <c r="AG274" s="14" t="s">
        <v>11</v>
      </c>
      <c r="AH274" s="14" t="s">
        <v>11</v>
      </c>
      <c r="AI274" s="14" t="s">
        <v>11</v>
      </c>
      <c r="AJ274" s="14" t="s">
        <v>11</v>
      </c>
      <c r="AK274" s="14" t="s">
        <v>11</v>
      </c>
      <c r="AL274" s="14" t="str">
        <f t="shared" si="178"/>
        <v>T</v>
      </c>
      <c r="AM274" s="14" t="str">
        <f t="shared" si="179"/>
        <v>T</v>
      </c>
      <c r="AN274" s="14" t="str">
        <f t="shared" si="180"/>
        <v/>
      </c>
      <c r="AO274" s="14" t="str">
        <f t="shared" si="181"/>
        <v/>
      </c>
      <c r="AP274" s="14" t="str">
        <f t="shared" si="182"/>
        <v/>
      </c>
      <c r="AQ274" s="14" t="str">
        <f t="shared" si="145"/>
        <v/>
      </c>
      <c r="AR274" s="15">
        <f t="shared" si="183"/>
        <v>0</v>
      </c>
      <c r="AT274" s="17">
        <f t="shared" si="144"/>
        <v>0</v>
      </c>
    </row>
    <row r="275" spans="2:46" x14ac:dyDescent="0.2">
      <c r="B275" s="16"/>
      <c r="C275" s="15" t="s">
        <v>53</v>
      </c>
      <c r="D275" s="30" t="str">
        <f t="shared" si="164"/>
        <v/>
      </c>
      <c r="E275" s="14" t="str">
        <f t="shared" si="165"/>
        <v/>
      </c>
      <c r="F275" s="14" t="str">
        <f t="shared" si="166"/>
        <v/>
      </c>
      <c r="G275" s="14" t="str">
        <f t="shared" si="167"/>
        <v/>
      </c>
      <c r="H275" s="14" t="str">
        <f t="shared" si="168"/>
        <v/>
      </c>
      <c r="I275" s="14" t="str">
        <f t="shared" si="169"/>
        <v/>
      </c>
      <c r="J275" s="14" t="str">
        <f t="shared" si="170"/>
        <v/>
      </c>
      <c r="K275" s="14" t="str">
        <f t="shared" si="171"/>
        <v/>
      </c>
      <c r="L275" s="14" t="str">
        <f t="shared" si="172"/>
        <v/>
      </c>
      <c r="M275" s="14" t="str">
        <f t="shared" si="173"/>
        <v/>
      </c>
      <c r="N275" s="14" t="str">
        <f t="shared" si="174"/>
        <v/>
      </c>
      <c r="O275" s="14" t="s">
        <v>11</v>
      </c>
      <c r="P275" s="14" t="s">
        <v>11</v>
      </c>
      <c r="Q275" s="14" t="s">
        <v>11</v>
      </c>
      <c r="R275" s="14" t="s">
        <v>13</v>
      </c>
      <c r="S275" s="14" t="s">
        <v>11</v>
      </c>
      <c r="T275" s="14" t="s">
        <v>11</v>
      </c>
      <c r="U275" s="14" t="s">
        <v>11</v>
      </c>
      <c r="V275" s="14" t="s">
        <v>11</v>
      </c>
      <c r="W275" s="14" t="s">
        <v>11</v>
      </c>
      <c r="X275" s="14" t="s">
        <v>11</v>
      </c>
      <c r="Y275" s="14" t="str">
        <f t="shared" si="175"/>
        <v/>
      </c>
      <c r="Z275" s="14" t="str">
        <f t="shared" si="176"/>
        <v/>
      </c>
      <c r="AA275" s="15">
        <f t="shared" si="177"/>
        <v>0</v>
      </c>
      <c r="AB275" s="14" t="s">
        <v>11</v>
      </c>
      <c r="AC275" s="14" t="s">
        <v>11</v>
      </c>
      <c r="AD275" s="14" t="s">
        <v>11</v>
      </c>
      <c r="AE275" s="14" t="s">
        <v>11</v>
      </c>
      <c r="AF275" s="14" t="s">
        <v>13</v>
      </c>
      <c r="AG275" s="14" t="s">
        <v>11</v>
      </c>
      <c r="AH275" s="14" t="s">
        <v>11</v>
      </c>
      <c r="AI275" s="14" t="s">
        <v>11</v>
      </c>
      <c r="AJ275" s="14" t="s">
        <v>11</v>
      </c>
      <c r="AK275" s="14" t="s">
        <v>11</v>
      </c>
      <c r="AL275" s="14" t="str">
        <f t="shared" si="178"/>
        <v>T</v>
      </c>
      <c r="AM275" s="14" t="str">
        <f t="shared" si="179"/>
        <v>T</v>
      </c>
      <c r="AN275" s="14" t="str">
        <f t="shared" si="180"/>
        <v/>
      </c>
      <c r="AO275" s="14" t="str">
        <f t="shared" si="181"/>
        <v/>
      </c>
      <c r="AP275" s="14" t="str">
        <f t="shared" si="182"/>
        <v/>
      </c>
      <c r="AQ275" s="14" t="str">
        <f t="shared" si="145"/>
        <v/>
      </c>
      <c r="AR275" s="15">
        <f t="shared" si="183"/>
        <v>0</v>
      </c>
      <c r="AT275" s="17">
        <f t="shared" si="144"/>
        <v>0</v>
      </c>
    </row>
    <row r="276" spans="2:46" x14ac:dyDescent="0.2">
      <c r="B276" s="16"/>
      <c r="C276" s="15" t="s">
        <v>53</v>
      </c>
      <c r="D276" s="30" t="str">
        <f t="shared" si="164"/>
        <v/>
      </c>
      <c r="E276" s="14" t="str">
        <f t="shared" si="165"/>
        <v/>
      </c>
      <c r="F276" s="14" t="str">
        <f t="shared" si="166"/>
        <v/>
      </c>
      <c r="G276" s="14" t="str">
        <f t="shared" si="167"/>
        <v/>
      </c>
      <c r="H276" s="14" t="str">
        <f t="shared" si="168"/>
        <v/>
      </c>
      <c r="I276" s="14" t="str">
        <f t="shared" si="169"/>
        <v/>
      </c>
      <c r="J276" s="14" t="str">
        <f t="shared" si="170"/>
        <v/>
      </c>
      <c r="K276" s="14" t="str">
        <f t="shared" si="171"/>
        <v/>
      </c>
      <c r="L276" s="14" t="str">
        <f t="shared" si="172"/>
        <v/>
      </c>
      <c r="M276" s="14" t="str">
        <f t="shared" si="173"/>
        <v/>
      </c>
      <c r="N276" s="14" t="str">
        <f t="shared" si="174"/>
        <v/>
      </c>
      <c r="O276" s="14" t="s">
        <v>11</v>
      </c>
      <c r="P276" s="14" t="s">
        <v>11</v>
      </c>
      <c r="Q276" s="14" t="s">
        <v>11</v>
      </c>
      <c r="R276" s="14" t="s">
        <v>13</v>
      </c>
      <c r="S276" s="14" t="s">
        <v>11</v>
      </c>
      <c r="T276" s="14" t="s">
        <v>11</v>
      </c>
      <c r="U276" s="14" t="s">
        <v>11</v>
      </c>
      <c r="V276" s="14" t="s">
        <v>11</v>
      </c>
      <c r="W276" s="14" t="s">
        <v>11</v>
      </c>
      <c r="X276" s="14" t="s">
        <v>11</v>
      </c>
      <c r="Y276" s="14" t="str">
        <f t="shared" si="175"/>
        <v/>
      </c>
      <c r="Z276" s="14" t="str">
        <f t="shared" si="176"/>
        <v/>
      </c>
      <c r="AA276" s="15">
        <f t="shared" si="177"/>
        <v>0</v>
      </c>
      <c r="AB276" s="14" t="s">
        <v>11</v>
      </c>
      <c r="AC276" s="14" t="s">
        <v>11</v>
      </c>
      <c r="AD276" s="14" t="s">
        <v>11</v>
      </c>
      <c r="AE276" s="14" t="s">
        <v>11</v>
      </c>
      <c r="AF276" s="14" t="s">
        <v>13</v>
      </c>
      <c r="AG276" s="14" t="s">
        <v>11</v>
      </c>
      <c r="AH276" s="14" t="s">
        <v>11</v>
      </c>
      <c r="AI276" s="14" t="s">
        <v>11</v>
      </c>
      <c r="AJ276" s="14" t="s">
        <v>11</v>
      </c>
      <c r="AK276" s="14" t="s">
        <v>11</v>
      </c>
      <c r="AL276" s="14" t="str">
        <f t="shared" si="178"/>
        <v>T</v>
      </c>
      <c r="AM276" s="14" t="str">
        <f t="shared" si="179"/>
        <v>T</v>
      </c>
      <c r="AN276" s="14" t="str">
        <f t="shared" si="180"/>
        <v/>
      </c>
      <c r="AO276" s="14" t="str">
        <f t="shared" si="181"/>
        <v/>
      </c>
      <c r="AP276" s="14" t="str">
        <f t="shared" si="182"/>
        <v/>
      </c>
      <c r="AQ276" s="14" t="str">
        <f t="shared" si="145"/>
        <v/>
      </c>
      <c r="AR276" s="15">
        <f t="shared" si="183"/>
        <v>0</v>
      </c>
      <c r="AT276" s="17">
        <f t="shared" si="144"/>
        <v>0</v>
      </c>
    </row>
    <row r="277" spans="2:46" x14ac:dyDescent="0.2">
      <c r="B277" s="16"/>
      <c r="C277" s="15" t="s">
        <v>53</v>
      </c>
      <c r="D277" s="30" t="str">
        <f t="shared" si="164"/>
        <v/>
      </c>
      <c r="E277" s="14" t="str">
        <f t="shared" si="165"/>
        <v/>
      </c>
      <c r="F277" s="14" t="str">
        <f t="shared" si="166"/>
        <v/>
      </c>
      <c r="G277" s="14" t="str">
        <f t="shared" si="167"/>
        <v/>
      </c>
      <c r="H277" s="14" t="str">
        <f t="shared" si="168"/>
        <v/>
      </c>
      <c r="I277" s="14" t="str">
        <f t="shared" si="169"/>
        <v/>
      </c>
      <c r="J277" s="14" t="str">
        <f t="shared" si="170"/>
        <v/>
      </c>
      <c r="K277" s="14" t="str">
        <f t="shared" si="171"/>
        <v/>
      </c>
      <c r="L277" s="14" t="str">
        <f t="shared" si="172"/>
        <v/>
      </c>
      <c r="M277" s="14" t="str">
        <f t="shared" si="173"/>
        <v/>
      </c>
      <c r="N277" s="14" t="str">
        <f t="shared" si="174"/>
        <v/>
      </c>
      <c r="O277" s="14" t="s">
        <v>11</v>
      </c>
      <c r="P277" s="14" t="s">
        <v>11</v>
      </c>
      <c r="Q277" s="14" t="s">
        <v>11</v>
      </c>
      <c r="R277" s="14" t="s">
        <v>13</v>
      </c>
      <c r="S277" s="14" t="s">
        <v>11</v>
      </c>
      <c r="T277" s="14" t="s">
        <v>11</v>
      </c>
      <c r="U277" s="14" t="s">
        <v>11</v>
      </c>
      <c r="V277" s="14" t="s">
        <v>11</v>
      </c>
      <c r="W277" s="14" t="s">
        <v>11</v>
      </c>
      <c r="X277" s="14" t="s">
        <v>11</v>
      </c>
      <c r="Y277" s="14" t="str">
        <f t="shared" si="175"/>
        <v/>
      </c>
      <c r="Z277" s="14" t="str">
        <f t="shared" si="176"/>
        <v/>
      </c>
      <c r="AA277" s="15">
        <f t="shared" si="177"/>
        <v>0</v>
      </c>
      <c r="AB277" s="14" t="s">
        <v>11</v>
      </c>
      <c r="AC277" s="14" t="s">
        <v>11</v>
      </c>
      <c r="AD277" s="14" t="s">
        <v>11</v>
      </c>
      <c r="AE277" s="14" t="s">
        <v>11</v>
      </c>
      <c r="AF277" s="14" t="s">
        <v>13</v>
      </c>
      <c r="AG277" s="14" t="s">
        <v>11</v>
      </c>
      <c r="AH277" s="14" t="s">
        <v>11</v>
      </c>
      <c r="AI277" s="14" t="s">
        <v>11</v>
      </c>
      <c r="AJ277" s="14" t="s">
        <v>11</v>
      </c>
      <c r="AK277" s="14" t="s">
        <v>11</v>
      </c>
      <c r="AL277" s="14" t="str">
        <f t="shared" si="178"/>
        <v>T</v>
      </c>
      <c r="AM277" s="14" t="str">
        <f t="shared" si="179"/>
        <v>T</v>
      </c>
      <c r="AN277" s="14" t="str">
        <f t="shared" si="180"/>
        <v/>
      </c>
      <c r="AO277" s="14" t="str">
        <f t="shared" si="181"/>
        <v/>
      </c>
      <c r="AP277" s="14" t="str">
        <f t="shared" si="182"/>
        <v/>
      </c>
      <c r="AQ277" s="14" t="str">
        <f t="shared" si="145"/>
        <v/>
      </c>
      <c r="AR277" s="15">
        <f t="shared" si="183"/>
        <v>0</v>
      </c>
      <c r="AT277" s="17">
        <f t="shared" si="144"/>
        <v>0</v>
      </c>
    </row>
    <row r="278" spans="2:46" x14ac:dyDescent="0.2">
      <c r="B278" s="16"/>
      <c r="C278" s="15" t="s">
        <v>53</v>
      </c>
      <c r="D278" s="30" t="str">
        <f t="shared" si="164"/>
        <v/>
      </c>
      <c r="E278" s="14" t="str">
        <f t="shared" si="165"/>
        <v/>
      </c>
      <c r="F278" s="14" t="str">
        <f t="shared" si="166"/>
        <v/>
      </c>
      <c r="G278" s="14" t="str">
        <f t="shared" si="167"/>
        <v/>
      </c>
      <c r="H278" s="14" t="str">
        <f t="shared" si="168"/>
        <v/>
      </c>
      <c r="I278" s="14" t="str">
        <f t="shared" si="169"/>
        <v/>
      </c>
      <c r="J278" s="14" t="str">
        <f t="shared" si="170"/>
        <v/>
      </c>
      <c r="K278" s="14" t="str">
        <f t="shared" si="171"/>
        <v/>
      </c>
      <c r="L278" s="14" t="str">
        <f t="shared" si="172"/>
        <v/>
      </c>
      <c r="M278" s="14" t="str">
        <f t="shared" si="173"/>
        <v/>
      </c>
      <c r="N278" s="14" t="str">
        <f t="shared" si="174"/>
        <v/>
      </c>
      <c r="O278" s="14" t="s">
        <v>11</v>
      </c>
      <c r="P278" s="14" t="s">
        <v>11</v>
      </c>
      <c r="Q278" s="14" t="s">
        <v>11</v>
      </c>
      <c r="R278" s="14" t="s">
        <v>13</v>
      </c>
      <c r="S278" s="14" t="s">
        <v>11</v>
      </c>
      <c r="T278" s="14" t="s">
        <v>11</v>
      </c>
      <c r="U278" s="14" t="s">
        <v>11</v>
      </c>
      <c r="V278" s="14" t="s">
        <v>11</v>
      </c>
      <c r="W278" s="14" t="s">
        <v>11</v>
      </c>
      <c r="X278" s="14" t="s">
        <v>11</v>
      </c>
      <c r="Y278" s="14" t="str">
        <f t="shared" si="175"/>
        <v/>
      </c>
      <c r="Z278" s="14" t="str">
        <f t="shared" si="176"/>
        <v/>
      </c>
      <c r="AA278" s="15">
        <f t="shared" si="177"/>
        <v>0</v>
      </c>
      <c r="AB278" s="14" t="s">
        <v>11</v>
      </c>
      <c r="AC278" s="14" t="s">
        <v>11</v>
      </c>
      <c r="AD278" s="14" t="s">
        <v>11</v>
      </c>
      <c r="AE278" s="14" t="s">
        <v>11</v>
      </c>
      <c r="AF278" s="14" t="s">
        <v>13</v>
      </c>
      <c r="AG278" s="14" t="s">
        <v>11</v>
      </c>
      <c r="AH278" s="14" t="s">
        <v>11</v>
      </c>
      <c r="AI278" s="14" t="s">
        <v>11</v>
      </c>
      <c r="AJ278" s="14" t="s">
        <v>11</v>
      </c>
      <c r="AK278" s="14" t="s">
        <v>11</v>
      </c>
      <c r="AL278" s="14" t="str">
        <f t="shared" si="178"/>
        <v>T</v>
      </c>
      <c r="AM278" s="14" t="str">
        <f t="shared" si="179"/>
        <v>T</v>
      </c>
      <c r="AN278" s="14" t="str">
        <f t="shared" si="180"/>
        <v/>
      </c>
      <c r="AO278" s="14" t="str">
        <f t="shared" si="181"/>
        <v/>
      </c>
      <c r="AP278" s="14" t="str">
        <f t="shared" si="182"/>
        <v/>
      </c>
      <c r="AQ278" s="14" t="str">
        <f t="shared" si="145"/>
        <v/>
      </c>
      <c r="AR278" s="15">
        <f t="shared" si="183"/>
        <v>0</v>
      </c>
      <c r="AT278" s="17">
        <f t="shared" si="144"/>
        <v>0</v>
      </c>
    </row>
    <row r="279" spans="2:46" x14ac:dyDescent="0.2">
      <c r="B279" s="16"/>
      <c r="C279" s="15" t="s">
        <v>53</v>
      </c>
      <c r="D279" s="30" t="str">
        <f t="shared" si="164"/>
        <v/>
      </c>
      <c r="E279" s="14" t="str">
        <f t="shared" si="165"/>
        <v/>
      </c>
      <c r="F279" s="14" t="str">
        <f t="shared" si="166"/>
        <v/>
      </c>
      <c r="G279" s="14" t="str">
        <f t="shared" si="167"/>
        <v/>
      </c>
      <c r="H279" s="14" t="str">
        <f t="shared" si="168"/>
        <v/>
      </c>
      <c r="I279" s="14" t="str">
        <f t="shared" si="169"/>
        <v/>
      </c>
      <c r="J279" s="14" t="str">
        <f t="shared" si="170"/>
        <v/>
      </c>
      <c r="K279" s="14" t="str">
        <f t="shared" si="171"/>
        <v/>
      </c>
      <c r="L279" s="14" t="str">
        <f t="shared" si="172"/>
        <v/>
      </c>
      <c r="M279" s="14" t="str">
        <f t="shared" si="173"/>
        <v/>
      </c>
      <c r="N279" s="14" t="str">
        <f t="shared" si="174"/>
        <v/>
      </c>
      <c r="O279" s="14" t="s">
        <v>11</v>
      </c>
      <c r="P279" s="14" t="s">
        <v>11</v>
      </c>
      <c r="Q279" s="14" t="s">
        <v>11</v>
      </c>
      <c r="R279" s="14" t="s">
        <v>13</v>
      </c>
      <c r="S279" s="14" t="s">
        <v>11</v>
      </c>
      <c r="T279" s="14" t="s">
        <v>11</v>
      </c>
      <c r="U279" s="14" t="s">
        <v>11</v>
      </c>
      <c r="V279" s="14" t="s">
        <v>11</v>
      </c>
      <c r="W279" s="14" t="s">
        <v>11</v>
      </c>
      <c r="X279" s="14" t="s">
        <v>11</v>
      </c>
      <c r="Y279" s="14" t="str">
        <f t="shared" si="175"/>
        <v/>
      </c>
      <c r="Z279" s="14" t="str">
        <f t="shared" si="176"/>
        <v/>
      </c>
      <c r="AA279" s="15">
        <f t="shared" si="177"/>
        <v>0</v>
      </c>
      <c r="AB279" s="14" t="s">
        <v>11</v>
      </c>
      <c r="AC279" s="14" t="s">
        <v>11</v>
      </c>
      <c r="AD279" s="14" t="s">
        <v>11</v>
      </c>
      <c r="AE279" s="14" t="s">
        <v>11</v>
      </c>
      <c r="AF279" s="14" t="s">
        <v>13</v>
      </c>
      <c r="AG279" s="14" t="s">
        <v>11</v>
      </c>
      <c r="AH279" s="14" t="s">
        <v>11</v>
      </c>
      <c r="AI279" s="14" t="s">
        <v>11</v>
      </c>
      <c r="AJ279" s="14" t="s">
        <v>11</v>
      </c>
      <c r="AK279" s="14" t="s">
        <v>11</v>
      </c>
      <c r="AL279" s="14" t="str">
        <f t="shared" si="178"/>
        <v>T</v>
      </c>
      <c r="AM279" s="14" t="str">
        <f t="shared" si="179"/>
        <v>T</v>
      </c>
      <c r="AN279" s="14" t="str">
        <f t="shared" si="180"/>
        <v/>
      </c>
      <c r="AO279" s="14" t="str">
        <f t="shared" si="181"/>
        <v/>
      </c>
      <c r="AP279" s="14" t="str">
        <f t="shared" si="182"/>
        <v/>
      </c>
      <c r="AQ279" s="14" t="str">
        <f t="shared" si="145"/>
        <v/>
      </c>
      <c r="AR279" s="15">
        <f t="shared" si="183"/>
        <v>0</v>
      </c>
      <c r="AT279" s="17">
        <f t="shared" si="144"/>
        <v>0</v>
      </c>
    </row>
    <row r="280" spans="2:46" x14ac:dyDescent="0.2">
      <c r="B280" s="16"/>
      <c r="C280" s="15" t="s">
        <v>53</v>
      </c>
      <c r="D280" s="30" t="str">
        <f t="shared" si="164"/>
        <v/>
      </c>
      <c r="E280" s="14" t="str">
        <f t="shared" si="165"/>
        <v/>
      </c>
      <c r="F280" s="14" t="str">
        <f t="shared" si="166"/>
        <v/>
      </c>
      <c r="G280" s="14" t="str">
        <f t="shared" si="167"/>
        <v/>
      </c>
      <c r="H280" s="14" t="str">
        <f t="shared" si="168"/>
        <v/>
      </c>
      <c r="I280" s="14" t="str">
        <f t="shared" si="169"/>
        <v/>
      </c>
      <c r="J280" s="14" t="str">
        <f t="shared" si="170"/>
        <v/>
      </c>
      <c r="K280" s="14" t="str">
        <f t="shared" si="171"/>
        <v/>
      </c>
      <c r="L280" s="14" t="str">
        <f t="shared" si="172"/>
        <v/>
      </c>
      <c r="M280" s="14" t="str">
        <f t="shared" si="173"/>
        <v/>
      </c>
      <c r="N280" s="14" t="str">
        <f t="shared" si="174"/>
        <v/>
      </c>
      <c r="O280" s="14" t="s">
        <v>11</v>
      </c>
      <c r="P280" s="14" t="s">
        <v>11</v>
      </c>
      <c r="Q280" s="14" t="s">
        <v>11</v>
      </c>
      <c r="R280" s="14" t="s">
        <v>13</v>
      </c>
      <c r="S280" s="14" t="s">
        <v>11</v>
      </c>
      <c r="T280" s="14" t="s">
        <v>11</v>
      </c>
      <c r="U280" s="14" t="s">
        <v>11</v>
      </c>
      <c r="V280" s="14" t="s">
        <v>11</v>
      </c>
      <c r="W280" s="14" t="s">
        <v>11</v>
      </c>
      <c r="X280" s="14" t="s">
        <v>11</v>
      </c>
      <c r="Y280" s="14" t="str">
        <f t="shared" si="175"/>
        <v/>
      </c>
      <c r="Z280" s="14" t="str">
        <f t="shared" si="176"/>
        <v/>
      </c>
      <c r="AA280" s="15">
        <f t="shared" si="177"/>
        <v>0</v>
      </c>
      <c r="AB280" s="14" t="s">
        <v>11</v>
      </c>
      <c r="AC280" s="14" t="s">
        <v>11</v>
      </c>
      <c r="AD280" s="14" t="s">
        <v>11</v>
      </c>
      <c r="AE280" s="14" t="s">
        <v>11</v>
      </c>
      <c r="AF280" s="14" t="s">
        <v>13</v>
      </c>
      <c r="AG280" s="14" t="s">
        <v>11</v>
      </c>
      <c r="AH280" s="14" t="s">
        <v>11</v>
      </c>
      <c r="AI280" s="14" t="s">
        <v>11</v>
      </c>
      <c r="AJ280" s="14" t="s">
        <v>11</v>
      </c>
      <c r="AK280" s="14" t="s">
        <v>11</v>
      </c>
      <c r="AL280" s="14" t="str">
        <f t="shared" si="178"/>
        <v>T</v>
      </c>
      <c r="AM280" s="14" t="str">
        <f t="shared" si="179"/>
        <v>T</v>
      </c>
      <c r="AN280" s="14" t="str">
        <f t="shared" si="180"/>
        <v/>
      </c>
      <c r="AO280" s="14" t="str">
        <f t="shared" si="181"/>
        <v/>
      </c>
      <c r="AP280" s="14" t="str">
        <f t="shared" si="182"/>
        <v/>
      </c>
      <c r="AQ280" s="14" t="str">
        <f t="shared" si="145"/>
        <v/>
      </c>
      <c r="AR280" s="15">
        <f t="shared" si="183"/>
        <v>0</v>
      </c>
      <c r="AT280" s="17">
        <f t="shared" si="144"/>
        <v>0</v>
      </c>
    </row>
    <row r="281" spans="2:46" x14ac:dyDescent="0.2">
      <c r="B281" s="16"/>
      <c r="C281" s="15" t="s">
        <v>53</v>
      </c>
      <c r="D281" s="30" t="str">
        <f t="shared" si="164"/>
        <v/>
      </c>
      <c r="E281" s="14" t="str">
        <f t="shared" si="165"/>
        <v/>
      </c>
      <c r="F281" s="14" t="str">
        <f t="shared" si="166"/>
        <v/>
      </c>
      <c r="G281" s="14" t="str">
        <f t="shared" si="167"/>
        <v/>
      </c>
      <c r="H281" s="14" t="str">
        <f t="shared" si="168"/>
        <v/>
      </c>
      <c r="I281" s="14" t="str">
        <f t="shared" si="169"/>
        <v/>
      </c>
      <c r="J281" s="14" t="str">
        <f t="shared" si="170"/>
        <v/>
      </c>
      <c r="K281" s="14" t="str">
        <f t="shared" si="171"/>
        <v/>
      </c>
      <c r="L281" s="14" t="str">
        <f t="shared" si="172"/>
        <v/>
      </c>
      <c r="M281" s="14" t="str">
        <f t="shared" si="173"/>
        <v/>
      </c>
      <c r="N281" s="14" t="str">
        <f t="shared" si="174"/>
        <v/>
      </c>
      <c r="O281" s="14" t="s">
        <v>11</v>
      </c>
      <c r="P281" s="14" t="s">
        <v>11</v>
      </c>
      <c r="Q281" s="14" t="s">
        <v>11</v>
      </c>
      <c r="R281" s="14" t="s">
        <v>13</v>
      </c>
      <c r="S281" s="14" t="s">
        <v>11</v>
      </c>
      <c r="T281" s="14" t="s">
        <v>11</v>
      </c>
      <c r="U281" s="14" t="s">
        <v>11</v>
      </c>
      <c r="V281" s="14" t="s">
        <v>11</v>
      </c>
      <c r="W281" s="14" t="s">
        <v>11</v>
      </c>
      <c r="X281" s="14" t="s">
        <v>11</v>
      </c>
      <c r="Y281" s="14" t="str">
        <f t="shared" si="175"/>
        <v/>
      </c>
      <c r="Z281" s="14" t="str">
        <f t="shared" si="176"/>
        <v/>
      </c>
      <c r="AA281" s="15">
        <f t="shared" si="177"/>
        <v>0</v>
      </c>
      <c r="AB281" s="14" t="s">
        <v>11</v>
      </c>
      <c r="AC281" s="14" t="s">
        <v>11</v>
      </c>
      <c r="AD281" s="14" t="s">
        <v>11</v>
      </c>
      <c r="AE281" s="14" t="s">
        <v>11</v>
      </c>
      <c r="AF281" s="14" t="s">
        <v>13</v>
      </c>
      <c r="AG281" s="14" t="s">
        <v>11</v>
      </c>
      <c r="AH281" s="14" t="s">
        <v>11</v>
      </c>
      <c r="AI281" s="14" t="s">
        <v>11</v>
      </c>
      <c r="AJ281" s="14" t="s">
        <v>11</v>
      </c>
      <c r="AK281" s="14" t="s">
        <v>11</v>
      </c>
      <c r="AL281" s="14" t="str">
        <f t="shared" si="178"/>
        <v>T</v>
      </c>
      <c r="AM281" s="14" t="str">
        <f t="shared" si="179"/>
        <v>T</v>
      </c>
      <c r="AN281" s="14" t="str">
        <f t="shared" si="180"/>
        <v/>
      </c>
      <c r="AO281" s="14" t="str">
        <f t="shared" si="181"/>
        <v/>
      </c>
      <c r="AP281" s="14" t="str">
        <f t="shared" si="182"/>
        <v/>
      </c>
      <c r="AQ281" s="14" t="str">
        <f t="shared" si="145"/>
        <v/>
      </c>
      <c r="AR281" s="15">
        <f t="shared" si="183"/>
        <v>0</v>
      </c>
      <c r="AT281" s="17">
        <f t="shared" si="144"/>
        <v>0</v>
      </c>
    </row>
    <row r="282" spans="2:46" x14ac:dyDescent="0.2">
      <c r="B282" s="16"/>
      <c r="C282" s="15" t="s">
        <v>53</v>
      </c>
      <c r="D282" s="30" t="str">
        <f t="shared" si="164"/>
        <v/>
      </c>
      <c r="E282" s="14" t="str">
        <f t="shared" si="165"/>
        <v/>
      </c>
      <c r="F282" s="14" t="str">
        <f t="shared" si="166"/>
        <v/>
      </c>
      <c r="G282" s="14" t="str">
        <f t="shared" si="167"/>
        <v/>
      </c>
      <c r="H282" s="14" t="str">
        <f t="shared" si="168"/>
        <v/>
      </c>
      <c r="I282" s="14" t="str">
        <f t="shared" si="169"/>
        <v/>
      </c>
      <c r="J282" s="14" t="str">
        <f t="shared" si="170"/>
        <v/>
      </c>
      <c r="K282" s="14" t="str">
        <f t="shared" si="171"/>
        <v/>
      </c>
      <c r="L282" s="14" t="str">
        <f t="shared" si="172"/>
        <v/>
      </c>
      <c r="M282" s="14" t="str">
        <f t="shared" si="173"/>
        <v/>
      </c>
      <c r="N282" s="14" t="str">
        <f t="shared" si="174"/>
        <v/>
      </c>
      <c r="O282" s="14" t="s">
        <v>11</v>
      </c>
      <c r="P282" s="14" t="s">
        <v>11</v>
      </c>
      <c r="Q282" s="14" t="s">
        <v>11</v>
      </c>
      <c r="R282" s="14" t="s">
        <v>13</v>
      </c>
      <c r="S282" s="14" t="s">
        <v>11</v>
      </c>
      <c r="T282" s="14" t="s">
        <v>11</v>
      </c>
      <c r="U282" s="14" t="s">
        <v>11</v>
      </c>
      <c r="V282" s="14" t="s">
        <v>11</v>
      </c>
      <c r="W282" s="14" t="s">
        <v>11</v>
      </c>
      <c r="X282" s="14" t="s">
        <v>11</v>
      </c>
      <c r="Y282" s="14" t="str">
        <f t="shared" si="175"/>
        <v/>
      </c>
      <c r="Z282" s="14" t="str">
        <f t="shared" si="176"/>
        <v/>
      </c>
      <c r="AA282" s="15">
        <f t="shared" si="177"/>
        <v>0</v>
      </c>
      <c r="AB282" s="14" t="s">
        <v>11</v>
      </c>
      <c r="AC282" s="14" t="s">
        <v>11</v>
      </c>
      <c r="AD282" s="14" t="s">
        <v>11</v>
      </c>
      <c r="AE282" s="14" t="s">
        <v>11</v>
      </c>
      <c r="AF282" s="14" t="s">
        <v>13</v>
      </c>
      <c r="AG282" s="14" t="s">
        <v>11</v>
      </c>
      <c r="AH282" s="14" t="s">
        <v>11</v>
      </c>
      <c r="AI282" s="14" t="s">
        <v>11</v>
      </c>
      <c r="AJ282" s="14" t="s">
        <v>11</v>
      </c>
      <c r="AK282" s="14" t="s">
        <v>11</v>
      </c>
      <c r="AL282" s="14" t="str">
        <f t="shared" si="178"/>
        <v>T</v>
      </c>
      <c r="AM282" s="14" t="str">
        <f t="shared" si="179"/>
        <v>T</v>
      </c>
      <c r="AN282" s="14" t="str">
        <f t="shared" si="180"/>
        <v/>
      </c>
      <c r="AO282" s="14" t="str">
        <f t="shared" si="181"/>
        <v/>
      </c>
      <c r="AP282" s="14" t="str">
        <f t="shared" si="182"/>
        <v/>
      </c>
      <c r="AQ282" s="14" t="str">
        <f t="shared" si="145"/>
        <v/>
      </c>
      <c r="AR282" s="15">
        <f t="shared" si="183"/>
        <v>0</v>
      </c>
      <c r="AT282" s="17">
        <f t="shared" si="144"/>
        <v>0</v>
      </c>
    </row>
    <row r="283" spans="2:46" x14ac:dyDescent="0.2">
      <c r="B283" s="16"/>
      <c r="C283" s="15" t="s">
        <v>53</v>
      </c>
      <c r="D283" s="30" t="str">
        <f t="shared" si="164"/>
        <v/>
      </c>
      <c r="E283" s="14" t="str">
        <f t="shared" si="165"/>
        <v/>
      </c>
      <c r="F283" s="14" t="str">
        <f t="shared" si="166"/>
        <v/>
      </c>
      <c r="G283" s="14" t="str">
        <f t="shared" si="167"/>
        <v/>
      </c>
      <c r="H283" s="14" t="str">
        <f t="shared" si="168"/>
        <v/>
      </c>
      <c r="I283" s="14" t="str">
        <f t="shared" si="169"/>
        <v/>
      </c>
      <c r="J283" s="14" t="str">
        <f t="shared" si="170"/>
        <v/>
      </c>
      <c r="K283" s="14" t="str">
        <f t="shared" si="171"/>
        <v/>
      </c>
      <c r="L283" s="14" t="str">
        <f t="shared" si="172"/>
        <v/>
      </c>
      <c r="M283" s="14" t="str">
        <f t="shared" si="173"/>
        <v/>
      </c>
      <c r="N283" s="14" t="str">
        <f t="shared" si="174"/>
        <v/>
      </c>
      <c r="O283" s="14" t="s">
        <v>11</v>
      </c>
      <c r="P283" s="14" t="s">
        <v>11</v>
      </c>
      <c r="Q283" s="14" t="s">
        <v>11</v>
      </c>
      <c r="R283" s="14" t="s">
        <v>13</v>
      </c>
      <c r="S283" s="14" t="s">
        <v>11</v>
      </c>
      <c r="T283" s="14" t="s">
        <v>11</v>
      </c>
      <c r="U283" s="14" t="s">
        <v>11</v>
      </c>
      <c r="V283" s="14" t="s">
        <v>11</v>
      </c>
      <c r="W283" s="14" t="s">
        <v>11</v>
      </c>
      <c r="X283" s="14" t="s">
        <v>11</v>
      </c>
      <c r="Y283" s="14" t="str">
        <f t="shared" si="175"/>
        <v/>
      </c>
      <c r="Z283" s="14" t="str">
        <f t="shared" si="176"/>
        <v/>
      </c>
      <c r="AA283" s="15">
        <f t="shared" si="177"/>
        <v>0</v>
      </c>
      <c r="AB283" s="14" t="s">
        <v>11</v>
      </c>
      <c r="AC283" s="14" t="s">
        <v>11</v>
      </c>
      <c r="AD283" s="14" t="s">
        <v>11</v>
      </c>
      <c r="AE283" s="14" t="s">
        <v>11</v>
      </c>
      <c r="AF283" s="14" t="s">
        <v>13</v>
      </c>
      <c r="AG283" s="14" t="s">
        <v>11</v>
      </c>
      <c r="AH283" s="14" t="s">
        <v>11</v>
      </c>
      <c r="AI283" s="14" t="s">
        <v>11</v>
      </c>
      <c r="AJ283" s="14" t="s">
        <v>11</v>
      </c>
      <c r="AK283" s="14" t="s">
        <v>11</v>
      </c>
      <c r="AL283" s="14" t="str">
        <f t="shared" si="178"/>
        <v>T</v>
      </c>
      <c r="AM283" s="14" t="str">
        <f t="shared" si="179"/>
        <v>T</v>
      </c>
      <c r="AN283" s="14" t="str">
        <f t="shared" si="180"/>
        <v/>
      </c>
      <c r="AO283" s="14" t="str">
        <f t="shared" si="181"/>
        <v/>
      </c>
      <c r="AP283" s="14" t="str">
        <f t="shared" si="182"/>
        <v/>
      </c>
      <c r="AQ283" s="14" t="str">
        <f t="shared" si="145"/>
        <v/>
      </c>
      <c r="AR283" s="15">
        <f t="shared" si="183"/>
        <v>0</v>
      </c>
      <c r="AT283" s="17">
        <f t="shared" si="144"/>
        <v>0</v>
      </c>
    </row>
    <row r="284" spans="2:46" x14ac:dyDescent="0.2">
      <c r="B284" s="16"/>
      <c r="C284" s="15" t="s">
        <v>53</v>
      </c>
      <c r="D284" s="30" t="str">
        <f t="shared" si="164"/>
        <v/>
      </c>
      <c r="E284" s="14" t="str">
        <f t="shared" si="165"/>
        <v/>
      </c>
      <c r="F284" s="14" t="str">
        <f t="shared" si="166"/>
        <v/>
      </c>
      <c r="G284" s="14" t="str">
        <f t="shared" si="167"/>
        <v/>
      </c>
      <c r="H284" s="14" t="str">
        <f t="shared" si="168"/>
        <v/>
      </c>
      <c r="I284" s="14" t="str">
        <f t="shared" si="169"/>
        <v/>
      </c>
      <c r="J284" s="14" t="str">
        <f t="shared" si="170"/>
        <v/>
      </c>
      <c r="K284" s="14" t="str">
        <f t="shared" si="171"/>
        <v/>
      </c>
      <c r="L284" s="14" t="str">
        <f t="shared" si="172"/>
        <v/>
      </c>
      <c r="M284" s="14" t="str">
        <f t="shared" si="173"/>
        <v/>
      </c>
      <c r="N284" s="14" t="str">
        <f t="shared" si="174"/>
        <v/>
      </c>
      <c r="O284" s="14" t="s">
        <v>11</v>
      </c>
      <c r="P284" s="14" t="s">
        <v>11</v>
      </c>
      <c r="Q284" s="14" t="s">
        <v>11</v>
      </c>
      <c r="R284" s="14" t="s">
        <v>13</v>
      </c>
      <c r="S284" s="14" t="s">
        <v>11</v>
      </c>
      <c r="T284" s="14" t="s">
        <v>11</v>
      </c>
      <c r="U284" s="14" t="s">
        <v>11</v>
      </c>
      <c r="V284" s="14" t="s">
        <v>11</v>
      </c>
      <c r="W284" s="14" t="s">
        <v>11</v>
      </c>
      <c r="X284" s="14" t="s">
        <v>11</v>
      </c>
      <c r="Y284" s="14" t="str">
        <f t="shared" si="175"/>
        <v/>
      </c>
      <c r="Z284" s="14" t="str">
        <f t="shared" si="176"/>
        <v/>
      </c>
      <c r="AA284" s="15">
        <f t="shared" si="177"/>
        <v>0</v>
      </c>
      <c r="AB284" s="14" t="s">
        <v>11</v>
      </c>
      <c r="AC284" s="14" t="s">
        <v>11</v>
      </c>
      <c r="AD284" s="14" t="s">
        <v>11</v>
      </c>
      <c r="AE284" s="14" t="s">
        <v>11</v>
      </c>
      <c r="AF284" s="14" t="s">
        <v>13</v>
      </c>
      <c r="AG284" s="14" t="s">
        <v>11</v>
      </c>
      <c r="AH284" s="14" t="s">
        <v>11</v>
      </c>
      <c r="AI284" s="14" t="s">
        <v>11</v>
      </c>
      <c r="AJ284" s="14" t="s">
        <v>11</v>
      </c>
      <c r="AK284" s="14" t="s">
        <v>11</v>
      </c>
      <c r="AL284" s="14" t="str">
        <f t="shared" si="178"/>
        <v>T</v>
      </c>
      <c r="AM284" s="14" t="str">
        <f t="shared" si="179"/>
        <v>T</v>
      </c>
      <c r="AN284" s="14" t="str">
        <f t="shared" si="180"/>
        <v/>
      </c>
      <c r="AO284" s="14" t="str">
        <f t="shared" si="181"/>
        <v/>
      </c>
      <c r="AP284" s="14" t="str">
        <f t="shared" si="182"/>
        <v/>
      </c>
      <c r="AQ284" s="14" t="str">
        <f t="shared" si="145"/>
        <v/>
      </c>
      <c r="AR284" s="15">
        <f t="shared" si="183"/>
        <v>0</v>
      </c>
      <c r="AT284" s="17">
        <f t="shared" si="144"/>
        <v>0</v>
      </c>
    </row>
    <row r="285" spans="2:46" x14ac:dyDescent="0.2">
      <c r="B285" s="16"/>
      <c r="C285" s="15" t="s">
        <v>53</v>
      </c>
      <c r="D285" s="30" t="str">
        <f t="shared" si="164"/>
        <v/>
      </c>
      <c r="E285" s="14" t="str">
        <f t="shared" si="165"/>
        <v/>
      </c>
      <c r="F285" s="14" t="str">
        <f t="shared" si="166"/>
        <v/>
      </c>
      <c r="G285" s="14" t="str">
        <f t="shared" si="167"/>
        <v/>
      </c>
      <c r="H285" s="14" t="str">
        <f t="shared" si="168"/>
        <v/>
      </c>
      <c r="I285" s="14" t="str">
        <f t="shared" si="169"/>
        <v/>
      </c>
      <c r="J285" s="14" t="str">
        <f t="shared" si="170"/>
        <v/>
      </c>
      <c r="K285" s="14" t="str">
        <f t="shared" si="171"/>
        <v/>
      </c>
      <c r="L285" s="14" t="str">
        <f t="shared" si="172"/>
        <v/>
      </c>
      <c r="M285" s="14" t="str">
        <f t="shared" si="173"/>
        <v/>
      </c>
      <c r="N285" s="14" t="str">
        <f t="shared" si="174"/>
        <v/>
      </c>
      <c r="O285" s="14" t="s">
        <v>11</v>
      </c>
      <c r="P285" s="14" t="s">
        <v>11</v>
      </c>
      <c r="Q285" s="14" t="s">
        <v>11</v>
      </c>
      <c r="R285" s="14" t="s">
        <v>13</v>
      </c>
      <c r="S285" s="14" t="s">
        <v>11</v>
      </c>
      <c r="T285" s="14" t="s">
        <v>11</v>
      </c>
      <c r="U285" s="14" t="s">
        <v>11</v>
      </c>
      <c r="V285" s="14" t="s">
        <v>11</v>
      </c>
      <c r="W285" s="14" t="s">
        <v>11</v>
      </c>
      <c r="X285" s="14" t="s">
        <v>11</v>
      </c>
      <c r="Y285" s="14" t="str">
        <f t="shared" si="175"/>
        <v/>
      </c>
      <c r="Z285" s="14" t="str">
        <f t="shared" si="176"/>
        <v/>
      </c>
      <c r="AA285" s="15">
        <f t="shared" si="177"/>
        <v>0</v>
      </c>
      <c r="AB285" s="14" t="s">
        <v>11</v>
      </c>
      <c r="AC285" s="14" t="s">
        <v>11</v>
      </c>
      <c r="AD285" s="14" t="s">
        <v>11</v>
      </c>
      <c r="AE285" s="14" t="s">
        <v>11</v>
      </c>
      <c r="AF285" s="14" t="s">
        <v>13</v>
      </c>
      <c r="AG285" s="14" t="s">
        <v>11</v>
      </c>
      <c r="AH285" s="14" t="s">
        <v>11</v>
      </c>
      <c r="AI285" s="14" t="s">
        <v>11</v>
      </c>
      <c r="AJ285" s="14" t="s">
        <v>11</v>
      </c>
      <c r="AK285" s="14" t="s">
        <v>11</v>
      </c>
      <c r="AL285" s="14" t="str">
        <f t="shared" si="178"/>
        <v>T</v>
      </c>
      <c r="AM285" s="14" t="str">
        <f t="shared" si="179"/>
        <v>T</v>
      </c>
      <c r="AN285" s="14" t="str">
        <f t="shared" si="180"/>
        <v/>
      </c>
      <c r="AO285" s="14" t="str">
        <f t="shared" si="181"/>
        <v/>
      </c>
      <c r="AP285" s="14" t="str">
        <f t="shared" si="182"/>
        <v/>
      </c>
      <c r="AQ285" s="14" t="str">
        <f t="shared" si="145"/>
        <v/>
      </c>
      <c r="AR285" s="15">
        <f t="shared" si="183"/>
        <v>0</v>
      </c>
      <c r="AT285" s="17">
        <f t="shared" si="144"/>
        <v>0</v>
      </c>
    </row>
    <row r="286" spans="2:46" x14ac:dyDescent="0.2">
      <c r="B286" s="16"/>
      <c r="C286" s="15" t="s">
        <v>53</v>
      </c>
      <c r="D286" s="30" t="str">
        <f t="shared" si="164"/>
        <v/>
      </c>
      <c r="E286" s="14" t="str">
        <f t="shared" si="165"/>
        <v/>
      </c>
      <c r="F286" s="14" t="str">
        <f t="shared" si="166"/>
        <v/>
      </c>
      <c r="G286" s="14" t="str">
        <f t="shared" si="167"/>
        <v/>
      </c>
      <c r="H286" s="14" t="str">
        <f t="shared" si="168"/>
        <v/>
      </c>
      <c r="I286" s="14" t="str">
        <f t="shared" si="169"/>
        <v/>
      </c>
      <c r="J286" s="14" t="str">
        <f t="shared" si="170"/>
        <v/>
      </c>
      <c r="K286" s="14" t="str">
        <f t="shared" si="171"/>
        <v/>
      </c>
      <c r="L286" s="14" t="str">
        <f t="shared" si="172"/>
        <v/>
      </c>
      <c r="M286" s="14" t="str">
        <f t="shared" si="173"/>
        <v/>
      </c>
      <c r="N286" s="14" t="str">
        <f t="shared" si="174"/>
        <v/>
      </c>
      <c r="O286" s="14" t="s">
        <v>11</v>
      </c>
      <c r="P286" s="14" t="s">
        <v>11</v>
      </c>
      <c r="Q286" s="14" t="s">
        <v>11</v>
      </c>
      <c r="R286" s="14" t="s">
        <v>13</v>
      </c>
      <c r="S286" s="14" t="s">
        <v>11</v>
      </c>
      <c r="T286" s="14" t="s">
        <v>11</v>
      </c>
      <c r="U286" s="14" t="s">
        <v>11</v>
      </c>
      <c r="V286" s="14" t="s">
        <v>11</v>
      </c>
      <c r="W286" s="14" t="s">
        <v>11</v>
      </c>
      <c r="X286" s="14" t="s">
        <v>11</v>
      </c>
      <c r="Y286" s="14" t="str">
        <f t="shared" si="175"/>
        <v/>
      </c>
      <c r="Z286" s="14" t="str">
        <f t="shared" si="176"/>
        <v/>
      </c>
      <c r="AA286" s="15">
        <f t="shared" si="177"/>
        <v>0</v>
      </c>
      <c r="AB286" s="14" t="s">
        <v>11</v>
      </c>
      <c r="AC286" s="14" t="s">
        <v>11</v>
      </c>
      <c r="AD286" s="14" t="s">
        <v>11</v>
      </c>
      <c r="AE286" s="14" t="s">
        <v>11</v>
      </c>
      <c r="AF286" s="14" t="s">
        <v>13</v>
      </c>
      <c r="AG286" s="14" t="s">
        <v>11</v>
      </c>
      <c r="AH286" s="14" t="s">
        <v>11</v>
      </c>
      <c r="AI286" s="14" t="s">
        <v>11</v>
      </c>
      <c r="AJ286" s="14" t="s">
        <v>11</v>
      </c>
      <c r="AK286" s="14" t="s">
        <v>11</v>
      </c>
      <c r="AL286" s="14" t="str">
        <f t="shared" si="178"/>
        <v>T</v>
      </c>
      <c r="AM286" s="14" t="str">
        <f t="shared" si="179"/>
        <v>T</v>
      </c>
      <c r="AN286" s="14" t="str">
        <f t="shared" si="180"/>
        <v/>
      </c>
      <c r="AO286" s="14" t="str">
        <f t="shared" si="181"/>
        <v/>
      </c>
      <c r="AP286" s="14" t="str">
        <f t="shared" si="182"/>
        <v/>
      </c>
      <c r="AQ286" s="14" t="str">
        <f t="shared" si="145"/>
        <v/>
      </c>
      <c r="AR286" s="15">
        <f t="shared" si="183"/>
        <v>0</v>
      </c>
      <c r="AT286" s="17">
        <f t="shared" si="144"/>
        <v>0</v>
      </c>
    </row>
    <row r="287" spans="2:46" x14ac:dyDescent="0.2">
      <c r="B287" s="16"/>
      <c r="C287" s="15" t="s">
        <v>53</v>
      </c>
      <c r="D287" s="30" t="str">
        <f t="shared" si="164"/>
        <v/>
      </c>
      <c r="E287" s="14" t="str">
        <f t="shared" si="165"/>
        <v/>
      </c>
      <c r="F287" s="14" t="str">
        <f t="shared" si="166"/>
        <v/>
      </c>
      <c r="G287" s="14" t="str">
        <f t="shared" si="167"/>
        <v/>
      </c>
      <c r="H287" s="14" t="str">
        <f t="shared" si="168"/>
        <v/>
      </c>
      <c r="I287" s="14" t="str">
        <f t="shared" si="169"/>
        <v/>
      </c>
      <c r="J287" s="14" t="str">
        <f t="shared" si="170"/>
        <v/>
      </c>
      <c r="K287" s="14" t="str">
        <f t="shared" si="171"/>
        <v/>
      </c>
      <c r="L287" s="14" t="str">
        <f t="shared" si="172"/>
        <v/>
      </c>
      <c r="M287" s="14" t="str">
        <f t="shared" si="173"/>
        <v/>
      </c>
      <c r="N287" s="14" t="str">
        <f t="shared" si="174"/>
        <v/>
      </c>
      <c r="O287" s="14" t="s">
        <v>11</v>
      </c>
      <c r="P287" s="14" t="s">
        <v>11</v>
      </c>
      <c r="Q287" s="14" t="s">
        <v>11</v>
      </c>
      <c r="R287" s="14" t="s">
        <v>13</v>
      </c>
      <c r="S287" s="14" t="s">
        <v>11</v>
      </c>
      <c r="T287" s="14" t="s">
        <v>11</v>
      </c>
      <c r="U287" s="14" t="s">
        <v>11</v>
      </c>
      <c r="V287" s="14" t="s">
        <v>11</v>
      </c>
      <c r="W287" s="14" t="s">
        <v>11</v>
      </c>
      <c r="X287" s="14" t="s">
        <v>11</v>
      </c>
      <c r="Y287" s="14" t="str">
        <f t="shared" si="175"/>
        <v/>
      </c>
      <c r="Z287" s="14" t="str">
        <f t="shared" si="176"/>
        <v/>
      </c>
      <c r="AA287" s="15">
        <f t="shared" si="177"/>
        <v>0</v>
      </c>
      <c r="AB287" s="14" t="s">
        <v>11</v>
      </c>
      <c r="AC287" s="14" t="s">
        <v>11</v>
      </c>
      <c r="AD287" s="14" t="s">
        <v>11</v>
      </c>
      <c r="AE287" s="14" t="s">
        <v>11</v>
      </c>
      <c r="AF287" s="14" t="s">
        <v>13</v>
      </c>
      <c r="AG287" s="14" t="s">
        <v>11</v>
      </c>
      <c r="AH287" s="14" t="s">
        <v>11</v>
      </c>
      <c r="AI287" s="14" t="s">
        <v>11</v>
      </c>
      <c r="AJ287" s="14" t="s">
        <v>11</v>
      </c>
      <c r="AK287" s="14" t="s">
        <v>11</v>
      </c>
      <c r="AL287" s="14" t="str">
        <f t="shared" si="178"/>
        <v>T</v>
      </c>
      <c r="AM287" s="14" t="str">
        <f t="shared" si="179"/>
        <v>T</v>
      </c>
      <c r="AN287" s="14" t="str">
        <f t="shared" si="180"/>
        <v/>
      </c>
      <c r="AO287" s="14" t="str">
        <f t="shared" si="181"/>
        <v/>
      </c>
      <c r="AP287" s="14" t="str">
        <f t="shared" si="182"/>
        <v/>
      </c>
      <c r="AQ287" s="14" t="str">
        <f t="shared" si="145"/>
        <v/>
      </c>
      <c r="AR287" s="15">
        <f t="shared" si="183"/>
        <v>0</v>
      </c>
      <c r="AT287" s="17">
        <f t="shared" si="144"/>
        <v>0</v>
      </c>
    </row>
    <row r="288" spans="2:46" x14ac:dyDescent="0.2">
      <c r="B288" s="16"/>
      <c r="C288" s="15" t="s">
        <v>53</v>
      </c>
      <c r="D288" s="30" t="str">
        <f t="shared" si="164"/>
        <v/>
      </c>
      <c r="E288" s="14" t="str">
        <f t="shared" si="165"/>
        <v/>
      </c>
      <c r="F288" s="14" t="str">
        <f t="shared" si="166"/>
        <v/>
      </c>
      <c r="G288" s="14" t="str">
        <f t="shared" si="167"/>
        <v/>
      </c>
      <c r="H288" s="14" t="str">
        <f t="shared" si="168"/>
        <v/>
      </c>
      <c r="I288" s="14" t="str">
        <f t="shared" si="169"/>
        <v/>
      </c>
      <c r="J288" s="14" t="str">
        <f t="shared" si="170"/>
        <v/>
      </c>
      <c r="K288" s="14" t="str">
        <f t="shared" si="171"/>
        <v/>
      </c>
      <c r="L288" s="14" t="str">
        <f t="shared" si="172"/>
        <v/>
      </c>
      <c r="M288" s="14" t="str">
        <f t="shared" si="173"/>
        <v/>
      </c>
      <c r="N288" s="14" t="str">
        <f t="shared" si="174"/>
        <v/>
      </c>
      <c r="O288" s="14" t="s">
        <v>11</v>
      </c>
      <c r="P288" s="14" t="s">
        <v>11</v>
      </c>
      <c r="Q288" s="14" t="s">
        <v>11</v>
      </c>
      <c r="R288" s="14" t="s">
        <v>13</v>
      </c>
      <c r="S288" s="14" t="s">
        <v>11</v>
      </c>
      <c r="T288" s="14" t="s">
        <v>11</v>
      </c>
      <c r="U288" s="14" t="s">
        <v>11</v>
      </c>
      <c r="V288" s="14" t="s">
        <v>11</v>
      </c>
      <c r="W288" s="14" t="s">
        <v>11</v>
      </c>
      <c r="X288" s="14" t="s">
        <v>11</v>
      </c>
      <c r="Y288" s="14" t="str">
        <f t="shared" si="175"/>
        <v/>
      </c>
      <c r="Z288" s="14" t="str">
        <f t="shared" si="176"/>
        <v/>
      </c>
      <c r="AA288" s="15">
        <f t="shared" si="177"/>
        <v>0</v>
      </c>
      <c r="AB288" s="14" t="s">
        <v>11</v>
      </c>
      <c r="AC288" s="14" t="s">
        <v>11</v>
      </c>
      <c r="AD288" s="14" t="s">
        <v>11</v>
      </c>
      <c r="AE288" s="14" t="s">
        <v>11</v>
      </c>
      <c r="AF288" s="14" t="s">
        <v>13</v>
      </c>
      <c r="AG288" s="14" t="s">
        <v>11</v>
      </c>
      <c r="AH288" s="14" t="s">
        <v>11</v>
      </c>
      <c r="AI288" s="14" t="s">
        <v>11</v>
      </c>
      <c r="AJ288" s="14" t="s">
        <v>11</v>
      </c>
      <c r="AK288" s="14" t="s">
        <v>11</v>
      </c>
      <c r="AL288" s="14" t="str">
        <f t="shared" si="178"/>
        <v>T</v>
      </c>
      <c r="AM288" s="14" t="str">
        <f t="shared" si="179"/>
        <v>T</v>
      </c>
      <c r="AN288" s="14" t="str">
        <f t="shared" si="180"/>
        <v/>
      </c>
      <c r="AO288" s="14" t="str">
        <f t="shared" si="181"/>
        <v/>
      </c>
      <c r="AP288" s="14" t="str">
        <f t="shared" si="182"/>
        <v/>
      </c>
      <c r="AQ288" s="14" t="str">
        <f t="shared" si="145"/>
        <v/>
      </c>
      <c r="AR288" s="15">
        <f t="shared" si="183"/>
        <v>0</v>
      </c>
      <c r="AT288" s="17">
        <f t="shared" si="144"/>
        <v>0</v>
      </c>
    </row>
    <row r="289" spans="2:46" x14ac:dyDescent="0.2">
      <c r="B289" s="16"/>
      <c r="C289" s="15" t="s">
        <v>53</v>
      </c>
      <c r="D289" s="30" t="str">
        <f t="shared" si="164"/>
        <v/>
      </c>
      <c r="E289" s="14" t="str">
        <f t="shared" si="165"/>
        <v/>
      </c>
      <c r="F289" s="14" t="str">
        <f t="shared" si="166"/>
        <v/>
      </c>
      <c r="G289" s="14" t="str">
        <f t="shared" si="167"/>
        <v/>
      </c>
      <c r="H289" s="14" t="str">
        <f t="shared" si="168"/>
        <v/>
      </c>
      <c r="I289" s="14" t="str">
        <f t="shared" si="169"/>
        <v/>
      </c>
      <c r="J289" s="14" t="str">
        <f t="shared" si="170"/>
        <v/>
      </c>
      <c r="K289" s="14" t="str">
        <f t="shared" si="171"/>
        <v/>
      </c>
      <c r="L289" s="14" t="str">
        <f t="shared" si="172"/>
        <v/>
      </c>
      <c r="M289" s="14" t="str">
        <f t="shared" si="173"/>
        <v/>
      </c>
      <c r="N289" s="14" t="str">
        <f t="shared" si="174"/>
        <v/>
      </c>
      <c r="O289" s="14" t="s">
        <v>11</v>
      </c>
      <c r="P289" s="14" t="s">
        <v>11</v>
      </c>
      <c r="Q289" s="14" t="s">
        <v>11</v>
      </c>
      <c r="R289" s="14" t="s">
        <v>13</v>
      </c>
      <c r="S289" s="14" t="s">
        <v>11</v>
      </c>
      <c r="T289" s="14" t="s">
        <v>11</v>
      </c>
      <c r="U289" s="14" t="s">
        <v>11</v>
      </c>
      <c r="V289" s="14" t="s">
        <v>11</v>
      </c>
      <c r="W289" s="14" t="s">
        <v>11</v>
      </c>
      <c r="X289" s="14" t="s">
        <v>11</v>
      </c>
      <c r="Y289" s="14" t="str">
        <f t="shared" si="175"/>
        <v/>
      </c>
      <c r="Z289" s="14" t="str">
        <f t="shared" si="176"/>
        <v/>
      </c>
      <c r="AA289" s="15">
        <f t="shared" si="177"/>
        <v>0</v>
      </c>
      <c r="AB289" s="14" t="s">
        <v>11</v>
      </c>
      <c r="AC289" s="14" t="s">
        <v>11</v>
      </c>
      <c r="AD289" s="14" t="s">
        <v>11</v>
      </c>
      <c r="AE289" s="14" t="s">
        <v>11</v>
      </c>
      <c r="AF289" s="14" t="s">
        <v>13</v>
      </c>
      <c r="AG289" s="14" t="s">
        <v>11</v>
      </c>
      <c r="AH289" s="14" t="s">
        <v>11</v>
      </c>
      <c r="AI289" s="14" t="s">
        <v>11</v>
      </c>
      <c r="AJ289" s="14" t="s">
        <v>11</v>
      </c>
      <c r="AK289" s="14" t="s">
        <v>11</v>
      </c>
      <c r="AL289" s="14" t="str">
        <f t="shared" si="178"/>
        <v>T</v>
      </c>
      <c r="AM289" s="14" t="str">
        <f t="shared" si="179"/>
        <v>T</v>
      </c>
      <c r="AN289" s="14" t="str">
        <f t="shared" si="180"/>
        <v/>
      </c>
      <c r="AO289" s="14" t="str">
        <f t="shared" si="181"/>
        <v/>
      </c>
      <c r="AP289" s="14" t="str">
        <f t="shared" si="182"/>
        <v/>
      </c>
      <c r="AQ289" s="14" t="str">
        <f t="shared" si="145"/>
        <v/>
      </c>
      <c r="AR289" s="15">
        <f t="shared" si="183"/>
        <v>0</v>
      </c>
      <c r="AT289" s="17">
        <f t="shared" si="144"/>
        <v>0</v>
      </c>
    </row>
    <row r="290" spans="2:46" x14ac:dyDescent="0.2">
      <c r="B290" s="16"/>
      <c r="C290" s="15" t="s">
        <v>53</v>
      </c>
      <c r="D290" s="30" t="str">
        <f t="shared" si="164"/>
        <v/>
      </c>
      <c r="E290" s="14" t="str">
        <f t="shared" si="165"/>
        <v/>
      </c>
      <c r="F290" s="14" t="str">
        <f t="shared" si="166"/>
        <v/>
      </c>
      <c r="G290" s="14" t="str">
        <f t="shared" si="167"/>
        <v/>
      </c>
      <c r="H290" s="14" t="str">
        <f t="shared" si="168"/>
        <v/>
      </c>
      <c r="I290" s="14" t="str">
        <f t="shared" si="169"/>
        <v/>
      </c>
      <c r="J290" s="14" t="str">
        <f t="shared" si="170"/>
        <v/>
      </c>
      <c r="K290" s="14" t="str">
        <f t="shared" si="171"/>
        <v/>
      </c>
      <c r="L290" s="14" t="str">
        <f t="shared" si="172"/>
        <v/>
      </c>
      <c r="M290" s="14" t="str">
        <f t="shared" si="173"/>
        <v/>
      </c>
      <c r="N290" s="14" t="str">
        <f t="shared" si="174"/>
        <v/>
      </c>
      <c r="O290" s="14" t="s">
        <v>11</v>
      </c>
      <c r="P290" s="14" t="s">
        <v>11</v>
      </c>
      <c r="Q290" s="14" t="s">
        <v>11</v>
      </c>
      <c r="R290" s="14" t="s">
        <v>13</v>
      </c>
      <c r="S290" s="14" t="s">
        <v>11</v>
      </c>
      <c r="T290" s="14" t="s">
        <v>11</v>
      </c>
      <c r="U290" s="14" t="s">
        <v>11</v>
      </c>
      <c r="V290" s="14" t="s">
        <v>11</v>
      </c>
      <c r="W290" s="14" t="s">
        <v>11</v>
      </c>
      <c r="X290" s="14" t="s">
        <v>11</v>
      </c>
      <c r="Y290" s="14" t="str">
        <f t="shared" si="175"/>
        <v/>
      </c>
      <c r="Z290" s="14" t="str">
        <f t="shared" si="176"/>
        <v/>
      </c>
      <c r="AA290" s="15">
        <f t="shared" si="177"/>
        <v>0</v>
      </c>
      <c r="AB290" s="14" t="s">
        <v>11</v>
      </c>
      <c r="AC290" s="14" t="s">
        <v>11</v>
      </c>
      <c r="AD290" s="14" t="s">
        <v>11</v>
      </c>
      <c r="AE290" s="14" t="s">
        <v>11</v>
      </c>
      <c r="AF290" s="14" t="s">
        <v>13</v>
      </c>
      <c r="AG290" s="14" t="s">
        <v>11</v>
      </c>
      <c r="AH290" s="14" t="s">
        <v>11</v>
      </c>
      <c r="AI290" s="14" t="s">
        <v>11</v>
      </c>
      <c r="AJ290" s="14" t="s">
        <v>11</v>
      </c>
      <c r="AK290" s="14" t="s">
        <v>11</v>
      </c>
      <c r="AL290" s="14" t="str">
        <f t="shared" si="178"/>
        <v>T</v>
      </c>
      <c r="AM290" s="14" t="str">
        <f t="shared" si="179"/>
        <v>T</v>
      </c>
      <c r="AN290" s="14" t="str">
        <f t="shared" si="180"/>
        <v/>
      </c>
      <c r="AO290" s="14" t="str">
        <f t="shared" si="181"/>
        <v/>
      </c>
      <c r="AP290" s="14" t="str">
        <f t="shared" si="182"/>
        <v/>
      </c>
      <c r="AQ290" s="14" t="str">
        <f t="shared" si="145"/>
        <v/>
      </c>
      <c r="AR290" s="15">
        <f t="shared" si="183"/>
        <v>0</v>
      </c>
      <c r="AT290" s="17">
        <f t="shared" ref="AT290:AT303" si="184">COUNTIF($AP$4:$AP$6,AP290)</f>
        <v>0</v>
      </c>
    </row>
    <row r="291" spans="2:46" x14ac:dyDescent="0.2">
      <c r="B291" s="16"/>
      <c r="C291" s="15" t="s">
        <v>53</v>
      </c>
      <c r="D291" s="30" t="str">
        <f t="shared" si="164"/>
        <v/>
      </c>
      <c r="E291" s="14" t="str">
        <f t="shared" si="165"/>
        <v/>
      </c>
      <c r="F291" s="14" t="str">
        <f t="shared" si="166"/>
        <v/>
      </c>
      <c r="G291" s="14" t="str">
        <f t="shared" si="167"/>
        <v/>
      </c>
      <c r="H291" s="14" t="str">
        <f t="shared" si="168"/>
        <v/>
      </c>
      <c r="I291" s="14" t="str">
        <f t="shared" si="169"/>
        <v/>
      </c>
      <c r="J291" s="14" t="str">
        <f t="shared" si="170"/>
        <v/>
      </c>
      <c r="K291" s="14" t="str">
        <f t="shared" si="171"/>
        <v/>
      </c>
      <c r="L291" s="14" t="str">
        <f t="shared" si="172"/>
        <v/>
      </c>
      <c r="M291" s="14" t="str">
        <f t="shared" si="173"/>
        <v/>
      </c>
      <c r="N291" s="14" t="str">
        <f t="shared" si="174"/>
        <v/>
      </c>
      <c r="O291" s="14" t="s">
        <v>11</v>
      </c>
      <c r="P291" s="14" t="s">
        <v>11</v>
      </c>
      <c r="Q291" s="14" t="s">
        <v>11</v>
      </c>
      <c r="R291" s="14" t="s">
        <v>13</v>
      </c>
      <c r="S291" s="14" t="s">
        <v>11</v>
      </c>
      <c r="T291" s="14" t="s">
        <v>11</v>
      </c>
      <c r="U291" s="14" t="s">
        <v>11</v>
      </c>
      <c r="V291" s="14" t="s">
        <v>11</v>
      </c>
      <c r="W291" s="14" t="s">
        <v>11</v>
      </c>
      <c r="X291" s="14" t="s">
        <v>11</v>
      </c>
      <c r="Y291" s="14" t="str">
        <f t="shared" si="175"/>
        <v/>
      </c>
      <c r="Z291" s="14" t="str">
        <f t="shared" si="176"/>
        <v/>
      </c>
      <c r="AA291" s="15">
        <f t="shared" si="177"/>
        <v>0</v>
      </c>
      <c r="AB291" s="14" t="s">
        <v>11</v>
      </c>
      <c r="AC291" s="14" t="s">
        <v>11</v>
      </c>
      <c r="AD291" s="14" t="s">
        <v>11</v>
      </c>
      <c r="AE291" s="14" t="s">
        <v>11</v>
      </c>
      <c r="AF291" s="14" t="s">
        <v>13</v>
      </c>
      <c r="AG291" s="14" t="s">
        <v>11</v>
      </c>
      <c r="AH291" s="14" t="s">
        <v>11</v>
      </c>
      <c r="AI291" s="14" t="s">
        <v>11</v>
      </c>
      <c r="AJ291" s="14" t="s">
        <v>11</v>
      </c>
      <c r="AK291" s="14" t="s">
        <v>11</v>
      </c>
      <c r="AL291" s="14" t="str">
        <f t="shared" si="178"/>
        <v>T</v>
      </c>
      <c r="AM291" s="14" t="str">
        <f t="shared" si="179"/>
        <v>T</v>
      </c>
      <c r="AN291" s="14" t="str">
        <f t="shared" si="180"/>
        <v/>
      </c>
      <c r="AO291" s="14" t="str">
        <f t="shared" si="181"/>
        <v/>
      </c>
      <c r="AP291" s="14" t="str">
        <f t="shared" si="182"/>
        <v/>
      </c>
      <c r="AQ291" s="14" t="str">
        <f t="shared" si="145"/>
        <v/>
      </c>
      <c r="AR291" s="15">
        <f t="shared" si="183"/>
        <v>0</v>
      </c>
      <c r="AT291" s="17">
        <f t="shared" si="184"/>
        <v>0</v>
      </c>
    </row>
    <row r="292" spans="2:46" x14ac:dyDescent="0.2">
      <c r="B292" s="16"/>
      <c r="C292" s="15" t="s">
        <v>53</v>
      </c>
      <c r="D292" s="30" t="str">
        <f t="shared" si="164"/>
        <v/>
      </c>
      <c r="E292" s="14" t="str">
        <f t="shared" si="165"/>
        <v/>
      </c>
      <c r="F292" s="14" t="str">
        <f t="shared" si="166"/>
        <v/>
      </c>
      <c r="G292" s="14" t="str">
        <f t="shared" si="167"/>
        <v/>
      </c>
      <c r="H292" s="14" t="str">
        <f t="shared" si="168"/>
        <v/>
      </c>
      <c r="I292" s="14" t="str">
        <f t="shared" si="169"/>
        <v/>
      </c>
      <c r="J292" s="14" t="str">
        <f t="shared" si="170"/>
        <v/>
      </c>
      <c r="K292" s="14" t="str">
        <f t="shared" si="171"/>
        <v/>
      </c>
      <c r="L292" s="14" t="str">
        <f t="shared" si="172"/>
        <v/>
      </c>
      <c r="M292" s="14" t="str">
        <f t="shared" si="173"/>
        <v/>
      </c>
      <c r="N292" s="14" t="str">
        <f t="shared" si="174"/>
        <v/>
      </c>
      <c r="O292" s="14" t="s">
        <v>11</v>
      </c>
      <c r="P292" s="14" t="s">
        <v>11</v>
      </c>
      <c r="Q292" s="14" t="s">
        <v>11</v>
      </c>
      <c r="R292" s="14" t="s">
        <v>13</v>
      </c>
      <c r="S292" s="14" t="s">
        <v>11</v>
      </c>
      <c r="T292" s="14" t="s">
        <v>11</v>
      </c>
      <c r="U292" s="14" t="s">
        <v>11</v>
      </c>
      <c r="V292" s="14" t="s">
        <v>11</v>
      </c>
      <c r="W292" s="14" t="s">
        <v>11</v>
      </c>
      <c r="X292" s="14" t="s">
        <v>11</v>
      </c>
      <c r="Y292" s="14" t="str">
        <f t="shared" si="175"/>
        <v/>
      </c>
      <c r="Z292" s="14" t="str">
        <f t="shared" si="176"/>
        <v/>
      </c>
      <c r="AA292" s="15">
        <f t="shared" si="177"/>
        <v>0</v>
      </c>
      <c r="AB292" s="14" t="s">
        <v>11</v>
      </c>
      <c r="AC292" s="14" t="s">
        <v>11</v>
      </c>
      <c r="AD292" s="14" t="s">
        <v>11</v>
      </c>
      <c r="AE292" s="14" t="s">
        <v>11</v>
      </c>
      <c r="AF292" s="14" t="s">
        <v>13</v>
      </c>
      <c r="AG292" s="14" t="s">
        <v>11</v>
      </c>
      <c r="AH292" s="14" t="s">
        <v>11</v>
      </c>
      <c r="AI292" s="14" t="s">
        <v>11</v>
      </c>
      <c r="AJ292" s="14" t="s">
        <v>11</v>
      </c>
      <c r="AK292" s="14" t="s">
        <v>11</v>
      </c>
      <c r="AL292" s="14" t="str">
        <f t="shared" si="178"/>
        <v>T</v>
      </c>
      <c r="AM292" s="14" t="str">
        <f t="shared" si="179"/>
        <v>T</v>
      </c>
      <c r="AN292" s="14" t="str">
        <f t="shared" si="180"/>
        <v/>
      </c>
      <c r="AO292" s="14" t="str">
        <f t="shared" si="181"/>
        <v/>
      </c>
      <c r="AP292" s="14" t="str">
        <f t="shared" si="182"/>
        <v/>
      </c>
      <c r="AQ292" s="14" t="str">
        <f t="shared" si="145"/>
        <v/>
      </c>
      <c r="AR292" s="15">
        <f t="shared" si="183"/>
        <v>0</v>
      </c>
      <c r="AT292" s="17">
        <f t="shared" si="184"/>
        <v>0</v>
      </c>
    </row>
    <row r="293" spans="2:46" x14ac:dyDescent="0.2">
      <c r="B293" s="16"/>
      <c r="C293" s="15" t="s">
        <v>53</v>
      </c>
      <c r="D293" s="30" t="str">
        <f t="shared" si="164"/>
        <v/>
      </c>
      <c r="E293" s="14" t="str">
        <f t="shared" si="165"/>
        <v/>
      </c>
      <c r="F293" s="14" t="str">
        <f t="shared" si="166"/>
        <v/>
      </c>
      <c r="G293" s="14" t="str">
        <f t="shared" si="167"/>
        <v/>
      </c>
      <c r="H293" s="14" t="str">
        <f t="shared" si="168"/>
        <v/>
      </c>
      <c r="I293" s="14" t="str">
        <f t="shared" si="169"/>
        <v/>
      </c>
      <c r="J293" s="14" t="str">
        <f t="shared" si="170"/>
        <v/>
      </c>
      <c r="K293" s="14" t="str">
        <f t="shared" si="171"/>
        <v/>
      </c>
      <c r="L293" s="14" t="str">
        <f t="shared" si="172"/>
        <v/>
      </c>
      <c r="M293" s="14" t="str">
        <f t="shared" si="173"/>
        <v/>
      </c>
      <c r="N293" s="14" t="str">
        <f t="shared" si="174"/>
        <v/>
      </c>
      <c r="O293" s="14" t="s">
        <v>11</v>
      </c>
      <c r="P293" s="14" t="s">
        <v>11</v>
      </c>
      <c r="Q293" s="14" t="s">
        <v>11</v>
      </c>
      <c r="R293" s="14" t="s">
        <v>13</v>
      </c>
      <c r="S293" s="14" t="s">
        <v>11</v>
      </c>
      <c r="T293" s="14" t="s">
        <v>11</v>
      </c>
      <c r="U293" s="14" t="s">
        <v>11</v>
      </c>
      <c r="V293" s="14" t="s">
        <v>11</v>
      </c>
      <c r="W293" s="14" t="s">
        <v>11</v>
      </c>
      <c r="X293" s="14" t="s">
        <v>11</v>
      </c>
      <c r="Y293" s="14" t="str">
        <f t="shared" si="175"/>
        <v/>
      </c>
      <c r="Z293" s="14" t="str">
        <f t="shared" si="176"/>
        <v/>
      </c>
      <c r="AA293" s="15">
        <f t="shared" si="177"/>
        <v>0</v>
      </c>
      <c r="AB293" s="14" t="s">
        <v>11</v>
      </c>
      <c r="AC293" s="14" t="s">
        <v>11</v>
      </c>
      <c r="AD293" s="14" t="s">
        <v>11</v>
      </c>
      <c r="AE293" s="14" t="s">
        <v>11</v>
      </c>
      <c r="AF293" s="14" t="s">
        <v>13</v>
      </c>
      <c r="AG293" s="14" t="s">
        <v>11</v>
      </c>
      <c r="AH293" s="14" t="s">
        <v>11</v>
      </c>
      <c r="AI293" s="14" t="s">
        <v>11</v>
      </c>
      <c r="AJ293" s="14" t="s">
        <v>11</v>
      </c>
      <c r="AK293" s="14" t="s">
        <v>11</v>
      </c>
      <c r="AL293" s="14" t="str">
        <f t="shared" si="178"/>
        <v>T</v>
      </c>
      <c r="AM293" s="14" t="str">
        <f t="shared" si="179"/>
        <v>T</v>
      </c>
      <c r="AN293" s="14" t="str">
        <f t="shared" si="180"/>
        <v/>
      </c>
      <c r="AO293" s="14" t="str">
        <f t="shared" si="181"/>
        <v/>
      </c>
      <c r="AP293" s="14" t="str">
        <f t="shared" si="182"/>
        <v/>
      </c>
      <c r="AQ293" s="14" t="str">
        <f t="shared" si="145"/>
        <v/>
      </c>
      <c r="AR293" s="15">
        <f t="shared" si="183"/>
        <v>0</v>
      </c>
      <c r="AT293" s="17">
        <f t="shared" si="184"/>
        <v>0</v>
      </c>
    </row>
    <row r="294" spans="2:46" x14ac:dyDescent="0.2">
      <c r="B294" s="16"/>
      <c r="C294" s="15" t="s">
        <v>53</v>
      </c>
      <c r="D294" s="30" t="str">
        <f t="shared" si="164"/>
        <v/>
      </c>
      <c r="E294" s="14" t="str">
        <f t="shared" si="165"/>
        <v/>
      </c>
      <c r="F294" s="14" t="str">
        <f t="shared" si="166"/>
        <v/>
      </c>
      <c r="G294" s="14" t="str">
        <f t="shared" si="167"/>
        <v/>
      </c>
      <c r="H294" s="14" t="str">
        <f t="shared" si="168"/>
        <v/>
      </c>
      <c r="I294" s="14" t="str">
        <f t="shared" si="169"/>
        <v/>
      </c>
      <c r="J294" s="14" t="str">
        <f t="shared" si="170"/>
        <v/>
      </c>
      <c r="K294" s="14" t="str">
        <f t="shared" si="171"/>
        <v/>
      </c>
      <c r="L294" s="14" t="str">
        <f t="shared" si="172"/>
        <v/>
      </c>
      <c r="M294" s="14" t="str">
        <f t="shared" si="173"/>
        <v/>
      </c>
      <c r="N294" s="14" t="str">
        <f t="shared" si="174"/>
        <v/>
      </c>
      <c r="O294" s="14" t="s">
        <v>11</v>
      </c>
      <c r="P294" s="14" t="s">
        <v>11</v>
      </c>
      <c r="Q294" s="14" t="s">
        <v>11</v>
      </c>
      <c r="R294" s="14" t="s">
        <v>13</v>
      </c>
      <c r="S294" s="14" t="s">
        <v>11</v>
      </c>
      <c r="T294" s="14" t="s">
        <v>11</v>
      </c>
      <c r="U294" s="14" t="s">
        <v>11</v>
      </c>
      <c r="V294" s="14" t="s">
        <v>11</v>
      </c>
      <c r="W294" s="14" t="s">
        <v>11</v>
      </c>
      <c r="X294" s="14" t="s">
        <v>11</v>
      </c>
      <c r="Y294" s="14" t="str">
        <f t="shared" si="175"/>
        <v/>
      </c>
      <c r="Z294" s="14" t="str">
        <f t="shared" si="176"/>
        <v/>
      </c>
      <c r="AA294" s="15">
        <f t="shared" si="177"/>
        <v>0</v>
      </c>
      <c r="AB294" s="14" t="s">
        <v>11</v>
      </c>
      <c r="AC294" s="14" t="s">
        <v>11</v>
      </c>
      <c r="AD294" s="14" t="s">
        <v>11</v>
      </c>
      <c r="AE294" s="14" t="s">
        <v>11</v>
      </c>
      <c r="AF294" s="14" t="s">
        <v>13</v>
      </c>
      <c r="AG294" s="14" t="s">
        <v>11</v>
      </c>
      <c r="AH294" s="14" t="s">
        <v>11</v>
      </c>
      <c r="AI294" s="14" t="s">
        <v>11</v>
      </c>
      <c r="AJ294" s="14" t="s">
        <v>11</v>
      </c>
      <c r="AK294" s="14" t="s">
        <v>11</v>
      </c>
      <c r="AL294" s="14" t="str">
        <f t="shared" si="178"/>
        <v>T</v>
      </c>
      <c r="AM294" s="14" t="str">
        <f t="shared" si="179"/>
        <v>T</v>
      </c>
      <c r="AN294" s="14" t="str">
        <f t="shared" si="180"/>
        <v/>
      </c>
      <c r="AO294" s="14" t="str">
        <f t="shared" si="181"/>
        <v/>
      </c>
      <c r="AP294" s="14" t="str">
        <f t="shared" si="182"/>
        <v/>
      </c>
      <c r="AQ294" s="14" t="str">
        <f t="shared" si="145"/>
        <v/>
      </c>
      <c r="AR294" s="15">
        <f t="shared" si="183"/>
        <v>0</v>
      </c>
      <c r="AT294" s="17">
        <f t="shared" si="184"/>
        <v>0</v>
      </c>
    </row>
    <row r="295" spans="2:46" x14ac:dyDescent="0.2">
      <c r="B295" s="16"/>
      <c r="C295" s="15" t="s">
        <v>53</v>
      </c>
      <c r="D295" s="30" t="str">
        <f t="shared" si="164"/>
        <v/>
      </c>
      <c r="E295" s="14" t="str">
        <f t="shared" si="165"/>
        <v/>
      </c>
      <c r="F295" s="14" t="str">
        <f t="shared" si="166"/>
        <v/>
      </c>
      <c r="G295" s="14" t="str">
        <f t="shared" si="167"/>
        <v/>
      </c>
      <c r="H295" s="14" t="str">
        <f t="shared" si="168"/>
        <v/>
      </c>
      <c r="I295" s="14" t="str">
        <f t="shared" si="169"/>
        <v/>
      </c>
      <c r="J295" s="14" t="str">
        <f t="shared" si="170"/>
        <v/>
      </c>
      <c r="K295" s="14" t="str">
        <f t="shared" si="171"/>
        <v/>
      </c>
      <c r="L295" s="14" t="str">
        <f t="shared" si="172"/>
        <v/>
      </c>
      <c r="M295" s="14" t="str">
        <f t="shared" si="173"/>
        <v/>
      </c>
      <c r="N295" s="14" t="str">
        <f t="shared" si="174"/>
        <v/>
      </c>
      <c r="O295" s="14" t="s">
        <v>11</v>
      </c>
      <c r="P295" s="14" t="s">
        <v>11</v>
      </c>
      <c r="Q295" s="14" t="s">
        <v>11</v>
      </c>
      <c r="R295" s="14" t="s">
        <v>13</v>
      </c>
      <c r="S295" s="14" t="s">
        <v>11</v>
      </c>
      <c r="T295" s="14" t="s">
        <v>11</v>
      </c>
      <c r="U295" s="14" t="s">
        <v>11</v>
      </c>
      <c r="V295" s="14" t="s">
        <v>11</v>
      </c>
      <c r="W295" s="14" t="s">
        <v>11</v>
      </c>
      <c r="X295" s="14" t="s">
        <v>11</v>
      </c>
      <c r="Y295" s="14" t="str">
        <f t="shared" si="175"/>
        <v/>
      </c>
      <c r="Z295" s="14" t="str">
        <f t="shared" si="176"/>
        <v/>
      </c>
      <c r="AA295" s="15">
        <f t="shared" si="177"/>
        <v>0</v>
      </c>
      <c r="AB295" s="14" t="s">
        <v>11</v>
      </c>
      <c r="AC295" s="14" t="s">
        <v>11</v>
      </c>
      <c r="AD295" s="14" t="s">
        <v>11</v>
      </c>
      <c r="AE295" s="14" t="s">
        <v>11</v>
      </c>
      <c r="AF295" s="14" t="s">
        <v>13</v>
      </c>
      <c r="AG295" s="14" t="s">
        <v>11</v>
      </c>
      <c r="AH295" s="14" t="s">
        <v>11</v>
      </c>
      <c r="AI295" s="14" t="s">
        <v>11</v>
      </c>
      <c r="AJ295" s="14" t="s">
        <v>11</v>
      </c>
      <c r="AK295" s="14" t="s">
        <v>11</v>
      </c>
      <c r="AL295" s="14" t="str">
        <f t="shared" si="178"/>
        <v>T</v>
      </c>
      <c r="AM295" s="14" t="str">
        <f t="shared" si="179"/>
        <v>T</v>
      </c>
      <c r="AN295" s="14" t="str">
        <f t="shared" si="180"/>
        <v/>
      </c>
      <c r="AO295" s="14" t="str">
        <f t="shared" si="181"/>
        <v/>
      </c>
      <c r="AP295" s="14" t="str">
        <f t="shared" si="182"/>
        <v/>
      </c>
      <c r="AQ295" s="14" t="str">
        <f t="shared" si="145"/>
        <v/>
      </c>
      <c r="AR295" s="15">
        <f t="shared" si="183"/>
        <v>0</v>
      </c>
      <c r="AT295" s="17">
        <f t="shared" si="184"/>
        <v>0</v>
      </c>
    </row>
    <row r="296" spans="2:46" x14ac:dyDescent="0.2">
      <c r="B296" s="16"/>
      <c r="C296" s="15" t="s">
        <v>53</v>
      </c>
      <c r="D296" s="30" t="str">
        <f t="shared" si="164"/>
        <v/>
      </c>
      <c r="E296" s="14" t="str">
        <f t="shared" si="165"/>
        <v/>
      </c>
      <c r="F296" s="14" t="str">
        <f t="shared" si="166"/>
        <v/>
      </c>
      <c r="G296" s="14" t="str">
        <f t="shared" si="167"/>
        <v/>
      </c>
      <c r="H296" s="14" t="str">
        <f t="shared" si="168"/>
        <v/>
      </c>
      <c r="I296" s="14" t="str">
        <f t="shared" si="169"/>
        <v/>
      </c>
      <c r="J296" s="14" t="str">
        <f t="shared" si="170"/>
        <v/>
      </c>
      <c r="K296" s="14" t="str">
        <f t="shared" si="171"/>
        <v/>
      </c>
      <c r="L296" s="14" t="str">
        <f t="shared" si="172"/>
        <v/>
      </c>
      <c r="M296" s="14" t="str">
        <f t="shared" si="173"/>
        <v/>
      </c>
      <c r="N296" s="14" t="str">
        <f t="shared" si="174"/>
        <v/>
      </c>
      <c r="O296" s="14" t="s">
        <v>11</v>
      </c>
      <c r="P296" s="14" t="s">
        <v>11</v>
      </c>
      <c r="Q296" s="14" t="s">
        <v>11</v>
      </c>
      <c r="R296" s="14" t="s">
        <v>13</v>
      </c>
      <c r="S296" s="14" t="s">
        <v>11</v>
      </c>
      <c r="T296" s="14" t="s">
        <v>11</v>
      </c>
      <c r="U296" s="14" t="s">
        <v>11</v>
      </c>
      <c r="V296" s="14" t="s">
        <v>11</v>
      </c>
      <c r="W296" s="14" t="s">
        <v>11</v>
      </c>
      <c r="X296" s="14" t="s">
        <v>11</v>
      </c>
      <c r="Y296" s="14" t="str">
        <f t="shared" si="175"/>
        <v/>
      </c>
      <c r="Z296" s="14" t="str">
        <f t="shared" si="176"/>
        <v/>
      </c>
      <c r="AA296" s="15">
        <f t="shared" si="177"/>
        <v>0</v>
      </c>
      <c r="AB296" s="14" t="s">
        <v>11</v>
      </c>
      <c r="AC296" s="14" t="s">
        <v>11</v>
      </c>
      <c r="AD296" s="14" t="s">
        <v>11</v>
      </c>
      <c r="AE296" s="14" t="s">
        <v>11</v>
      </c>
      <c r="AF296" s="14" t="s">
        <v>13</v>
      </c>
      <c r="AG296" s="14" t="s">
        <v>11</v>
      </c>
      <c r="AH296" s="14" t="s">
        <v>11</v>
      </c>
      <c r="AI296" s="14" t="s">
        <v>11</v>
      </c>
      <c r="AJ296" s="14" t="s">
        <v>11</v>
      </c>
      <c r="AK296" s="14" t="s">
        <v>11</v>
      </c>
      <c r="AL296" s="14" t="str">
        <f t="shared" si="178"/>
        <v>T</v>
      </c>
      <c r="AM296" s="14" t="str">
        <f t="shared" si="179"/>
        <v>T</v>
      </c>
      <c r="AN296" s="14" t="str">
        <f t="shared" si="180"/>
        <v/>
      </c>
      <c r="AO296" s="14" t="str">
        <f t="shared" si="181"/>
        <v/>
      </c>
      <c r="AP296" s="14" t="str">
        <f t="shared" si="182"/>
        <v/>
      </c>
      <c r="AQ296" s="14" t="str">
        <f t="shared" si="145"/>
        <v/>
      </c>
      <c r="AR296" s="15">
        <f t="shared" si="183"/>
        <v>0</v>
      </c>
      <c r="AT296" s="17">
        <f t="shared" si="184"/>
        <v>0</v>
      </c>
    </row>
    <row r="297" spans="2:46" x14ac:dyDescent="0.2">
      <c r="B297" s="16"/>
      <c r="C297" s="15" t="s">
        <v>53</v>
      </c>
      <c r="D297" s="30" t="str">
        <f t="shared" si="164"/>
        <v/>
      </c>
      <c r="E297" s="14" t="str">
        <f t="shared" si="165"/>
        <v/>
      </c>
      <c r="F297" s="14" t="str">
        <f t="shared" si="166"/>
        <v/>
      </c>
      <c r="G297" s="14" t="str">
        <f t="shared" si="167"/>
        <v/>
      </c>
      <c r="H297" s="14" t="str">
        <f t="shared" si="168"/>
        <v/>
      </c>
      <c r="I297" s="14" t="str">
        <f t="shared" si="169"/>
        <v/>
      </c>
      <c r="J297" s="14" t="str">
        <f t="shared" si="170"/>
        <v/>
      </c>
      <c r="K297" s="14" t="str">
        <f t="shared" si="171"/>
        <v/>
      </c>
      <c r="L297" s="14" t="str">
        <f t="shared" si="172"/>
        <v/>
      </c>
      <c r="M297" s="14" t="str">
        <f t="shared" si="173"/>
        <v/>
      </c>
      <c r="N297" s="14" t="str">
        <f t="shared" si="174"/>
        <v/>
      </c>
      <c r="O297" s="14" t="s">
        <v>11</v>
      </c>
      <c r="P297" s="14" t="s">
        <v>11</v>
      </c>
      <c r="Q297" s="14" t="s">
        <v>11</v>
      </c>
      <c r="R297" s="14" t="s">
        <v>13</v>
      </c>
      <c r="S297" s="14" t="s">
        <v>11</v>
      </c>
      <c r="T297" s="14" t="s">
        <v>11</v>
      </c>
      <c r="U297" s="14" t="s">
        <v>11</v>
      </c>
      <c r="V297" s="14" t="s">
        <v>11</v>
      </c>
      <c r="W297" s="14" t="s">
        <v>11</v>
      </c>
      <c r="X297" s="14" t="s">
        <v>11</v>
      </c>
      <c r="Y297" s="14" t="str">
        <f t="shared" si="175"/>
        <v/>
      </c>
      <c r="Z297" s="14" t="str">
        <f t="shared" si="176"/>
        <v/>
      </c>
      <c r="AA297" s="15">
        <f t="shared" si="177"/>
        <v>0</v>
      </c>
      <c r="AB297" s="14" t="s">
        <v>11</v>
      </c>
      <c r="AC297" s="14" t="s">
        <v>11</v>
      </c>
      <c r="AD297" s="14" t="s">
        <v>11</v>
      </c>
      <c r="AE297" s="14" t="s">
        <v>11</v>
      </c>
      <c r="AF297" s="14" t="s">
        <v>13</v>
      </c>
      <c r="AG297" s="14" t="s">
        <v>11</v>
      </c>
      <c r="AH297" s="14" t="s">
        <v>11</v>
      </c>
      <c r="AI297" s="14" t="s">
        <v>11</v>
      </c>
      <c r="AJ297" s="14" t="s">
        <v>11</v>
      </c>
      <c r="AK297" s="14" t="s">
        <v>11</v>
      </c>
      <c r="AL297" s="14" t="str">
        <f t="shared" si="178"/>
        <v>T</v>
      </c>
      <c r="AM297" s="14" t="str">
        <f t="shared" si="179"/>
        <v>T</v>
      </c>
      <c r="AN297" s="14" t="str">
        <f t="shared" si="180"/>
        <v/>
      </c>
      <c r="AO297" s="14" t="str">
        <f t="shared" si="181"/>
        <v/>
      </c>
      <c r="AP297" s="14" t="str">
        <f t="shared" si="182"/>
        <v/>
      </c>
      <c r="AQ297" s="14" t="str">
        <f t="shared" si="145"/>
        <v/>
      </c>
      <c r="AR297" s="15">
        <f t="shared" si="183"/>
        <v>0</v>
      </c>
      <c r="AT297" s="17">
        <f t="shared" si="184"/>
        <v>0</v>
      </c>
    </row>
    <row r="298" spans="2:46" x14ac:dyDescent="0.2">
      <c r="B298" s="16"/>
      <c r="C298" s="15" t="s">
        <v>53</v>
      </c>
      <c r="D298" s="30" t="str">
        <f t="shared" si="164"/>
        <v/>
      </c>
      <c r="E298" s="14" t="str">
        <f t="shared" si="165"/>
        <v/>
      </c>
      <c r="F298" s="14" t="str">
        <f t="shared" si="166"/>
        <v/>
      </c>
      <c r="G298" s="14" t="str">
        <f t="shared" si="167"/>
        <v/>
      </c>
      <c r="H298" s="14" t="str">
        <f t="shared" si="168"/>
        <v/>
      </c>
      <c r="I298" s="14" t="str">
        <f t="shared" si="169"/>
        <v/>
      </c>
      <c r="J298" s="14" t="str">
        <f t="shared" si="170"/>
        <v/>
      </c>
      <c r="K298" s="14" t="str">
        <f t="shared" si="171"/>
        <v/>
      </c>
      <c r="L298" s="14" t="str">
        <f t="shared" si="172"/>
        <v/>
      </c>
      <c r="M298" s="14" t="str">
        <f t="shared" si="173"/>
        <v/>
      </c>
      <c r="N298" s="14" t="str">
        <f t="shared" si="174"/>
        <v/>
      </c>
      <c r="O298" s="14" t="s">
        <v>11</v>
      </c>
      <c r="P298" s="14" t="s">
        <v>11</v>
      </c>
      <c r="Q298" s="14" t="s">
        <v>11</v>
      </c>
      <c r="R298" s="14" t="s">
        <v>13</v>
      </c>
      <c r="S298" s="14" t="s">
        <v>11</v>
      </c>
      <c r="T298" s="14" t="s">
        <v>11</v>
      </c>
      <c r="U298" s="14" t="s">
        <v>11</v>
      </c>
      <c r="V298" s="14" t="s">
        <v>11</v>
      </c>
      <c r="W298" s="14" t="s">
        <v>11</v>
      </c>
      <c r="X298" s="14" t="s">
        <v>11</v>
      </c>
      <c r="Y298" s="14" t="str">
        <f t="shared" si="175"/>
        <v/>
      </c>
      <c r="Z298" s="14" t="str">
        <f t="shared" si="176"/>
        <v/>
      </c>
      <c r="AA298" s="15">
        <f t="shared" si="177"/>
        <v>0</v>
      </c>
      <c r="AB298" s="14" t="s">
        <v>11</v>
      </c>
      <c r="AC298" s="14" t="s">
        <v>11</v>
      </c>
      <c r="AD298" s="14" t="s">
        <v>11</v>
      </c>
      <c r="AE298" s="14" t="s">
        <v>11</v>
      </c>
      <c r="AF298" s="14" t="s">
        <v>13</v>
      </c>
      <c r="AG298" s="14" t="s">
        <v>11</v>
      </c>
      <c r="AH298" s="14" t="s">
        <v>11</v>
      </c>
      <c r="AI298" s="14" t="s">
        <v>11</v>
      </c>
      <c r="AJ298" s="14" t="s">
        <v>11</v>
      </c>
      <c r="AK298" s="14" t="s">
        <v>11</v>
      </c>
      <c r="AL298" s="14" t="str">
        <f t="shared" si="178"/>
        <v>T</v>
      </c>
      <c r="AM298" s="14" t="str">
        <f t="shared" si="179"/>
        <v>T</v>
      </c>
      <c r="AN298" s="14" t="str">
        <f t="shared" si="180"/>
        <v/>
      </c>
      <c r="AO298" s="14" t="str">
        <f t="shared" si="181"/>
        <v/>
      </c>
      <c r="AP298" s="14" t="str">
        <f t="shared" si="182"/>
        <v/>
      </c>
      <c r="AQ298" s="14" t="str">
        <f t="shared" si="145"/>
        <v/>
      </c>
      <c r="AR298" s="15">
        <f t="shared" si="183"/>
        <v>0</v>
      </c>
      <c r="AT298" s="17">
        <f t="shared" si="184"/>
        <v>0</v>
      </c>
    </row>
    <row r="299" spans="2:46" x14ac:dyDescent="0.2">
      <c r="B299" s="16"/>
      <c r="C299" s="15" t="s">
        <v>53</v>
      </c>
      <c r="D299" s="30" t="str">
        <f t="shared" si="164"/>
        <v/>
      </c>
      <c r="E299" s="14" t="str">
        <f t="shared" si="165"/>
        <v/>
      </c>
      <c r="F299" s="14" t="str">
        <f t="shared" si="166"/>
        <v/>
      </c>
      <c r="G299" s="14" t="str">
        <f t="shared" si="167"/>
        <v/>
      </c>
      <c r="H299" s="14" t="str">
        <f t="shared" si="168"/>
        <v/>
      </c>
      <c r="I299" s="14" t="str">
        <f t="shared" si="169"/>
        <v/>
      </c>
      <c r="J299" s="14" t="str">
        <f t="shared" si="170"/>
        <v/>
      </c>
      <c r="K299" s="14" t="str">
        <f t="shared" si="171"/>
        <v/>
      </c>
      <c r="L299" s="14" t="str">
        <f t="shared" si="172"/>
        <v/>
      </c>
      <c r="M299" s="14" t="str">
        <f t="shared" si="173"/>
        <v/>
      </c>
      <c r="N299" s="14" t="str">
        <f t="shared" si="174"/>
        <v/>
      </c>
      <c r="O299" s="14" t="s">
        <v>11</v>
      </c>
      <c r="P299" s="14" t="s">
        <v>11</v>
      </c>
      <c r="Q299" s="14" t="s">
        <v>11</v>
      </c>
      <c r="R299" s="14" t="s">
        <v>13</v>
      </c>
      <c r="S299" s="14" t="s">
        <v>11</v>
      </c>
      <c r="T299" s="14" t="s">
        <v>11</v>
      </c>
      <c r="U299" s="14" t="s">
        <v>11</v>
      </c>
      <c r="V299" s="14" t="s">
        <v>11</v>
      </c>
      <c r="W299" s="14" t="s">
        <v>11</v>
      </c>
      <c r="X299" s="14" t="s">
        <v>11</v>
      </c>
      <c r="Y299" s="14" t="str">
        <f t="shared" si="175"/>
        <v/>
      </c>
      <c r="Z299" s="14" t="str">
        <f t="shared" si="176"/>
        <v/>
      </c>
      <c r="AA299" s="15">
        <f t="shared" si="177"/>
        <v>0</v>
      </c>
      <c r="AB299" s="14" t="s">
        <v>11</v>
      </c>
      <c r="AC299" s="14" t="s">
        <v>11</v>
      </c>
      <c r="AD299" s="14" t="s">
        <v>11</v>
      </c>
      <c r="AE299" s="14" t="s">
        <v>11</v>
      </c>
      <c r="AF299" s="14" t="s">
        <v>13</v>
      </c>
      <c r="AG299" s="14" t="s">
        <v>11</v>
      </c>
      <c r="AH299" s="14" t="s">
        <v>11</v>
      </c>
      <c r="AI299" s="14" t="s">
        <v>11</v>
      </c>
      <c r="AJ299" s="14" t="s">
        <v>11</v>
      </c>
      <c r="AK299" s="14" t="s">
        <v>11</v>
      </c>
      <c r="AL299" s="14" t="str">
        <f t="shared" si="178"/>
        <v>T</v>
      </c>
      <c r="AM299" s="14" t="str">
        <f t="shared" si="179"/>
        <v>T</v>
      </c>
      <c r="AN299" s="14" t="str">
        <f t="shared" si="180"/>
        <v/>
      </c>
      <c r="AO299" s="14" t="str">
        <f t="shared" si="181"/>
        <v/>
      </c>
      <c r="AP299" s="14" t="str">
        <f t="shared" si="182"/>
        <v/>
      </c>
      <c r="AQ299" s="14" t="str">
        <f t="shared" si="145"/>
        <v/>
      </c>
      <c r="AR299" s="15">
        <f t="shared" si="183"/>
        <v>0</v>
      </c>
      <c r="AT299" s="17">
        <f t="shared" si="184"/>
        <v>0</v>
      </c>
    </row>
    <row r="300" spans="2:46" x14ac:dyDescent="0.2">
      <c r="B300" s="16"/>
      <c r="C300" s="15" t="s">
        <v>53</v>
      </c>
      <c r="D300" s="30" t="str">
        <f t="shared" si="164"/>
        <v/>
      </c>
      <c r="E300" s="14" t="str">
        <f t="shared" si="165"/>
        <v/>
      </c>
      <c r="F300" s="14" t="str">
        <f t="shared" si="166"/>
        <v/>
      </c>
      <c r="G300" s="14" t="str">
        <f t="shared" si="167"/>
        <v/>
      </c>
      <c r="H300" s="14" t="str">
        <f t="shared" si="168"/>
        <v/>
      </c>
      <c r="I300" s="14" t="str">
        <f t="shared" si="169"/>
        <v/>
      </c>
      <c r="J300" s="14" t="str">
        <f t="shared" si="170"/>
        <v/>
      </c>
      <c r="K300" s="14" t="str">
        <f t="shared" si="171"/>
        <v/>
      </c>
      <c r="L300" s="14" t="str">
        <f t="shared" si="172"/>
        <v/>
      </c>
      <c r="M300" s="14" t="str">
        <f t="shared" si="173"/>
        <v/>
      </c>
      <c r="N300" s="14" t="str">
        <f t="shared" si="174"/>
        <v/>
      </c>
      <c r="O300" s="14" t="s">
        <v>11</v>
      </c>
      <c r="P300" s="14" t="s">
        <v>11</v>
      </c>
      <c r="Q300" s="14" t="s">
        <v>11</v>
      </c>
      <c r="R300" s="14" t="s">
        <v>13</v>
      </c>
      <c r="S300" s="14" t="s">
        <v>11</v>
      </c>
      <c r="T300" s="14" t="s">
        <v>11</v>
      </c>
      <c r="U300" s="14" t="s">
        <v>11</v>
      </c>
      <c r="V300" s="14" t="s">
        <v>11</v>
      </c>
      <c r="W300" s="14" t="s">
        <v>11</v>
      </c>
      <c r="X300" s="14" t="s">
        <v>11</v>
      </c>
      <c r="Y300" s="14" t="str">
        <f t="shared" si="175"/>
        <v/>
      </c>
      <c r="Z300" s="14" t="str">
        <f t="shared" si="176"/>
        <v/>
      </c>
      <c r="AA300" s="15">
        <f t="shared" si="177"/>
        <v>0</v>
      </c>
      <c r="AB300" s="14" t="s">
        <v>11</v>
      </c>
      <c r="AC300" s="14" t="s">
        <v>11</v>
      </c>
      <c r="AD300" s="14" t="s">
        <v>11</v>
      </c>
      <c r="AE300" s="14" t="s">
        <v>11</v>
      </c>
      <c r="AF300" s="14" t="s">
        <v>13</v>
      </c>
      <c r="AG300" s="14" t="s">
        <v>11</v>
      </c>
      <c r="AH300" s="14" t="s">
        <v>11</v>
      </c>
      <c r="AI300" s="14" t="s">
        <v>11</v>
      </c>
      <c r="AJ300" s="14" t="s">
        <v>11</v>
      </c>
      <c r="AK300" s="14" t="s">
        <v>11</v>
      </c>
      <c r="AL300" s="14" t="str">
        <f t="shared" si="178"/>
        <v>T</v>
      </c>
      <c r="AM300" s="14" t="str">
        <f t="shared" si="179"/>
        <v>T</v>
      </c>
      <c r="AN300" s="14" t="str">
        <f t="shared" si="180"/>
        <v/>
      </c>
      <c r="AO300" s="14" t="str">
        <f t="shared" si="181"/>
        <v/>
      </c>
      <c r="AP300" s="14" t="str">
        <f t="shared" si="182"/>
        <v/>
      </c>
      <c r="AQ300" s="14" t="str">
        <f t="shared" si="145"/>
        <v/>
      </c>
      <c r="AR300" s="15">
        <f t="shared" si="183"/>
        <v>0</v>
      </c>
      <c r="AT300" s="17">
        <f t="shared" si="184"/>
        <v>0</v>
      </c>
    </row>
    <row r="301" spans="2:46" x14ac:dyDescent="0.2">
      <c r="B301" s="16"/>
      <c r="C301" s="15" t="s">
        <v>53</v>
      </c>
      <c r="D301" s="30" t="str">
        <f t="shared" si="164"/>
        <v/>
      </c>
      <c r="E301" s="14" t="str">
        <f t="shared" si="165"/>
        <v/>
      </c>
      <c r="F301" s="14" t="str">
        <f t="shared" si="166"/>
        <v/>
      </c>
      <c r="G301" s="14" t="str">
        <f t="shared" si="167"/>
        <v/>
      </c>
      <c r="H301" s="14" t="str">
        <f t="shared" si="168"/>
        <v/>
      </c>
      <c r="I301" s="14" t="str">
        <f t="shared" si="169"/>
        <v/>
      </c>
      <c r="J301" s="14" t="str">
        <f t="shared" si="170"/>
        <v/>
      </c>
      <c r="K301" s="14" t="str">
        <f t="shared" si="171"/>
        <v/>
      </c>
      <c r="L301" s="14" t="str">
        <f t="shared" si="172"/>
        <v/>
      </c>
      <c r="M301" s="14" t="str">
        <f t="shared" si="173"/>
        <v/>
      </c>
      <c r="N301" s="14" t="str">
        <f t="shared" si="174"/>
        <v/>
      </c>
      <c r="O301" s="14" t="s">
        <v>11</v>
      </c>
      <c r="P301" s="14" t="s">
        <v>11</v>
      </c>
      <c r="Q301" s="14" t="s">
        <v>11</v>
      </c>
      <c r="R301" s="14" t="s">
        <v>13</v>
      </c>
      <c r="S301" s="14" t="s">
        <v>11</v>
      </c>
      <c r="T301" s="14" t="s">
        <v>11</v>
      </c>
      <c r="U301" s="14" t="s">
        <v>11</v>
      </c>
      <c r="V301" s="14" t="s">
        <v>11</v>
      </c>
      <c r="W301" s="14" t="s">
        <v>11</v>
      </c>
      <c r="X301" s="14" t="s">
        <v>11</v>
      </c>
      <c r="Y301" s="14" t="str">
        <f t="shared" si="175"/>
        <v/>
      </c>
      <c r="Z301" s="14" t="str">
        <f t="shared" si="176"/>
        <v/>
      </c>
      <c r="AA301" s="15">
        <f t="shared" si="177"/>
        <v>0</v>
      </c>
      <c r="AB301" s="14" t="s">
        <v>11</v>
      </c>
      <c r="AC301" s="14" t="s">
        <v>11</v>
      </c>
      <c r="AD301" s="14" t="s">
        <v>11</v>
      </c>
      <c r="AE301" s="14" t="s">
        <v>11</v>
      </c>
      <c r="AF301" s="14" t="s">
        <v>13</v>
      </c>
      <c r="AG301" s="14" t="s">
        <v>11</v>
      </c>
      <c r="AH301" s="14" t="s">
        <v>11</v>
      </c>
      <c r="AI301" s="14" t="s">
        <v>11</v>
      </c>
      <c r="AJ301" s="14" t="s">
        <v>11</v>
      </c>
      <c r="AK301" s="14" t="s">
        <v>11</v>
      </c>
      <c r="AL301" s="14" t="str">
        <f t="shared" si="178"/>
        <v>T</v>
      </c>
      <c r="AM301" s="14" t="str">
        <f t="shared" si="179"/>
        <v>T</v>
      </c>
      <c r="AN301" s="14" t="str">
        <f t="shared" si="180"/>
        <v/>
      </c>
      <c r="AO301" s="14" t="str">
        <f t="shared" si="181"/>
        <v/>
      </c>
      <c r="AP301" s="14" t="str">
        <f t="shared" si="182"/>
        <v/>
      </c>
      <c r="AQ301" s="14" t="str">
        <f t="shared" si="145"/>
        <v/>
      </c>
      <c r="AR301" s="15">
        <f t="shared" si="183"/>
        <v>0</v>
      </c>
      <c r="AT301" s="17">
        <f t="shared" si="184"/>
        <v>0</v>
      </c>
    </row>
    <row r="302" spans="2:46" x14ac:dyDescent="0.2">
      <c r="B302" s="16"/>
      <c r="C302" s="15" t="s">
        <v>53</v>
      </c>
      <c r="D302" s="30" t="str">
        <f t="shared" si="164"/>
        <v/>
      </c>
      <c r="E302" s="14" t="str">
        <f t="shared" si="165"/>
        <v/>
      </c>
      <c r="F302" s="14" t="str">
        <f t="shared" si="166"/>
        <v/>
      </c>
      <c r="G302" s="14" t="str">
        <f t="shared" si="167"/>
        <v/>
      </c>
      <c r="H302" s="14" t="str">
        <f t="shared" si="168"/>
        <v/>
      </c>
      <c r="I302" s="14" t="str">
        <f t="shared" si="169"/>
        <v/>
      </c>
      <c r="J302" s="14" t="str">
        <f t="shared" si="170"/>
        <v/>
      </c>
      <c r="K302" s="14" t="str">
        <f t="shared" si="171"/>
        <v/>
      </c>
      <c r="L302" s="14" t="str">
        <f t="shared" si="172"/>
        <v/>
      </c>
      <c r="M302" s="14" t="str">
        <f t="shared" si="173"/>
        <v/>
      </c>
      <c r="N302" s="14" t="str">
        <f t="shared" si="174"/>
        <v/>
      </c>
      <c r="O302" s="14" t="s">
        <v>11</v>
      </c>
      <c r="P302" s="14" t="s">
        <v>11</v>
      </c>
      <c r="Q302" s="14" t="s">
        <v>11</v>
      </c>
      <c r="R302" s="14" t="s">
        <v>13</v>
      </c>
      <c r="S302" s="14" t="s">
        <v>11</v>
      </c>
      <c r="T302" s="14" t="s">
        <v>11</v>
      </c>
      <c r="U302" s="14" t="s">
        <v>11</v>
      </c>
      <c r="V302" s="14" t="s">
        <v>11</v>
      </c>
      <c r="W302" s="14" t="s">
        <v>11</v>
      </c>
      <c r="X302" s="14" t="s">
        <v>11</v>
      </c>
      <c r="Y302" s="14" t="str">
        <f t="shared" si="175"/>
        <v/>
      </c>
      <c r="Z302" s="14" t="str">
        <f t="shared" si="176"/>
        <v/>
      </c>
      <c r="AA302" s="15">
        <f t="shared" si="177"/>
        <v>0</v>
      </c>
      <c r="AB302" s="14" t="s">
        <v>11</v>
      </c>
      <c r="AC302" s="14" t="s">
        <v>11</v>
      </c>
      <c r="AD302" s="14" t="s">
        <v>11</v>
      </c>
      <c r="AE302" s="14" t="s">
        <v>11</v>
      </c>
      <c r="AF302" s="14" t="s">
        <v>13</v>
      </c>
      <c r="AG302" s="14" t="s">
        <v>11</v>
      </c>
      <c r="AH302" s="14" t="s">
        <v>11</v>
      </c>
      <c r="AI302" s="14" t="s">
        <v>11</v>
      </c>
      <c r="AJ302" s="14" t="s">
        <v>11</v>
      </c>
      <c r="AK302" s="14" t="s">
        <v>11</v>
      </c>
      <c r="AL302" s="14" t="str">
        <f t="shared" si="178"/>
        <v>T</v>
      </c>
      <c r="AM302" s="14" t="str">
        <f t="shared" si="179"/>
        <v>T</v>
      </c>
      <c r="AN302" s="14" t="str">
        <f t="shared" si="180"/>
        <v/>
      </c>
      <c r="AO302" s="14" t="str">
        <f t="shared" si="181"/>
        <v/>
      </c>
      <c r="AP302" s="14" t="str">
        <f t="shared" si="182"/>
        <v/>
      </c>
      <c r="AQ302" s="14" t="str">
        <f t="shared" si="145"/>
        <v/>
      </c>
      <c r="AR302" s="15">
        <f t="shared" si="183"/>
        <v>0</v>
      </c>
      <c r="AT302" s="17">
        <f t="shared" si="184"/>
        <v>0</v>
      </c>
    </row>
    <row r="303" spans="2:46" x14ac:dyDescent="0.2">
      <c r="B303" s="16"/>
      <c r="C303" s="15" t="s">
        <v>53</v>
      </c>
      <c r="D303" s="30" t="str">
        <f t="shared" si="164"/>
        <v/>
      </c>
      <c r="E303" s="14" t="str">
        <f t="shared" si="165"/>
        <v/>
      </c>
      <c r="F303" s="14" t="str">
        <f t="shared" si="166"/>
        <v/>
      </c>
      <c r="G303" s="14" t="str">
        <f t="shared" si="167"/>
        <v/>
      </c>
      <c r="H303" s="14" t="str">
        <f t="shared" si="168"/>
        <v/>
      </c>
      <c r="I303" s="14" t="str">
        <f t="shared" si="169"/>
        <v/>
      </c>
      <c r="J303" s="14" t="str">
        <f t="shared" si="170"/>
        <v/>
      </c>
      <c r="K303" s="14" t="str">
        <f t="shared" si="171"/>
        <v/>
      </c>
      <c r="L303" s="14" t="str">
        <f t="shared" si="172"/>
        <v/>
      </c>
      <c r="M303" s="14" t="str">
        <f t="shared" si="173"/>
        <v/>
      </c>
      <c r="N303" s="14" t="str">
        <f t="shared" si="174"/>
        <v/>
      </c>
      <c r="O303" s="14" t="s">
        <v>11</v>
      </c>
      <c r="P303" s="14" t="s">
        <v>11</v>
      </c>
      <c r="Q303" s="14" t="s">
        <v>11</v>
      </c>
      <c r="R303" s="14" t="s">
        <v>13</v>
      </c>
      <c r="S303" s="14" t="s">
        <v>11</v>
      </c>
      <c r="T303" s="14" t="s">
        <v>11</v>
      </c>
      <c r="U303" s="14" t="s">
        <v>11</v>
      </c>
      <c r="V303" s="14" t="s">
        <v>11</v>
      </c>
      <c r="W303" s="14" t="s">
        <v>11</v>
      </c>
      <c r="X303" s="14" t="s">
        <v>11</v>
      </c>
      <c r="Y303" s="14" t="str">
        <f t="shared" si="175"/>
        <v/>
      </c>
      <c r="Z303" s="14" t="str">
        <f t="shared" si="176"/>
        <v/>
      </c>
      <c r="AA303" s="15">
        <f t="shared" si="177"/>
        <v>0</v>
      </c>
      <c r="AB303" s="14" t="s">
        <v>11</v>
      </c>
      <c r="AC303" s="14" t="s">
        <v>11</v>
      </c>
      <c r="AD303" s="14" t="s">
        <v>11</v>
      </c>
      <c r="AE303" s="14" t="s">
        <v>11</v>
      </c>
      <c r="AF303" s="14" t="s">
        <v>13</v>
      </c>
      <c r="AG303" s="14" t="s">
        <v>11</v>
      </c>
      <c r="AH303" s="14" t="s">
        <v>11</v>
      </c>
      <c r="AI303" s="14" t="s">
        <v>11</v>
      </c>
      <c r="AJ303" s="14" t="s">
        <v>11</v>
      </c>
      <c r="AK303" s="14" t="s">
        <v>11</v>
      </c>
      <c r="AL303" s="14" t="str">
        <f t="shared" si="178"/>
        <v>T</v>
      </c>
      <c r="AM303" s="14" t="str">
        <f t="shared" si="179"/>
        <v>T</v>
      </c>
      <c r="AN303" s="14" t="str">
        <f t="shared" si="180"/>
        <v/>
      </c>
      <c r="AO303" s="14" t="str">
        <f t="shared" si="181"/>
        <v/>
      </c>
      <c r="AP303" s="14" t="str">
        <f t="shared" si="182"/>
        <v/>
      </c>
      <c r="AQ303" s="14" t="str">
        <f t="shared" si="145"/>
        <v/>
      </c>
      <c r="AR303" s="15">
        <f t="shared" si="183"/>
        <v>0</v>
      </c>
      <c r="AT303" s="17">
        <f t="shared" si="184"/>
        <v>0</v>
      </c>
    </row>
    <row r="304" spans="2:46" x14ac:dyDescent="0.2">
      <c r="B304" s="16"/>
      <c r="C304" s="15" t="s">
        <v>53</v>
      </c>
      <c r="D304" s="30" t="str">
        <f t="shared" si="164"/>
        <v/>
      </c>
      <c r="E304" s="14" t="str">
        <f t="shared" si="165"/>
        <v/>
      </c>
      <c r="F304" s="14" t="str">
        <f t="shared" si="166"/>
        <v/>
      </c>
      <c r="G304" s="14" t="str">
        <f t="shared" si="167"/>
        <v/>
      </c>
      <c r="H304" s="14" t="str">
        <f t="shared" si="168"/>
        <v/>
      </c>
      <c r="I304" s="14" t="str">
        <f t="shared" si="169"/>
        <v/>
      </c>
      <c r="J304" s="14" t="str">
        <f t="shared" si="170"/>
        <v/>
      </c>
      <c r="K304" s="14" t="str">
        <f t="shared" si="171"/>
        <v/>
      </c>
      <c r="L304" s="14" t="str">
        <f t="shared" si="172"/>
        <v/>
      </c>
      <c r="M304" s="14" t="str">
        <f t="shared" si="173"/>
        <v/>
      </c>
      <c r="N304" s="14" t="str">
        <f t="shared" si="174"/>
        <v/>
      </c>
      <c r="O304" s="14" t="s">
        <v>11</v>
      </c>
      <c r="P304" s="14" t="s">
        <v>11</v>
      </c>
      <c r="Q304" s="14" t="s">
        <v>11</v>
      </c>
      <c r="R304" s="14" t="s">
        <v>13</v>
      </c>
      <c r="S304" s="14" t="s">
        <v>11</v>
      </c>
      <c r="T304" s="14" t="s">
        <v>11</v>
      </c>
      <c r="U304" s="14" t="s">
        <v>11</v>
      </c>
      <c r="V304" s="14" t="s">
        <v>11</v>
      </c>
      <c r="W304" s="14" t="s">
        <v>11</v>
      </c>
      <c r="X304" s="14" t="s">
        <v>11</v>
      </c>
      <c r="Y304" s="14" t="str">
        <f t="shared" si="175"/>
        <v/>
      </c>
      <c r="Z304" s="14" t="str">
        <f t="shared" si="176"/>
        <v/>
      </c>
      <c r="AA304" s="15">
        <f t="shared" si="177"/>
        <v>0</v>
      </c>
      <c r="AB304" s="14" t="s">
        <v>11</v>
      </c>
      <c r="AC304" s="14" t="s">
        <v>11</v>
      </c>
      <c r="AD304" s="14" t="s">
        <v>11</v>
      </c>
      <c r="AE304" s="14" t="s">
        <v>11</v>
      </c>
      <c r="AF304" s="14" t="s">
        <v>13</v>
      </c>
      <c r="AG304" s="14" t="s">
        <v>11</v>
      </c>
      <c r="AH304" s="14" t="s">
        <v>11</v>
      </c>
      <c r="AI304" s="14" t="s">
        <v>11</v>
      </c>
      <c r="AJ304" s="14" t="s">
        <v>11</v>
      </c>
      <c r="AK304" s="14" t="s">
        <v>11</v>
      </c>
      <c r="AL304" s="14" t="str">
        <f t="shared" si="178"/>
        <v>T</v>
      </c>
      <c r="AM304" s="14" t="str">
        <f t="shared" si="179"/>
        <v>T</v>
      </c>
      <c r="AN304" s="14" t="str">
        <f t="shared" si="180"/>
        <v/>
      </c>
      <c r="AO304" s="14" t="str">
        <f t="shared" si="181"/>
        <v/>
      </c>
      <c r="AP304" s="14" t="str">
        <f t="shared" si="182"/>
        <v/>
      </c>
      <c r="AQ304" s="14" t="str">
        <f t="shared" si="145"/>
        <v/>
      </c>
      <c r="AR304" s="15">
        <f t="shared" si="183"/>
        <v>0</v>
      </c>
    </row>
    <row r="305" spans="2:44" x14ac:dyDescent="0.2">
      <c r="B305" s="16"/>
      <c r="C305" s="15" t="s">
        <v>53</v>
      </c>
      <c r="D305" s="30" t="str">
        <f t="shared" si="164"/>
        <v/>
      </c>
      <c r="E305" s="14" t="str">
        <f t="shared" si="165"/>
        <v/>
      </c>
      <c r="F305" s="14" t="str">
        <f t="shared" si="166"/>
        <v/>
      </c>
      <c r="G305" s="14" t="str">
        <f t="shared" si="167"/>
        <v/>
      </c>
      <c r="H305" s="14" t="str">
        <f t="shared" si="168"/>
        <v/>
      </c>
      <c r="I305" s="14" t="str">
        <f t="shared" si="169"/>
        <v/>
      </c>
      <c r="J305" s="14" t="str">
        <f t="shared" si="170"/>
        <v/>
      </c>
      <c r="K305" s="14" t="str">
        <f t="shared" si="171"/>
        <v/>
      </c>
      <c r="L305" s="14" t="str">
        <f t="shared" si="172"/>
        <v/>
      </c>
      <c r="M305" s="14" t="str">
        <f t="shared" si="173"/>
        <v/>
      </c>
      <c r="N305" s="14" t="str">
        <f t="shared" si="174"/>
        <v/>
      </c>
      <c r="O305" s="14" t="s">
        <v>11</v>
      </c>
      <c r="P305" s="14" t="s">
        <v>11</v>
      </c>
      <c r="Q305" s="14" t="s">
        <v>11</v>
      </c>
      <c r="R305" s="14" t="s">
        <v>13</v>
      </c>
      <c r="S305" s="14" t="s">
        <v>11</v>
      </c>
      <c r="T305" s="14" t="s">
        <v>11</v>
      </c>
      <c r="U305" s="14" t="s">
        <v>11</v>
      </c>
      <c r="V305" s="14" t="s">
        <v>11</v>
      </c>
      <c r="W305" s="14" t="s">
        <v>11</v>
      </c>
      <c r="X305" s="14" t="s">
        <v>11</v>
      </c>
      <c r="Y305" s="14" t="str">
        <f t="shared" si="175"/>
        <v/>
      </c>
      <c r="Z305" s="14" t="str">
        <f t="shared" si="176"/>
        <v/>
      </c>
      <c r="AA305" s="15">
        <f t="shared" si="177"/>
        <v>0</v>
      </c>
      <c r="AB305" s="14" t="s">
        <v>11</v>
      </c>
      <c r="AC305" s="14" t="s">
        <v>11</v>
      </c>
      <c r="AD305" s="14" t="s">
        <v>11</v>
      </c>
      <c r="AE305" s="14" t="s">
        <v>11</v>
      </c>
      <c r="AF305" s="14" t="s">
        <v>13</v>
      </c>
      <c r="AG305" s="14" t="s">
        <v>11</v>
      </c>
      <c r="AH305" s="14" t="s">
        <v>11</v>
      </c>
      <c r="AI305" s="14" t="s">
        <v>11</v>
      </c>
      <c r="AJ305" s="14" t="s">
        <v>11</v>
      </c>
      <c r="AK305" s="14" t="s">
        <v>11</v>
      </c>
      <c r="AL305" s="14" t="str">
        <f t="shared" si="178"/>
        <v>T</v>
      </c>
      <c r="AM305" s="14" t="str">
        <f t="shared" si="179"/>
        <v>T</v>
      </c>
      <c r="AN305" s="14" t="str">
        <f t="shared" si="180"/>
        <v/>
      </c>
      <c r="AO305" s="14" t="str">
        <f t="shared" si="181"/>
        <v/>
      </c>
      <c r="AP305" s="14" t="str">
        <f t="shared" si="182"/>
        <v/>
      </c>
      <c r="AQ305" s="14" t="str">
        <f t="shared" si="145"/>
        <v/>
      </c>
      <c r="AR305" s="15">
        <f t="shared" si="183"/>
        <v>0</v>
      </c>
    </row>
    <row r="306" spans="2:44" x14ac:dyDescent="0.2">
      <c r="B306" s="16"/>
      <c r="C306" s="15" t="s">
        <v>53</v>
      </c>
      <c r="D306" s="30" t="str">
        <f t="shared" si="164"/>
        <v/>
      </c>
      <c r="E306" s="14" t="str">
        <f t="shared" si="165"/>
        <v/>
      </c>
      <c r="F306" s="14" t="str">
        <f t="shared" si="166"/>
        <v/>
      </c>
      <c r="G306" s="14" t="str">
        <f t="shared" si="167"/>
        <v/>
      </c>
      <c r="H306" s="14" t="str">
        <f t="shared" si="168"/>
        <v/>
      </c>
      <c r="I306" s="14" t="str">
        <f t="shared" si="169"/>
        <v/>
      </c>
      <c r="J306" s="14" t="str">
        <f t="shared" si="170"/>
        <v/>
      </c>
      <c r="K306" s="14" t="str">
        <f t="shared" si="171"/>
        <v/>
      </c>
      <c r="L306" s="14" t="str">
        <f t="shared" si="172"/>
        <v/>
      </c>
      <c r="M306" s="14" t="str">
        <f t="shared" si="173"/>
        <v/>
      </c>
      <c r="N306" s="14" t="str">
        <f t="shared" si="174"/>
        <v/>
      </c>
      <c r="O306" s="14" t="s">
        <v>11</v>
      </c>
      <c r="P306" s="14" t="s">
        <v>11</v>
      </c>
      <c r="Q306" s="14" t="s">
        <v>11</v>
      </c>
      <c r="R306" s="14" t="s">
        <v>13</v>
      </c>
      <c r="S306" s="14" t="s">
        <v>11</v>
      </c>
      <c r="T306" s="14" t="s">
        <v>11</v>
      </c>
      <c r="U306" s="14" t="s">
        <v>11</v>
      </c>
      <c r="V306" s="14" t="s">
        <v>11</v>
      </c>
      <c r="W306" s="14" t="s">
        <v>11</v>
      </c>
      <c r="X306" s="14" t="s">
        <v>11</v>
      </c>
      <c r="Y306" s="14" t="str">
        <f t="shared" si="175"/>
        <v/>
      </c>
      <c r="Z306" s="14" t="str">
        <f t="shared" si="176"/>
        <v/>
      </c>
      <c r="AA306" s="15">
        <f t="shared" si="177"/>
        <v>0</v>
      </c>
      <c r="AB306" s="14" t="s">
        <v>11</v>
      </c>
      <c r="AC306" s="14" t="s">
        <v>11</v>
      </c>
      <c r="AD306" s="14" t="s">
        <v>11</v>
      </c>
      <c r="AE306" s="14" t="s">
        <v>11</v>
      </c>
      <c r="AF306" s="14" t="s">
        <v>13</v>
      </c>
      <c r="AG306" s="14" t="s">
        <v>11</v>
      </c>
      <c r="AH306" s="14" t="s">
        <v>11</v>
      </c>
      <c r="AI306" s="14" t="s">
        <v>11</v>
      </c>
      <c r="AJ306" s="14" t="s">
        <v>11</v>
      </c>
      <c r="AK306" s="14" t="s">
        <v>11</v>
      </c>
      <c r="AL306" s="14" t="str">
        <f t="shared" si="178"/>
        <v>T</v>
      </c>
      <c r="AM306" s="14" t="str">
        <f t="shared" si="179"/>
        <v>T</v>
      </c>
      <c r="AN306" s="14" t="str">
        <f t="shared" si="180"/>
        <v/>
      </c>
      <c r="AO306" s="14" t="str">
        <f t="shared" si="181"/>
        <v/>
      </c>
      <c r="AP306" s="14" t="str">
        <f t="shared" si="182"/>
        <v/>
      </c>
      <c r="AQ306" s="14" t="str">
        <f t="shared" si="145"/>
        <v/>
      </c>
      <c r="AR306" s="15">
        <f t="shared" si="183"/>
        <v>0</v>
      </c>
    </row>
    <row r="307" spans="2:44" x14ac:dyDescent="0.2">
      <c r="B307" s="16"/>
      <c r="C307" s="15" t="s">
        <v>53</v>
      </c>
      <c r="D307" s="30" t="str">
        <f t="shared" si="164"/>
        <v/>
      </c>
      <c r="E307" s="14" t="str">
        <f t="shared" si="165"/>
        <v/>
      </c>
      <c r="F307" s="14" t="str">
        <f t="shared" si="166"/>
        <v/>
      </c>
      <c r="G307" s="14" t="str">
        <f t="shared" si="167"/>
        <v/>
      </c>
      <c r="H307" s="14" t="str">
        <f t="shared" si="168"/>
        <v/>
      </c>
      <c r="I307" s="14" t="str">
        <f t="shared" si="169"/>
        <v/>
      </c>
      <c r="J307" s="14" t="str">
        <f t="shared" si="170"/>
        <v/>
      </c>
      <c r="K307" s="14" t="str">
        <f t="shared" si="171"/>
        <v/>
      </c>
      <c r="L307" s="14" t="str">
        <f t="shared" si="172"/>
        <v/>
      </c>
      <c r="M307" s="14" t="str">
        <f t="shared" si="173"/>
        <v/>
      </c>
      <c r="N307" s="14" t="str">
        <f t="shared" si="174"/>
        <v/>
      </c>
      <c r="O307" s="14" t="s">
        <v>11</v>
      </c>
      <c r="P307" s="14" t="s">
        <v>11</v>
      </c>
      <c r="Q307" s="14" t="s">
        <v>11</v>
      </c>
      <c r="R307" s="14" t="s">
        <v>13</v>
      </c>
      <c r="S307" s="14" t="s">
        <v>11</v>
      </c>
      <c r="T307" s="14" t="s">
        <v>11</v>
      </c>
      <c r="U307" s="14" t="s">
        <v>11</v>
      </c>
      <c r="V307" s="14" t="s">
        <v>11</v>
      </c>
      <c r="W307" s="14" t="s">
        <v>11</v>
      </c>
      <c r="X307" s="14" t="s">
        <v>11</v>
      </c>
      <c r="Y307" s="14" t="str">
        <f t="shared" si="175"/>
        <v/>
      </c>
      <c r="Z307" s="14" t="str">
        <f t="shared" si="176"/>
        <v/>
      </c>
      <c r="AA307" s="15">
        <f t="shared" si="177"/>
        <v>0</v>
      </c>
      <c r="AB307" s="14" t="s">
        <v>11</v>
      </c>
      <c r="AC307" s="14" t="s">
        <v>11</v>
      </c>
      <c r="AD307" s="14" t="s">
        <v>11</v>
      </c>
      <c r="AE307" s="14" t="s">
        <v>11</v>
      </c>
      <c r="AF307" s="14" t="s">
        <v>13</v>
      </c>
      <c r="AG307" s="14" t="s">
        <v>11</v>
      </c>
      <c r="AH307" s="14" t="s">
        <v>11</v>
      </c>
      <c r="AI307" s="14" t="s">
        <v>11</v>
      </c>
      <c r="AJ307" s="14" t="s">
        <v>11</v>
      </c>
      <c r="AK307" s="14" t="s">
        <v>11</v>
      </c>
      <c r="AL307" s="14" t="str">
        <f t="shared" si="178"/>
        <v>T</v>
      </c>
      <c r="AM307" s="14" t="str">
        <f t="shared" si="179"/>
        <v>T</v>
      </c>
      <c r="AN307" s="14" t="str">
        <f t="shared" si="180"/>
        <v/>
      </c>
      <c r="AO307" s="14" t="str">
        <f t="shared" si="181"/>
        <v/>
      </c>
      <c r="AP307" s="14" t="str">
        <f t="shared" si="182"/>
        <v/>
      </c>
      <c r="AQ307" s="14" t="str">
        <f t="shared" si="145"/>
        <v/>
      </c>
      <c r="AR307" s="15">
        <f t="shared" si="183"/>
        <v>0</v>
      </c>
    </row>
    <row r="308" spans="2:44" x14ac:dyDescent="0.2">
      <c r="B308" s="16"/>
      <c r="C308" s="15" t="s">
        <v>53</v>
      </c>
      <c r="D308" s="30" t="str">
        <f t="shared" si="164"/>
        <v/>
      </c>
      <c r="E308" s="14" t="str">
        <f t="shared" si="165"/>
        <v/>
      </c>
      <c r="F308" s="14" t="str">
        <f t="shared" si="166"/>
        <v/>
      </c>
      <c r="G308" s="14" t="str">
        <f t="shared" si="167"/>
        <v/>
      </c>
      <c r="H308" s="14" t="str">
        <f t="shared" si="168"/>
        <v/>
      </c>
      <c r="I308" s="14" t="str">
        <f t="shared" si="169"/>
        <v/>
      </c>
      <c r="J308" s="14" t="str">
        <f t="shared" si="170"/>
        <v/>
      </c>
      <c r="K308" s="14" t="str">
        <f t="shared" si="171"/>
        <v/>
      </c>
      <c r="L308" s="14" t="str">
        <f t="shared" si="172"/>
        <v/>
      </c>
      <c r="M308" s="14" t="str">
        <f t="shared" si="173"/>
        <v/>
      </c>
      <c r="N308" s="14" t="str">
        <f t="shared" si="174"/>
        <v/>
      </c>
      <c r="O308" s="14" t="s">
        <v>11</v>
      </c>
      <c r="P308" s="14" t="s">
        <v>11</v>
      </c>
      <c r="Q308" s="14" t="s">
        <v>11</v>
      </c>
      <c r="R308" s="14" t="s">
        <v>13</v>
      </c>
      <c r="S308" s="14" t="s">
        <v>11</v>
      </c>
      <c r="T308" s="14" t="s">
        <v>11</v>
      </c>
      <c r="U308" s="14" t="s">
        <v>11</v>
      </c>
      <c r="V308" s="14" t="s">
        <v>11</v>
      </c>
      <c r="W308" s="14" t="s">
        <v>11</v>
      </c>
      <c r="X308" s="14" t="s">
        <v>11</v>
      </c>
      <c r="Y308" s="14" t="str">
        <f t="shared" si="175"/>
        <v/>
      </c>
      <c r="Z308" s="14" t="str">
        <f t="shared" si="176"/>
        <v/>
      </c>
      <c r="AA308" s="15">
        <f t="shared" si="177"/>
        <v>0</v>
      </c>
      <c r="AB308" s="14" t="s">
        <v>11</v>
      </c>
      <c r="AC308" s="14" t="s">
        <v>11</v>
      </c>
      <c r="AD308" s="14" t="s">
        <v>11</v>
      </c>
      <c r="AE308" s="14" t="s">
        <v>11</v>
      </c>
      <c r="AF308" s="14" t="s">
        <v>13</v>
      </c>
      <c r="AG308" s="14" t="s">
        <v>11</v>
      </c>
      <c r="AH308" s="14" t="s">
        <v>11</v>
      </c>
      <c r="AI308" s="14" t="s">
        <v>11</v>
      </c>
      <c r="AJ308" s="14" t="s">
        <v>11</v>
      </c>
      <c r="AK308" s="14" t="s">
        <v>11</v>
      </c>
      <c r="AL308" s="14" t="str">
        <f t="shared" si="178"/>
        <v>T</v>
      </c>
      <c r="AM308" s="14" t="str">
        <f t="shared" si="179"/>
        <v>T</v>
      </c>
      <c r="AN308" s="14" t="str">
        <f t="shared" si="180"/>
        <v/>
      </c>
      <c r="AO308" s="14" t="str">
        <f t="shared" si="181"/>
        <v/>
      </c>
      <c r="AP308" s="14" t="str">
        <f t="shared" si="182"/>
        <v/>
      </c>
      <c r="AQ308" s="14" t="str">
        <f t="shared" si="145"/>
        <v/>
      </c>
      <c r="AR308" s="15">
        <f t="shared" si="183"/>
        <v>0</v>
      </c>
    </row>
    <row r="309" spans="2:44" x14ac:dyDescent="0.2">
      <c r="B309" s="16"/>
      <c r="C309" s="15" t="s">
        <v>53</v>
      </c>
      <c r="D309" s="30" t="str">
        <f t="shared" si="164"/>
        <v/>
      </c>
      <c r="E309" s="14" t="str">
        <f t="shared" si="165"/>
        <v/>
      </c>
      <c r="F309" s="14" t="str">
        <f t="shared" si="166"/>
        <v/>
      </c>
      <c r="G309" s="14" t="str">
        <f t="shared" si="167"/>
        <v/>
      </c>
      <c r="H309" s="14" t="str">
        <f t="shared" si="168"/>
        <v/>
      </c>
      <c r="I309" s="14" t="str">
        <f t="shared" si="169"/>
        <v/>
      </c>
      <c r="J309" s="14" t="str">
        <f t="shared" si="170"/>
        <v/>
      </c>
      <c r="K309" s="14" t="str">
        <f t="shared" si="171"/>
        <v/>
      </c>
      <c r="L309" s="14" t="str">
        <f t="shared" si="172"/>
        <v/>
      </c>
      <c r="M309" s="14" t="str">
        <f t="shared" si="173"/>
        <v/>
      </c>
      <c r="N309" s="14" t="str">
        <f t="shared" si="174"/>
        <v/>
      </c>
      <c r="O309" s="14" t="s">
        <v>11</v>
      </c>
      <c r="P309" s="14" t="s">
        <v>11</v>
      </c>
      <c r="Q309" s="14" t="s">
        <v>11</v>
      </c>
      <c r="R309" s="14" t="s">
        <v>13</v>
      </c>
      <c r="S309" s="14" t="s">
        <v>11</v>
      </c>
      <c r="T309" s="14" t="s">
        <v>11</v>
      </c>
      <c r="U309" s="14" t="s">
        <v>11</v>
      </c>
      <c r="V309" s="14" t="s">
        <v>11</v>
      </c>
      <c r="W309" s="14" t="s">
        <v>11</v>
      </c>
      <c r="X309" s="14" t="s">
        <v>11</v>
      </c>
      <c r="Y309" s="14" t="str">
        <f t="shared" si="175"/>
        <v/>
      </c>
      <c r="Z309" s="14" t="str">
        <f t="shared" si="176"/>
        <v/>
      </c>
      <c r="AA309" s="15">
        <f t="shared" si="177"/>
        <v>0</v>
      </c>
      <c r="AB309" s="14" t="s">
        <v>11</v>
      </c>
      <c r="AC309" s="14" t="s">
        <v>11</v>
      </c>
      <c r="AD309" s="14" t="s">
        <v>11</v>
      </c>
      <c r="AE309" s="14" t="s">
        <v>11</v>
      </c>
      <c r="AF309" s="14" t="s">
        <v>13</v>
      </c>
      <c r="AG309" s="14" t="s">
        <v>11</v>
      </c>
      <c r="AH309" s="14" t="s">
        <v>11</v>
      </c>
      <c r="AI309" s="14" t="s">
        <v>11</v>
      </c>
      <c r="AJ309" s="14" t="s">
        <v>11</v>
      </c>
      <c r="AK309" s="14" t="s">
        <v>11</v>
      </c>
      <c r="AL309" s="14" t="str">
        <f t="shared" si="178"/>
        <v>T</v>
      </c>
      <c r="AM309" s="14" t="str">
        <f t="shared" si="179"/>
        <v>T</v>
      </c>
      <c r="AN309" s="14" t="str">
        <f t="shared" si="180"/>
        <v/>
      </c>
      <c r="AO309" s="14" t="str">
        <f t="shared" si="181"/>
        <v/>
      </c>
      <c r="AP309" s="14" t="str">
        <f t="shared" si="182"/>
        <v/>
      </c>
      <c r="AQ309" s="14" t="str">
        <f t="shared" si="145"/>
        <v/>
      </c>
      <c r="AR309" s="15">
        <f t="shared" si="183"/>
        <v>0</v>
      </c>
    </row>
    <row r="310" spans="2:44" x14ac:dyDescent="0.2">
      <c r="B310" s="16"/>
      <c r="C310" s="15" t="s">
        <v>53</v>
      </c>
      <c r="D310" s="30" t="str">
        <f t="shared" si="164"/>
        <v/>
      </c>
      <c r="E310" s="14" t="str">
        <f t="shared" si="165"/>
        <v/>
      </c>
      <c r="F310" s="14" t="str">
        <f t="shared" si="166"/>
        <v/>
      </c>
      <c r="G310" s="14" t="str">
        <f t="shared" si="167"/>
        <v/>
      </c>
      <c r="H310" s="14" t="str">
        <f t="shared" si="168"/>
        <v/>
      </c>
      <c r="I310" s="14" t="str">
        <f t="shared" si="169"/>
        <v/>
      </c>
      <c r="J310" s="14" t="str">
        <f t="shared" si="170"/>
        <v/>
      </c>
      <c r="K310" s="14" t="str">
        <f t="shared" si="171"/>
        <v/>
      </c>
      <c r="L310" s="14" t="str">
        <f t="shared" si="172"/>
        <v/>
      </c>
      <c r="M310" s="14" t="str">
        <f t="shared" si="173"/>
        <v/>
      </c>
      <c r="N310" s="14" t="str">
        <f t="shared" si="174"/>
        <v/>
      </c>
      <c r="O310" s="14" t="s">
        <v>11</v>
      </c>
      <c r="P310" s="14" t="s">
        <v>11</v>
      </c>
      <c r="Q310" s="14" t="s">
        <v>11</v>
      </c>
      <c r="R310" s="14" t="s">
        <v>13</v>
      </c>
      <c r="S310" s="14" t="s">
        <v>11</v>
      </c>
      <c r="T310" s="14" t="s">
        <v>11</v>
      </c>
      <c r="U310" s="14" t="s">
        <v>11</v>
      </c>
      <c r="V310" s="14" t="s">
        <v>11</v>
      </c>
      <c r="W310" s="14" t="s">
        <v>11</v>
      </c>
      <c r="X310" s="14" t="s">
        <v>11</v>
      </c>
      <c r="Y310" s="14" t="str">
        <f t="shared" si="175"/>
        <v/>
      </c>
      <c r="Z310" s="14" t="str">
        <f t="shared" si="176"/>
        <v/>
      </c>
      <c r="AA310" s="15">
        <f t="shared" si="177"/>
        <v>0</v>
      </c>
      <c r="AB310" s="14" t="s">
        <v>11</v>
      </c>
      <c r="AC310" s="14" t="s">
        <v>11</v>
      </c>
      <c r="AD310" s="14" t="s">
        <v>11</v>
      </c>
      <c r="AE310" s="14" t="s">
        <v>11</v>
      </c>
      <c r="AF310" s="14" t="s">
        <v>13</v>
      </c>
      <c r="AG310" s="14" t="s">
        <v>11</v>
      </c>
      <c r="AH310" s="14" t="s">
        <v>11</v>
      </c>
      <c r="AI310" s="14" t="s">
        <v>11</v>
      </c>
      <c r="AJ310" s="14" t="s">
        <v>11</v>
      </c>
      <c r="AK310" s="14" t="s">
        <v>11</v>
      </c>
      <c r="AL310" s="14" t="str">
        <f t="shared" si="178"/>
        <v>T</v>
      </c>
      <c r="AM310" s="14" t="str">
        <f t="shared" si="179"/>
        <v>T</v>
      </c>
      <c r="AN310" s="14" t="str">
        <f t="shared" si="180"/>
        <v/>
      </c>
      <c r="AO310" s="14" t="str">
        <f t="shared" si="181"/>
        <v/>
      </c>
      <c r="AP310" s="14" t="str">
        <f t="shared" si="182"/>
        <v/>
      </c>
      <c r="AQ310" s="14" t="str">
        <f t="shared" si="145"/>
        <v/>
      </c>
      <c r="AR310" s="15">
        <f t="shared" si="183"/>
        <v>0</v>
      </c>
    </row>
    <row r="311" spans="2:44" x14ac:dyDescent="0.2">
      <c r="B311" s="16"/>
      <c r="C311" s="15" t="s">
        <v>53</v>
      </c>
      <c r="D311" s="30" t="str">
        <f t="shared" si="164"/>
        <v/>
      </c>
      <c r="E311" s="14" t="str">
        <f t="shared" si="165"/>
        <v/>
      </c>
      <c r="F311" s="14" t="str">
        <f t="shared" si="166"/>
        <v/>
      </c>
      <c r="G311" s="14" t="str">
        <f t="shared" si="167"/>
        <v/>
      </c>
      <c r="H311" s="14" t="str">
        <f t="shared" si="168"/>
        <v/>
      </c>
      <c r="I311" s="14" t="str">
        <f t="shared" si="169"/>
        <v/>
      </c>
      <c r="J311" s="14" t="str">
        <f t="shared" si="170"/>
        <v/>
      </c>
      <c r="K311" s="14" t="str">
        <f t="shared" si="171"/>
        <v/>
      </c>
      <c r="L311" s="14" t="str">
        <f t="shared" si="172"/>
        <v/>
      </c>
      <c r="M311" s="14" t="str">
        <f t="shared" si="173"/>
        <v/>
      </c>
      <c r="N311" s="14" t="str">
        <f t="shared" si="174"/>
        <v/>
      </c>
      <c r="O311" s="14" t="s">
        <v>11</v>
      </c>
      <c r="P311" s="14" t="s">
        <v>11</v>
      </c>
      <c r="Q311" s="14" t="s">
        <v>11</v>
      </c>
      <c r="R311" s="14" t="s">
        <v>13</v>
      </c>
      <c r="S311" s="14" t="s">
        <v>11</v>
      </c>
      <c r="T311" s="14" t="s">
        <v>11</v>
      </c>
      <c r="U311" s="14" t="s">
        <v>11</v>
      </c>
      <c r="V311" s="14" t="s">
        <v>11</v>
      </c>
      <c r="W311" s="14" t="s">
        <v>11</v>
      </c>
      <c r="X311" s="14" t="s">
        <v>11</v>
      </c>
      <c r="Y311" s="14" t="str">
        <f t="shared" si="175"/>
        <v/>
      </c>
      <c r="Z311" s="14" t="str">
        <f t="shared" si="176"/>
        <v/>
      </c>
      <c r="AA311" s="15">
        <f t="shared" si="177"/>
        <v>0</v>
      </c>
      <c r="AB311" s="14" t="s">
        <v>11</v>
      </c>
      <c r="AC311" s="14" t="s">
        <v>11</v>
      </c>
      <c r="AD311" s="14" t="s">
        <v>11</v>
      </c>
      <c r="AE311" s="14" t="s">
        <v>11</v>
      </c>
      <c r="AF311" s="14" t="s">
        <v>13</v>
      </c>
      <c r="AG311" s="14" t="s">
        <v>11</v>
      </c>
      <c r="AH311" s="14" t="s">
        <v>11</v>
      </c>
      <c r="AI311" s="14" t="s">
        <v>11</v>
      </c>
      <c r="AJ311" s="14" t="s">
        <v>11</v>
      </c>
      <c r="AK311" s="14" t="s">
        <v>11</v>
      </c>
      <c r="AL311" s="14" t="str">
        <f t="shared" si="178"/>
        <v>T</v>
      </c>
      <c r="AM311" s="14" t="str">
        <f t="shared" si="179"/>
        <v>T</v>
      </c>
      <c r="AN311" s="14" t="str">
        <f t="shared" si="180"/>
        <v/>
      </c>
      <c r="AO311" s="14" t="str">
        <f t="shared" si="181"/>
        <v/>
      </c>
      <c r="AP311" s="14" t="str">
        <f t="shared" si="182"/>
        <v/>
      </c>
      <c r="AQ311" s="14" t="str">
        <f t="shared" si="145"/>
        <v/>
      </c>
      <c r="AR311" s="15">
        <f t="shared" si="183"/>
        <v>0</v>
      </c>
    </row>
    <row r="312" spans="2:44" x14ac:dyDescent="0.2">
      <c r="B312" s="16"/>
      <c r="C312" s="15" t="s">
        <v>53</v>
      </c>
      <c r="D312" s="30" t="str">
        <f t="shared" si="164"/>
        <v/>
      </c>
      <c r="E312" s="14" t="str">
        <f t="shared" si="165"/>
        <v/>
      </c>
      <c r="F312" s="14" t="str">
        <f t="shared" si="166"/>
        <v/>
      </c>
      <c r="G312" s="14" t="str">
        <f t="shared" si="167"/>
        <v/>
      </c>
      <c r="H312" s="14" t="str">
        <f t="shared" si="168"/>
        <v/>
      </c>
      <c r="I312" s="14" t="str">
        <f t="shared" si="169"/>
        <v/>
      </c>
      <c r="J312" s="14" t="str">
        <f t="shared" si="170"/>
        <v/>
      </c>
      <c r="K312" s="14" t="str">
        <f t="shared" si="171"/>
        <v/>
      </c>
      <c r="L312" s="14" t="str">
        <f t="shared" si="172"/>
        <v/>
      </c>
      <c r="M312" s="14" t="str">
        <f t="shared" si="173"/>
        <v/>
      </c>
      <c r="N312" s="14" t="str">
        <f t="shared" si="174"/>
        <v/>
      </c>
      <c r="O312" s="14" t="s">
        <v>11</v>
      </c>
      <c r="P312" s="14" t="s">
        <v>11</v>
      </c>
      <c r="Q312" s="14" t="s">
        <v>11</v>
      </c>
      <c r="R312" s="14" t="s">
        <v>13</v>
      </c>
      <c r="S312" s="14" t="s">
        <v>11</v>
      </c>
      <c r="T312" s="14" t="s">
        <v>11</v>
      </c>
      <c r="U312" s="14" t="s">
        <v>11</v>
      </c>
      <c r="V312" s="14" t="s">
        <v>11</v>
      </c>
      <c r="W312" s="14" t="s">
        <v>11</v>
      </c>
      <c r="X312" s="14" t="s">
        <v>11</v>
      </c>
      <c r="Y312" s="14" t="str">
        <f t="shared" si="175"/>
        <v/>
      </c>
      <c r="Z312" s="14" t="str">
        <f t="shared" si="176"/>
        <v/>
      </c>
      <c r="AA312" s="15">
        <f t="shared" si="177"/>
        <v>0</v>
      </c>
      <c r="AB312" s="14" t="s">
        <v>11</v>
      </c>
      <c r="AC312" s="14" t="s">
        <v>11</v>
      </c>
      <c r="AD312" s="14" t="s">
        <v>11</v>
      </c>
      <c r="AE312" s="14" t="s">
        <v>11</v>
      </c>
      <c r="AF312" s="14" t="s">
        <v>13</v>
      </c>
      <c r="AG312" s="14" t="s">
        <v>11</v>
      </c>
      <c r="AH312" s="14" t="s">
        <v>11</v>
      </c>
      <c r="AI312" s="14" t="s">
        <v>11</v>
      </c>
      <c r="AJ312" s="14" t="s">
        <v>11</v>
      </c>
      <c r="AK312" s="14" t="s">
        <v>11</v>
      </c>
      <c r="AL312" s="14" t="str">
        <f t="shared" si="178"/>
        <v>T</v>
      </c>
      <c r="AM312" s="14" t="str">
        <f t="shared" si="179"/>
        <v>T</v>
      </c>
      <c r="AN312" s="14" t="str">
        <f t="shared" si="180"/>
        <v/>
      </c>
      <c r="AO312" s="14" t="str">
        <f t="shared" si="181"/>
        <v/>
      </c>
      <c r="AP312" s="14" t="str">
        <f t="shared" si="182"/>
        <v/>
      </c>
      <c r="AQ312" s="14" t="str">
        <f t="shared" si="145"/>
        <v/>
      </c>
      <c r="AR312" s="15">
        <f t="shared" si="183"/>
        <v>0</v>
      </c>
    </row>
    <row r="313" spans="2:44" x14ac:dyDescent="0.2">
      <c r="B313" s="16"/>
      <c r="C313" s="15" t="s">
        <v>53</v>
      </c>
      <c r="D313" s="30" t="str">
        <f t="shared" si="164"/>
        <v/>
      </c>
      <c r="E313" s="14" t="str">
        <f t="shared" si="165"/>
        <v/>
      </c>
      <c r="F313" s="14" t="str">
        <f t="shared" si="166"/>
        <v/>
      </c>
      <c r="G313" s="14" t="str">
        <f t="shared" si="167"/>
        <v/>
      </c>
      <c r="H313" s="14" t="str">
        <f t="shared" si="168"/>
        <v/>
      </c>
      <c r="I313" s="14" t="str">
        <f t="shared" si="169"/>
        <v/>
      </c>
      <c r="J313" s="14" t="str">
        <f t="shared" si="170"/>
        <v/>
      </c>
      <c r="K313" s="14" t="str">
        <f t="shared" si="171"/>
        <v/>
      </c>
      <c r="L313" s="14" t="str">
        <f t="shared" si="172"/>
        <v/>
      </c>
      <c r="M313" s="14" t="str">
        <f t="shared" si="173"/>
        <v/>
      </c>
      <c r="N313" s="14" t="str">
        <f t="shared" si="174"/>
        <v/>
      </c>
      <c r="O313" s="14" t="s">
        <v>11</v>
      </c>
      <c r="P313" s="14" t="s">
        <v>11</v>
      </c>
      <c r="Q313" s="14" t="s">
        <v>11</v>
      </c>
      <c r="R313" s="14" t="s">
        <v>13</v>
      </c>
      <c r="S313" s="14" t="s">
        <v>11</v>
      </c>
      <c r="T313" s="14" t="s">
        <v>11</v>
      </c>
      <c r="U313" s="14" t="s">
        <v>11</v>
      </c>
      <c r="V313" s="14" t="s">
        <v>11</v>
      </c>
      <c r="W313" s="14" t="s">
        <v>11</v>
      </c>
      <c r="X313" s="14" t="s">
        <v>11</v>
      </c>
      <c r="Y313" s="14" t="str">
        <f t="shared" si="175"/>
        <v/>
      </c>
      <c r="Z313" s="14" t="str">
        <f t="shared" si="176"/>
        <v/>
      </c>
      <c r="AA313" s="15">
        <f t="shared" si="177"/>
        <v>0</v>
      </c>
      <c r="AB313" s="14" t="s">
        <v>11</v>
      </c>
      <c r="AC313" s="14" t="s">
        <v>11</v>
      </c>
      <c r="AD313" s="14" t="s">
        <v>11</v>
      </c>
      <c r="AE313" s="14" t="s">
        <v>11</v>
      </c>
      <c r="AF313" s="14" t="s">
        <v>13</v>
      </c>
      <c r="AG313" s="14" t="s">
        <v>11</v>
      </c>
      <c r="AH313" s="14" t="s">
        <v>11</v>
      </c>
      <c r="AI313" s="14" t="s">
        <v>11</v>
      </c>
      <c r="AJ313" s="14" t="s">
        <v>11</v>
      </c>
      <c r="AK313" s="14" t="s">
        <v>11</v>
      </c>
      <c r="AL313" s="14" t="str">
        <f t="shared" si="178"/>
        <v>T</v>
      </c>
      <c r="AM313" s="14" t="str">
        <f t="shared" si="179"/>
        <v>T</v>
      </c>
      <c r="AN313" s="14" t="str">
        <f t="shared" si="180"/>
        <v/>
      </c>
      <c r="AO313" s="14" t="str">
        <f t="shared" si="181"/>
        <v/>
      </c>
      <c r="AP313" s="14" t="str">
        <f t="shared" si="182"/>
        <v/>
      </c>
      <c r="AQ313" s="14" t="str">
        <f t="shared" si="145"/>
        <v/>
      </c>
      <c r="AR313" s="15">
        <f t="shared" si="183"/>
        <v>0</v>
      </c>
    </row>
    <row r="314" spans="2:44" x14ac:dyDescent="0.2">
      <c r="B314" s="16"/>
      <c r="C314" s="15" t="s">
        <v>53</v>
      </c>
      <c r="D314" s="30" t="str">
        <f t="shared" si="164"/>
        <v/>
      </c>
      <c r="E314" s="14" t="str">
        <f t="shared" si="165"/>
        <v/>
      </c>
      <c r="F314" s="14" t="str">
        <f t="shared" si="166"/>
        <v/>
      </c>
      <c r="G314" s="14" t="str">
        <f t="shared" si="167"/>
        <v/>
      </c>
      <c r="H314" s="14" t="str">
        <f t="shared" si="168"/>
        <v/>
      </c>
      <c r="I314" s="14" t="str">
        <f t="shared" si="169"/>
        <v/>
      </c>
      <c r="J314" s="14" t="str">
        <f t="shared" si="170"/>
        <v/>
      </c>
      <c r="K314" s="14" t="str">
        <f t="shared" si="171"/>
        <v/>
      </c>
      <c r="L314" s="14" t="str">
        <f t="shared" si="172"/>
        <v/>
      </c>
      <c r="M314" s="14" t="str">
        <f t="shared" si="173"/>
        <v/>
      </c>
      <c r="N314" s="14" t="str">
        <f t="shared" si="174"/>
        <v/>
      </c>
      <c r="O314" s="14" t="s">
        <v>11</v>
      </c>
      <c r="P314" s="14" t="s">
        <v>11</v>
      </c>
      <c r="Q314" s="14" t="s">
        <v>11</v>
      </c>
      <c r="R314" s="14" t="s">
        <v>13</v>
      </c>
      <c r="S314" s="14" t="s">
        <v>11</v>
      </c>
      <c r="T314" s="14" t="s">
        <v>11</v>
      </c>
      <c r="U314" s="14" t="s">
        <v>11</v>
      </c>
      <c r="V314" s="14" t="s">
        <v>11</v>
      </c>
      <c r="W314" s="14" t="s">
        <v>11</v>
      </c>
      <c r="X314" s="14" t="s">
        <v>11</v>
      </c>
      <c r="Y314" s="14" t="str">
        <f t="shared" si="175"/>
        <v/>
      </c>
      <c r="Z314" s="14" t="str">
        <f t="shared" si="176"/>
        <v/>
      </c>
      <c r="AA314" s="15">
        <f t="shared" si="177"/>
        <v>0</v>
      </c>
      <c r="AB314" s="14" t="s">
        <v>11</v>
      </c>
      <c r="AC314" s="14" t="s">
        <v>11</v>
      </c>
      <c r="AD314" s="14" t="s">
        <v>11</v>
      </c>
      <c r="AE314" s="14" t="s">
        <v>11</v>
      </c>
      <c r="AF314" s="14" t="s">
        <v>13</v>
      </c>
      <c r="AG314" s="14" t="s">
        <v>11</v>
      </c>
      <c r="AH314" s="14" t="s">
        <v>11</v>
      </c>
      <c r="AI314" s="14" t="s">
        <v>11</v>
      </c>
      <c r="AJ314" s="14" t="s">
        <v>11</v>
      </c>
      <c r="AK314" s="14" t="s">
        <v>11</v>
      </c>
      <c r="AL314" s="14" t="str">
        <f t="shared" si="178"/>
        <v>T</v>
      </c>
      <c r="AM314" s="14" t="str">
        <f t="shared" si="179"/>
        <v>T</v>
      </c>
      <c r="AN314" s="14" t="str">
        <f t="shared" si="180"/>
        <v/>
      </c>
      <c r="AO314" s="14" t="str">
        <f t="shared" si="181"/>
        <v/>
      </c>
      <c r="AP314" s="14" t="str">
        <f t="shared" si="182"/>
        <v/>
      </c>
      <c r="AQ314" s="14" t="str">
        <f t="shared" si="145"/>
        <v/>
      </c>
      <c r="AR314" s="15">
        <f t="shared" si="183"/>
        <v>0</v>
      </c>
    </row>
    <row r="315" spans="2:44" x14ac:dyDescent="0.2">
      <c r="B315" s="16"/>
      <c r="C315" s="15" t="s">
        <v>53</v>
      </c>
      <c r="D315" s="30" t="str">
        <f t="shared" si="164"/>
        <v/>
      </c>
      <c r="E315" s="14" t="str">
        <f t="shared" si="165"/>
        <v/>
      </c>
      <c r="F315" s="14" t="str">
        <f t="shared" si="166"/>
        <v/>
      </c>
      <c r="G315" s="14" t="str">
        <f t="shared" si="167"/>
        <v/>
      </c>
      <c r="H315" s="14" t="str">
        <f t="shared" si="168"/>
        <v/>
      </c>
      <c r="I315" s="14" t="str">
        <f t="shared" si="169"/>
        <v/>
      </c>
      <c r="J315" s="14" t="str">
        <f t="shared" si="170"/>
        <v/>
      </c>
      <c r="K315" s="14" t="str">
        <f t="shared" si="171"/>
        <v/>
      </c>
      <c r="L315" s="14" t="str">
        <f t="shared" si="172"/>
        <v/>
      </c>
      <c r="M315" s="14" t="str">
        <f t="shared" si="173"/>
        <v/>
      </c>
      <c r="N315" s="14" t="str">
        <f t="shared" si="174"/>
        <v/>
      </c>
      <c r="O315" s="14" t="s">
        <v>11</v>
      </c>
      <c r="P315" s="14" t="s">
        <v>11</v>
      </c>
      <c r="Q315" s="14" t="s">
        <v>11</v>
      </c>
      <c r="R315" s="14" t="s">
        <v>13</v>
      </c>
      <c r="S315" s="14" t="s">
        <v>11</v>
      </c>
      <c r="T315" s="14" t="s">
        <v>11</v>
      </c>
      <c r="U315" s="14" t="s">
        <v>11</v>
      </c>
      <c r="V315" s="14" t="s">
        <v>11</v>
      </c>
      <c r="W315" s="14" t="s">
        <v>11</v>
      </c>
      <c r="X315" s="14" t="s">
        <v>11</v>
      </c>
      <c r="Y315" s="14" t="str">
        <f t="shared" si="175"/>
        <v/>
      </c>
      <c r="Z315" s="14" t="str">
        <f t="shared" si="176"/>
        <v/>
      </c>
      <c r="AA315" s="15">
        <f t="shared" si="177"/>
        <v>0</v>
      </c>
      <c r="AB315" s="14" t="s">
        <v>11</v>
      </c>
      <c r="AC315" s="14" t="s">
        <v>11</v>
      </c>
      <c r="AD315" s="14" t="s">
        <v>11</v>
      </c>
      <c r="AE315" s="14" t="s">
        <v>11</v>
      </c>
      <c r="AF315" s="14" t="s">
        <v>13</v>
      </c>
      <c r="AG315" s="14" t="s">
        <v>11</v>
      </c>
      <c r="AH315" s="14" t="s">
        <v>11</v>
      </c>
      <c r="AI315" s="14" t="s">
        <v>11</v>
      </c>
      <c r="AJ315" s="14" t="s">
        <v>11</v>
      </c>
      <c r="AK315" s="14" t="s">
        <v>11</v>
      </c>
      <c r="AL315" s="14" t="str">
        <f t="shared" si="178"/>
        <v>T</v>
      </c>
      <c r="AM315" s="14" t="str">
        <f t="shared" si="179"/>
        <v>T</v>
      </c>
      <c r="AN315" s="14" t="str">
        <f t="shared" si="180"/>
        <v/>
      </c>
      <c r="AO315" s="14" t="str">
        <f t="shared" si="181"/>
        <v/>
      </c>
      <c r="AP315" s="14" t="str">
        <f t="shared" si="182"/>
        <v/>
      </c>
      <c r="AQ315" s="14" t="str">
        <f t="shared" si="145"/>
        <v/>
      </c>
      <c r="AR315" s="15">
        <f t="shared" si="183"/>
        <v>0</v>
      </c>
    </row>
    <row r="316" spans="2:44" x14ac:dyDescent="0.2">
      <c r="B316" s="16"/>
      <c r="C316" s="15" t="s">
        <v>53</v>
      </c>
      <c r="D316" s="30" t="str">
        <f t="shared" si="164"/>
        <v/>
      </c>
      <c r="E316" s="14" t="str">
        <f t="shared" si="165"/>
        <v/>
      </c>
      <c r="F316" s="14" t="str">
        <f t="shared" si="166"/>
        <v/>
      </c>
      <c r="G316" s="14" t="str">
        <f t="shared" si="167"/>
        <v/>
      </c>
      <c r="H316" s="14" t="str">
        <f t="shared" si="168"/>
        <v/>
      </c>
      <c r="I316" s="14" t="str">
        <f t="shared" si="169"/>
        <v/>
      </c>
      <c r="J316" s="14" t="str">
        <f t="shared" si="170"/>
        <v/>
      </c>
      <c r="K316" s="14" t="str">
        <f t="shared" si="171"/>
        <v/>
      </c>
      <c r="L316" s="14" t="str">
        <f t="shared" si="172"/>
        <v/>
      </c>
      <c r="M316" s="14" t="str">
        <f t="shared" si="173"/>
        <v/>
      </c>
      <c r="N316" s="14" t="str">
        <f t="shared" si="174"/>
        <v/>
      </c>
      <c r="O316" s="14" t="s">
        <v>11</v>
      </c>
      <c r="P316" s="14" t="s">
        <v>11</v>
      </c>
      <c r="Q316" s="14" t="s">
        <v>11</v>
      </c>
      <c r="R316" s="14" t="s">
        <v>13</v>
      </c>
      <c r="S316" s="14" t="s">
        <v>11</v>
      </c>
      <c r="T316" s="14" t="s">
        <v>11</v>
      </c>
      <c r="U316" s="14" t="s">
        <v>11</v>
      </c>
      <c r="V316" s="14" t="s">
        <v>11</v>
      </c>
      <c r="W316" s="14" t="s">
        <v>11</v>
      </c>
      <c r="X316" s="14" t="s">
        <v>11</v>
      </c>
      <c r="Y316" s="14" t="str">
        <f t="shared" si="175"/>
        <v/>
      </c>
      <c r="Z316" s="14" t="str">
        <f t="shared" si="176"/>
        <v/>
      </c>
      <c r="AA316" s="15">
        <f t="shared" si="177"/>
        <v>0</v>
      </c>
      <c r="AB316" s="14" t="s">
        <v>11</v>
      </c>
      <c r="AC316" s="14" t="s">
        <v>11</v>
      </c>
      <c r="AD316" s="14" t="s">
        <v>11</v>
      </c>
      <c r="AE316" s="14" t="s">
        <v>11</v>
      </c>
      <c r="AF316" s="14" t="s">
        <v>13</v>
      </c>
      <c r="AG316" s="14" t="s">
        <v>11</v>
      </c>
      <c r="AH316" s="14" t="s">
        <v>11</v>
      </c>
      <c r="AI316" s="14" t="s">
        <v>11</v>
      </c>
      <c r="AJ316" s="14" t="s">
        <v>11</v>
      </c>
      <c r="AK316" s="14" t="s">
        <v>11</v>
      </c>
      <c r="AL316" s="14" t="str">
        <f t="shared" si="178"/>
        <v>T</v>
      </c>
      <c r="AM316" s="14" t="str">
        <f t="shared" si="179"/>
        <v>T</v>
      </c>
      <c r="AN316" s="14" t="str">
        <f t="shared" si="180"/>
        <v/>
      </c>
      <c r="AO316" s="14" t="str">
        <f t="shared" si="181"/>
        <v/>
      </c>
      <c r="AP316" s="14" t="str">
        <f t="shared" si="182"/>
        <v/>
      </c>
      <c r="AQ316" s="14" t="str">
        <f t="shared" si="145"/>
        <v/>
      </c>
      <c r="AR316" s="15">
        <f t="shared" si="183"/>
        <v>0</v>
      </c>
    </row>
    <row r="317" spans="2:44" x14ac:dyDescent="0.2">
      <c r="B317" s="16"/>
      <c r="C317" s="15" t="s">
        <v>53</v>
      </c>
      <c r="D317" s="30" t="str">
        <f t="shared" si="164"/>
        <v/>
      </c>
      <c r="E317" s="14" t="str">
        <f t="shared" si="165"/>
        <v/>
      </c>
      <c r="F317" s="14" t="str">
        <f t="shared" si="166"/>
        <v/>
      </c>
      <c r="G317" s="14" t="str">
        <f t="shared" si="167"/>
        <v/>
      </c>
      <c r="H317" s="14" t="str">
        <f t="shared" si="168"/>
        <v/>
      </c>
      <c r="I317" s="14" t="str">
        <f t="shared" si="169"/>
        <v/>
      </c>
      <c r="J317" s="14" t="str">
        <f t="shared" si="170"/>
        <v/>
      </c>
      <c r="K317" s="14" t="str">
        <f t="shared" si="171"/>
        <v/>
      </c>
      <c r="L317" s="14" t="str">
        <f t="shared" si="172"/>
        <v/>
      </c>
      <c r="M317" s="14" t="str">
        <f t="shared" si="173"/>
        <v/>
      </c>
      <c r="N317" s="14" t="str">
        <f t="shared" si="174"/>
        <v/>
      </c>
      <c r="O317" s="14" t="s">
        <v>11</v>
      </c>
      <c r="P317" s="14" t="s">
        <v>11</v>
      </c>
      <c r="Q317" s="14" t="s">
        <v>11</v>
      </c>
      <c r="R317" s="14" t="s">
        <v>13</v>
      </c>
      <c r="S317" s="14" t="s">
        <v>11</v>
      </c>
      <c r="T317" s="14" t="s">
        <v>11</v>
      </c>
      <c r="U317" s="14" t="s">
        <v>11</v>
      </c>
      <c r="V317" s="14" t="s">
        <v>11</v>
      </c>
      <c r="W317" s="14" t="s">
        <v>11</v>
      </c>
      <c r="X317" s="14" t="s">
        <v>11</v>
      </c>
      <c r="Y317" s="14" t="str">
        <f t="shared" si="175"/>
        <v/>
      </c>
      <c r="Z317" s="14" t="str">
        <f t="shared" si="176"/>
        <v/>
      </c>
      <c r="AA317" s="15">
        <f t="shared" si="177"/>
        <v>0</v>
      </c>
      <c r="AB317" s="14" t="s">
        <v>11</v>
      </c>
      <c r="AC317" s="14" t="s">
        <v>11</v>
      </c>
      <c r="AD317" s="14" t="s">
        <v>11</v>
      </c>
      <c r="AE317" s="14" t="s">
        <v>11</v>
      </c>
      <c r="AF317" s="14" t="s">
        <v>13</v>
      </c>
      <c r="AG317" s="14" t="s">
        <v>11</v>
      </c>
      <c r="AH317" s="14" t="s">
        <v>11</v>
      </c>
      <c r="AI317" s="14" t="s">
        <v>11</v>
      </c>
      <c r="AJ317" s="14" t="s">
        <v>11</v>
      </c>
      <c r="AK317" s="14" t="s">
        <v>11</v>
      </c>
      <c r="AL317" s="14" t="str">
        <f t="shared" si="178"/>
        <v>T</v>
      </c>
      <c r="AM317" s="14" t="str">
        <f t="shared" si="179"/>
        <v>T</v>
      </c>
      <c r="AN317" s="14" t="str">
        <f t="shared" si="180"/>
        <v/>
      </c>
      <c r="AO317" s="14" t="str">
        <f t="shared" si="181"/>
        <v/>
      </c>
      <c r="AP317" s="14" t="str">
        <f t="shared" si="182"/>
        <v/>
      </c>
      <c r="AQ317" s="14" t="str">
        <f t="shared" si="145"/>
        <v/>
      </c>
      <c r="AR317" s="15">
        <f t="shared" si="183"/>
        <v>0</v>
      </c>
    </row>
    <row r="318" spans="2:44" x14ac:dyDescent="0.2">
      <c r="B318" s="16"/>
      <c r="C318" s="15" t="s">
        <v>53</v>
      </c>
      <c r="D318" s="30" t="str">
        <f t="shared" si="164"/>
        <v/>
      </c>
      <c r="E318" s="14" t="str">
        <f t="shared" si="165"/>
        <v/>
      </c>
      <c r="F318" s="14" t="str">
        <f t="shared" si="166"/>
        <v/>
      </c>
      <c r="G318" s="14" t="str">
        <f t="shared" si="167"/>
        <v/>
      </c>
      <c r="H318" s="14" t="str">
        <f t="shared" si="168"/>
        <v/>
      </c>
      <c r="I318" s="14" t="str">
        <f t="shared" si="169"/>
        <v/>
      </c>
      <c r="J318" s="14" t="str">
        <f t="shared" si="170"/>
        <v/>
      </c>
      <c r="K318" s="14" t="str">
        <f t="shared" si="171"/>
        <v/>
      </c>
      <c r="L318" s="14" t="str">
        <f t="shared" si="172"/>
        <v/>
      </c>
      <c r="M318" s="14" t="str">
        <f t="shared" si="173"/>
        <v/>
      </c>
      <c r="N318" s="14" t="str">
        <f t="shared" si="174"/>
        <v/>
      </c>
      <c r="O318" s="14" t="s">
        <v>11</v>
      </c>
      <c r="P318" s="14" t="s">
        <v>11</v>
      </c>
      <c r="Q318" s="14" t="s">
        <v>11</v>
      </c>
      <c r="R318" s="14" t="s">
        <v>13</v>
      </c>
      <c r="S318" s="14" t="s">
        <v>11</v>
      </c>
      <c r="T318" s="14" t="s">
        <v>11</v>
      </c>
      <c r="U318" s="14" t="s">
        <v>11</v>
      </c>
      <c r="V318" s="14" t="s">
        <v>11</v>
      </c>
      <c r="W318" s="14" t="s">
        <v>11</v>
      </c>
      <c r="X318" s="14" t="s">
        <v>11</v>
      </c>
      <c r="Y318" s="14" t="str">
        <f t="shared" si="175"/>
        <v/>
      </c>
      <c r="Z318" s="14" t="str">
        <f t="shared" si="176"/>
        <v/>
      </c>
      <c r="AA318" s="15">
        <f t="shared" si="177"/>
        <v>0</v>
      </c>
      <c r="AB318" s="14" t="s">
        <v>11</v>
      </c>
      <c r="AC318" s="14" t="s">
        <v>11</v>
      </c>
      <c r="AD318" s="14" t="s">
        <v>11</v>
      </c>
      <c r="AE318" s="14" t="s">
        <v>11</v>
      </c>
      <c r="AF318" s="14" t="s">
        <v>13</v>
      </c>
      <c r="AG318" s="14" t="s">
        <v>11</v>
      </c>
      <c r="AH318" s="14" t="s">
        <v>11</v>
      </c>
      <c r="AI318" s="14" t="s">
        <v>11</v>
      </c>
      <c r="AJ318" s="14" t="s">
        <v>11</v>
      </c>
      <c r="AK318" s="14" t="s">
        <v>11</v>
      </c>
      <c r="AL318" s="14" t="str">
        <f t="shared" si="178"/>
        <v>T</v>
      </c>
      <c r="AM318" s="14" t="str">
        <f t="shared" si="179"/>
        <v>T</v>
      </c>
      <c r="AN318" s="14" t="str">
        <f t="shared" si="180"/>
        <v/>
      </c>
      <c r="AO318" s="14" t="str">
        <f t="shared" si="181"/>
        <v/>
      </c>
      <c r="AP318" s="14" t="str">
        <f t="shared" si="182"/>
        <v/>
      </c>
      <c r="AQ318" s="14" t="str">
        <f t="shared" si="145"/>
        <v/>
      </c>
      <c r="AR318" s="15">
        <f t="shared" si="183"/>
        <v>0</v>
      </c>
    </row>
    <row r="319" spans="2:44" x14ac:dyDescent="0.2">
      <c r="B319" s="16"/>
      <c r="C319" s="15" t="s">
        <v>53</v>
      </c>
      <c r="D319" s="30" t="str">
        <f t="shared" si="164"/>
        <v/>
      </c>
      <c r="E319" s="14" t="str">
        <f t="shared" si="165"/>
        <v/>
      </c>
      <c r="F319" s="14" t="str">
        <f t="shared" si="166"/>
        <v/>
      </c>
      <c r="G319" s="14" t="str">
        <f t="shared" si="167"/>
        <v/>
      </c>
      <c r="H319" s="14" t="str">
        <f t="shared" si="168"/>
        <v/>
      </c>
      <c r="I319" s="14" t="str">
        <f t="shared" si="169"/>
        <v/>
      </c>
      <c r="J319" s="14" t="str">
        <f t="shared" si="170"/>
        <v/>
      </c>
      <c r="K319" s="14" t="str">
        <f t="shared" si="171"/>
        <v/>
      </c>
      <c r="L319" s="14" t="str">
        <f t="shared" si="172"/>
        <v/>
      </c>
      <c r="M319" s="14" t="str">
        <f t="shared" si="173"/>
        <v/>
      </c>
      <c r="N319" s="14" t="str">
        <f t="shared" si="174"/>
        <v/>
      </c>
      <c r="O319" s="14" t="s">
        <v>11</v>
      </c>
      <c r="P319" s="14" t="s">
        <v>11</v>
      </c>
      <c r="Q319" s="14" t="s">
        <v>11</v>
      </c>
      <c r="R319" s="14" t="s">
        <v>13</v>
      </c>
      <c r="S319" s="14" t="s">
        <v>11</v>
      </c>
      <c r="T319" s="14" t="s">
        <v>11</v>
      </c>
      <c r="U319" s="14" t="s">
        <v>11</v>
      </c>
      <c r="V319" s="14" t="s">
        <v>11</v>
      </c>
      <c r="W319" s="14" t="s">
        <v>11</v>
      </c>
      <c r="X319" s="14" t="s">
        <v>11</v>
      </c>
      <c r="Y319" s="14" t="str">
        <f t="shared" si="175"/>
        <v/>
      </c>
      <c r="Z319" s="14" t="str">
        <f t="shared" si="176"/>
        <v/>
      </c>
      <c r="AA319" s="15">
        <f t="shared" si="177"/>
        <v>0</v>
      </c>
      <c r="AB319" s="14" t="s">
        <v>11</v>
      </c>
      <c r="AC319" s="14" t="s">
        <v>11</v>
      </c>
      <c r="AD319" s="14" t="s">
        <v>11</v>
      </c>
      <c r="AE319" s="14" t="s">
        <v>11</v>
      </c>
      <c r="AF319" s="14" t="s">
        <v>13</v>
      </c>
      <c r="AG319" s="14" t="s">
        <v>11</v>
      </c>
      <c r="AH319" s="14" t="s">
        <v>11</v>
      </c>
      <c r="AI319" s="14" t="s">
        <v>11</v>
      </c>
      <c r="AJ319" s="14" t="s">
        <v>11</v>
      </c>
      <c r="AK319" s="14" t="s">
        <v>11</v>
      </c>
      <c r="AL319" s="14" t="str">
        <f t="shared" si="178"/>
        <v>T</v>
      </c>
      <c r="AM319" s="14" t="str">
        <f t="shared" si="179"/>
        <v>T</v>
      </c>
      <c r="AN319" s="14" t="str">
        <f t="shared" si="180"/>
        <v/>
      </c>
      <c r="AO319" s="14" t="str">
        <f t="shared" si="181"/>
        <v/>
      </c>
      <c r="AP319" s="14" t="str">
        <f t="shared" si="182"/>
        <v/>
      </c>
      <c r="AQ319" s="14" t="str">
        <f t="shared" si="145"/>
        <v/>
      </c>
      <c r="AR319" s="15">
        <f t="shared" si="183"/>
        <v>0</v>
      </c>
    </row>
    <row r="320" spans="2:44" x14ac:dyDescent="0.2">
      <c r="B320" s="16"/>
      <c r="C320" s="15" t="s">
        <v>53</v>
      </c>
      <c r="D320" s="30" t="str">
        <f t="shared" si="164"/>
        <v/>
      </c>
      <c r="E320" s="14" t="str">
        <f t="shared" si="165"/>
        <v/>
      </c>
      <c r="F320" s="14" t="str">
        <f t="shared" si="166"/>
        <v/>
      </c>
      <c r="G320" s="14" t="str">
        <f t="shared" si="167"/>
        <v/>
      </c>
      <c r="H320" s="14" t="str">
        <f t="shared" si="168"/>
        <v/>
      </c>
      <c r="I320" s="14" t="str">
        <f t="shared" si="169"/>
        <v/>
      </c>
      <c r="J320" s="14" t="str">
        <f t="shared" si="170"/>
        <v/>
      </c>
      <c r="K320" s="14" t="str">
        <f t="shared" si="171"/>
        <v/>
      </c>
      <c r="L320" s="14" t="str">
        <f t="shared" si="172"/>
        <v/>
      </c>
      <c r="M320" s="14" t="str">
        <f t="shared" si="173"/>
        <v/>
      </c>
      <c r="N320" s="14" t="str">
        <f t="shared" si="174"/>
        <v/>
      </c>
      <c r="O320" s="14" t="s">
        <v>11</v>
      </c>
      <c r="P320" s="14" t="s">
        <v>11</v>
      </c>
      <c r="Q320" s="14" t="s">
        <v>11</v>
      </c>
      <c r="R320" s="14" t="s">
        <v>13</v>
      </c>
      <c r="S320" s="14" t="s">
        <v>11</v>
      </c>
      <c r="T320" s="14" t="s">
        <v>11</v>
      </c>
      <c r="U320" s="14" t="s">
        <v>11</v>
      </c>
      <c r="V320" s="14" t="s">
        <v>11</v>
      </c>
      <c r="W320" s="14" t="s">
        <v>11</v>
      </c>
      <c r="X320" s="14" t="s">
        <v>11</v>
      </c>
      <c r="Y320" s="14" t="str">
        <f t="shared" si="175"/>
        <v/>
      </c>
      <c r="Z320" s="14" t="str">
        <f t="shared" si="176"/>
        <v/>
      </c>
      <c r="AA320" s="15">
        <f t="shared" si="177"/>
        <v>0</v>
      </c>
      <c r="AB320" s="14" t="s">
        <v>11</v>
      </c>
      <c r="AC320" s="14" t="s">
        <v>11</v>
      </c>
      <c r="AD320" s="14" t="s">
        <v>11</v>
      </c>
      <c r="AE320" s="14" t="s">
        <v>11</v>
      </c>
      <c r="AF320" s="14" t="s">
        <v>13</v>
      </c>
      <c r="AG320" s="14" t="s">
        <v>11</v>
      </c>
      <c r="AH320" s="14" t="s">
        <v>11</v>
      </c>
      <c r="AI320" s="14" t="s">
        <v>11</v>
      </c>
      <c r="AJ320" s="14" t="s">
        <v>11</v>
      </c>
      <c r="AK320" s="14" t="s">
        <v>11</v>
      </c>
      <c r="AL320" s="14" t="str">
        <f t="shared" si="178"/>
        <v>T</v>
      </c>
      <c r="AM320" s="14" t="str">
        <f t="shared" si="179"/>
        <v>T</v>
      </c>
      <c r="AN320" s="14" t="str">
        <f t="shared" si="180"/>
        <v/>
      </c>
      <c r="AO320" s="14" t="str">
        <f t="shared" si="181"/>
        <v/>
      </c>
      <c r="AP320" s="14" t="str">
        <f t="shared" si="182"/>
        <v/>
      </c>
      <c r="AQ320" s="14" t="str">
        <f t="shared" si="145"/>
        <v/>
      </c>
      <c r="AR320" s="15">
        <f t="shared" si="183"/>
        <v>0</v>
      </c>
    </row>
    <row r="321" spans="2:44" x14ac:dyDescent="0.2">
      <c r="B321" s="16"/>
      <c r="C321" s="15" t="s">
        <v>53</v>
      </c>
      <c r="D321" s="30" t="str">
        <f t="shared" si="164"/>
        <v/>
      </c>
      <c r="E321" s="14" t="str">
        <f t="shared" si="165"/>
        <v/>
      </c>
      <c r="F321" s="14" t="str">
        <f t="shared" si="166"/>
        <v/>
      </c>
      <c r="G321" s="14" t="str">
        <f t="shared" si="167"/>
        <v/>
      </c>
      <c r="H321" s="14" t="str">
        <f t="shared" si="168"/>
        <v/>
      </c>
      <c r="I321" s="14" t="str">
        <f t="shared" si="169"/>
        <v/>
      </c>
      <c r="J321" s="14" t="str">
        <f t="shared" si="170"/>
        <v/>
      </c>
      <c r="K321" s="14" t="str">
        <f t="shared" si="171"/>
        <v/>
      </c>
      <c r="L321" s="14" t="str">
        <f t="shared" si="172"/>
        <v/>
      </c>
      <c r="M321" s="14" t="str">
        <f t="shared" si="173"/>
        <v/>
      </c>
      <c r="N321" s="14" t="str">
        <f t="shared" si="174"/>
        <v/>
      </c>
      <c r="O321" s="14" t="s">
        <v>11</v>
      </c>
      <c r="P321" s="14" t="s">
        <v>11</v>
      </c>
      <c r="Q321" s="14" t="s">
        <v>11</v>
      </c>
      <c r="R321" s="14" t="s">
        <v>13</v>
      </c>
      <c r="S321" s="14" t="s">
        <v>11</v>
      </c>
      <c r="T321" s="14" t="s">
        <v>11</v>
      </c>
      <c r="U321" s="14" t="s">
        <v>11</v>
      </c>
      <c r="V321" s="14" t="s">
        <v>11</v>
      </c>
      <c r="W321" s="14" t="s">
        <v>11</v>
      </c>
      <c r="X321" s="14" t="s">
        <v>11</v>
      </c>
      <c r="Y321" s="14" t="str">
        <f t="shared" si="175"/>
        <v/>
      </c>
      <c r="Z321" s="14" t="str">
        <f t="shared" si="176"/>
        <v/>
      </c>
      <c r="AA321" s="15">
        <f t="shared" si="177"/>
        <v>0</v>
      </c>
      <c r="AB321" s="14" t="s">
        <v>11</v>
      </c>
      <c r="AC321" s="14" t="s">
        <v>11</v>
      </c>
      <c r="AD321" s="14" t="s">
        <v>11</v>
      </c>
      <c r="AE321" s="14" t="s">
        <v>11</v>
      </c>
      <c r="AF321" s="14" t="s">
        <v>13</v>
      </c>
      <c r="AG321" s="14" t="s">
        <v>11</v>
      </c>
      <c r="AH321" s="14" t="s">
        <v>11</v>
      </c>
      <c r="AI321" s="14" t="s">
        <v>11</v>
      </c>
      <c r="AJ321" s="14" t="s">
        <v>11</v>
      </c>
      <c r="AK321" s="14" t="s">
        <v>11</v>
      </c>
      <c r="AL321" s="14" t="str">
        <f t="shared" si="178"/>
        <v>T</v>
      </c>
      <c r="AM321" s="14" t="str">
        <f t="shared" si="179"/>
        <v>T</v>
      </c>
      <c r="AN321" s="14" t="str">
        <f t="shared" si="180"/>
        <v/>
      </c>
      <c r="AO321" s="14" t="str">
        <f t="shared" si="181"/>
        <v/>
      </c>
      <c r="AP321" s="14" t="str">
        <f t="shared" si="182"/>
        <v/>
      </c>
      <c r="AQ321" s="14" t="str">
        <f t="shared" si="145"/>
        <v/>
      </c>
      <c r="AR321" s="15">
        <f t="shared" si="183"/>
        <v>0</v>
      </c>
    </row>
    <row r="322" spans="2:44" x14ac:dyDescent="0.2">
      <c r="B322" s="16"/>
      <c r="C322" s="15" t="s">
        <v>53</v>
      </c>
      <c r="D322" s="30" t="str">
        <f t="shared" si="164"/>
        <v/>
      </c>
      <c r="E322" s="14" t="str">
        <f t="shared" si="165"/>
        <v/>
      </c>
      <c r="F322" s="14" t="str">
        <f t="shared" si="166"/>
        <v/>
      </c>
      <c r="G322" s="14" t="str">
        <f t="shared" si="167"/>
        <v/>
      </c>
      <c r="H322" s="14" t="str">
        <f t="shared" si="168"/>
        <v/>
      </c>
      <c r="I322" s="14" t="str">
        <f t="shared" si="169"/>
        <v/>
      </c>
      <c r="J322" s="14" t="str">
        <f t="shared" si="170"/>
        <v/>
      </c>
      <c r="K322" s="14" t="str">
        <f t="shared" si="171"/>
        <v/>
      </c>
      <c r="L322" s="14" t="str">
        <f t="shared" si="172"/>
        <v/>
      </c>
      <c r="M322" s="14" t="str">
        <f t="shared" si="173"/>
        <v/>
      </c>
      <c r="N322" s="14" t="str">
        <f t="shared" si="174"/>
        <v/>
      </c>
      <c r="O322" s="14" t="s">
        <v>11</v>
      </c>
      <c r="P322" s="14" t="s">
        <v>11</v>
      </c>
      <c r="Q322" s="14" t="s">
        <v>11</v>
      </c>
      <c r="R322" s="14" t="s">
        <v>13</v>
      </c>
      <c r="S322" s="14" t="s">
        <v>11</v>
      </c>
      <c r="T322" s="14" t="s">
        <v>11</v>
      </c>
      <c r="U322" s="14" t="s">
        <v>11</v>
      </c>
      <c r="V322" s="14" t="s">
        <v>11</v>
      </c>
      <c r="W322" s="14" t="s">
        <v>11</v>
      </c>
      <c r="X322" s="14" t="s">
        <v>11</v>
      </c>
      <c r="Y322" s="14" t="str">
        <f t="shared" si="175"/>
        <v/>
      </c>
      <c r="Z322" s="14" t="str">
        <f t="shared" si="176"/>
        <v/>
      </c>
      <c r="AA322" s="15">
        <f t="shared" si="177"/>
        <v>0</v>
      </c>
      <c r="AB322" s="14" t="s">
        <v>11</v>
      </c>
      <c r="AC322" s="14" t="s">
        <v>11</v>
      </c>
      <c r="AD322" s="14" t="s">
        <v>11</v>
      </c>
      <c r="AE322" s="14" t="s">
        <v>11</v>
      </c>
      <c r="AF322" s="14" t="s">
        <v>13</v>
      </c>
      <c r="AG322" s="14" t="s">
        <v>11</v>
      </c>
      <c r="AH322" s="14" t="s">
        <v>11</v>
      </c>
      <c r="AI322" s="14" t="s">
        <v>11</v>
      </c>
      <c r="AJ322" s="14" t="s">
        <v>11</v>
      </c>
      <c r="AK322" s="14" t="s">
        <v>11</v>
      </c>
      <c r="AL322" s="14" t="str">
        <f t="shared" si="178"/>
        <v>T</v>
      </c>
      <c r="AM322" s="14" t="str">
        <f t="shared" si="179"/>
        <v>T</v>
      </c>
      <c r="AN322" s="14" t="str">
        <f t="shared" si="180"/>
        <v/>
      </c>
      <c r="AO322" s="14" t="str">
        <f t="shared" si="181"/>
        <v/>
      </c>
      <c r="AP322" s="14" t="str">
        <f t="shared" si="182"/>
        <v/>
      </c>
      <c r="AQ322" s="14" t="str">
        <f t="shared" si="145"/>
        <v/>
      </c>
      <c r="AR322" s="15">
        <f t="shared" si="183"/>
        <v>0</v>
      </c>
    </row>
    <row r="323" spans="2:44" x14ac:dyDescent="0.2">
      <c r="B323" s="16"/>
      <c r="C323" s="15" t="s">
        <v>53</v>
      </c>
      <c r="D323" s="30" t="str">
        <f t="shared" si="164"/>
        <v/>
      </c>
      <c r="E323" s="14" t="str">
        <f t="shared" si="165"/>
        <v/>
      </c>
      <c r="F323" s="14" t="str">
        <f t="shared" si="166"/>
        <v/>
      </c>
      <c r="G323" s="14" t="str">
        <f t="shared" si="167"/>
        <v/>
      </c>
      <c r="H323" s="14" t="str">
        <f t="shared" si="168"/>
        <v/>
      </c>
      <c r="I323" s="14" t="str">
        <f t="shared" si="169"/>
        <v/>
      </c>
      <c r="J323" s="14" t="str">
        <f t="shared" si="170"/>
        <v/>
      </c>
      <c r="K323" s="14" t="str">
        <f t="shared" si="171"/>
        <v/>
      </c>
      <c r="L323" s="14" t="str">
        <f t="shared" si="172"/>
        <v/>
      </c>
      <c r="M323" s="14" t="str">
        <f t="shared" si="173"/>
        <v/>
      </c>
      <c r="N323" s="14" t="str">
        <f t="shared" si="174"/>
        <v/>
      </c>
      <c r="O323" s="14" t="s">
        <v>11</v>
      </c>
      <c r="P323" s="14" t="s">
        <v>11</v>
      </c>
      <c r="Q323" s="14" t="s">
        <v>11</v>
      </c>
      <c r="R323" s="14" t="s">
        <v>13</v>
      </c>
      <c r="S323" s="14" t="s">
        <v>11</v>
      </c>
      <c r="T323" s="14" t="s">
        <v>11</v>
      </c>
      <c r="U323" s="14" t="s">
        <v>11</v>
      </c>
      <c r="V323" s="14" t="s">
        <v>11</v>
      </c>
      <c r="W323" s="14" t="s">
        <v>11</v>
      </c>
      <c r="X323" s="14" t="s">
        <v>11</v>
      </c>
      <c r="Y323" s="14" t="str">
        <f t="shared" si="175"/>
        <v/>
      </c>
      <c r="Z323" s="14" t="str">
        <f t="shared" si="176"/>
        <v/>
      </c>
      <c r="AA323" s="15">
        <f t="shared" si="177"/>
        <v>0</v>
      </c>
      <c r="AB323" s="14" t="s">
        <v>11</v>
      </c>
      <c r="AC323" s="14" t="s">
        <v>11</v>
      </c>
      <c r="AD323" s="14" t="s">
        <v>11</v>
      </c>
      <c r="AE323" s="14" t="s">
        <v>11</v>
      </c>
      <c r="AF323" s="14" t="s">
        <v>13</v>
      </c>
      <c r="AG323" s="14" t="s">
        <v>11</v>
      </c>
      <c r="AH323" s="14" t="s">
        <v>11</v>
      </c>
      <c r="AI323" s="14" t="s">
        <v>11</v>
      </c>
      <c r="AJ323" s="14" t="s">
        <v>11</v>
      </c>
      <c r="AK323" s="14" t="s">
        <v>11</v>
      </c>
      <c r="AL323" s="14" t="str">
        <f t="shared" si="178"/>
        <v>T</v>
      </c>
      <c r="AM323" s="14" t="str">
        <f t="shared" si="179"/>
        <v>T</v>
      </c>
      <c r="AN323" s="14" t="str">
        <f t="shared" si="180"/>
        <v/>
      </c>
      <c r="AO323" s="14" t="str">
        <f t="shared" si="181"/>
        <v/>
      </c>
      <c r="AP323" s="14" t="str">
        <f t="shared" si="182"/>
        <v/>
      </c>
      <c r="AQ323" s="14" t="str">
        <f t="shared" si="145"/>
        <v/>
      </c>
      <c r="AR323" s="15">
        <f t="shared" si="183"/>
        <v>0</v>
      </c>
    </row>
    <row r="324" spans="2:44" x14ac:dyDescent="0.2">
      <c r="B324" s="16"/>
      <c r="C324" s="15" t="s">
        <v>53</v>
      </c>
      <c r="D324" s="30" t="str">
        <f t="shared" si="164"/>
        <v/>
      </c>
      <c r="E324" s="14" t="str">
        <f t="shared" si="165"/>
        <v/>
      </c>
      <c r="F324" s="14" t="str">
        <f t="shared" si="166"/>
        <v/>
      </c>
      <c r="G324" s="14" t="str">
        <f t="shared" si="167"/>
        <v/>
      </c>
      <c r="H324" s="14" t="str">
        <f t="shared" si="168"/>
        <v/>
      </c>
      <c r="I324" s="14" t="str">
        <f t="shared" si="169"/>
        <v/>
      </c>
      <c r="J324" s="14" t="str">
        <f t="shared" si="170"/>
        <v/>
      </c>
      <c r="K324" s="14" t="str">
        <f t="shared" si="171"/>
        <v/>
      </c>
      <c r="L324" s="14" t="str">
        <f t="shared" si="172"/>
        <v/>
      </c>
      <c r="M324" s="14" t="str">
        <f t="shared" si="173"/>
        <v/>
      </c>
      <c r="N324" s="14" t="str">
        <f t="shared" si="174"/>
        <v/>
      </c>
      <c r="O324" s="14" t="s">
        <v>11</v>
      </c>
      <c r="P324" s="14" t="s">
        <v>11</v>
      </c>
      <c r="Q324" s="14" t="s">
        <v>11</v>
      </c>
      <c r="R324" s="14" t="s">
        <v>13</v>
      </c>
      <c r="S324" s="14" t="s">
        <v>11</v>
      </c>
      <c r="T324" s="14" t="s">
        <v>11</v>
      </c>
      <c r="U324" s="14" t="s">
        <v>11</v>
      </c>
      <c r="V324" s="14" t="s">
        <v>11</v>
      </c>
      <c r="W324" s="14" t="s">
        <v>11</v>
      </c>
      <c r="X324" s="14" t="s">
        <v>11</v>
      </c>
      <c r="Y324" s="14" t="str">
        <f t="shared" si="175"/>
        <v/>
      </c>
      <c r="Z324" s="14" t="str">
        <f t="shared" si="176"/>
        <v/>
      </c>
      <c r="AA324" s="15">
        <f t="shared" si="177"/>
        <v>0</v>
      </c>
      <c r="AB324" s="14" t="s">
        <v>11</v>
      </c>
      <c r="AC324" s="14" t="s">
        <v>11</v>
      </c>
      <c r="AD324" s="14" t="s">
        <v>11</v>
      </c>
      <c r="AE324" s="14" t="s">
        <v>11</v>
      </c>
      <c r="AF324" s="14" t="s">
        <v>13</v>
      </c>
      <c r="AG324" s="14" t="s">
        <v>11</v>
      </c>
      <c r="AH324" s="14" t="s">
        <v>11</v>
      </c>
      <c r="AI324" s="14" t="s">
        <v>11</v>
      </c>
      <c r="AJ324" s="14" t="s">
        <v>11</v>
      </c>
      <c r="AK324" s="14" t="s">
        <v>11</v>
      </c>
      <c r="AL324" s="14" t="str">
        <f t="shared" si="178"/>
        <v>T</v>
      </c>
      <c r="AM324" s="14" t="str">
        <f t="shared" si="179"/>
        <v>T</v>
      </c>
      <c r="AN324" s="14" t="str">
        <f t="shared" si="180"/>
        <v/>
      </c>
      <c r="AO324" s="14" t="str">
        <f t="shared" si="181"/>
        <v/>
      </c>
      <c r="AP324" s="14" t="str">
        <f t="shared" si="182"/>
        <v/>
      </c>
      <c r="AQ324" s="14" t="str">
        <f t="shared" si="145"/>
        <v/>
      </c>
      <c r="AR324" s="15">
        <f t="shared" si="183"/>
        <v>0</v>
      </c>
    </row>
    <row r="325" spans="2:44" x14ac:dyDescent="0.2">
      <c r="B325" s="16"/>
      <c r="C325" s="15" t="s">
        <v>53</v>
      </c>
      <c r="D325" s="30" t="str">
        <f t="shared" si="164"/>
        <v/>
      </c>
      <c r="E325" s="14" t="str">
        <f t="shared" si="165"/>
        <v/>
      </c>
      <c r="F325" s="14" t="str">
        <f t="shared" si="166"/>
        <v/>
      </c>
      <c r="G325" s="14" t="str">
        <f t="shared" si="167"/>
        <v/>
      </c>
      <c r="H325" s="14" t="str">
        <f t="shared" si="168"/>
        <v/>
      </c>
      <c r="I325" s="14" t="str">
        <f t="shared" si="169"/>
        <v/>
      </c>
      <c r="J325" s="14" t="str">
        <f t="shared" si="170"/>
        <v/>
      </c>
      <c r="K325" s="14" t="str">
        <f t="shared" si="171"/>
        <v/>
      </c>
      <c r="L325" s="14" t="str">
        <f t="shared" si="172"/>
        <v/>
      </c>
      <c r="M325" s="14" t="str">
        <f t="shared" si="173"/>
        <v/>
      </c>
      <c r="N325" s="14" t="str">
        <f t="shared" si="174"/>
        <v/>
      </c>
      <c r="O325" s="14" t="s">
        <v>11</v>
      </c>
      <c r="P325" s="14" t="s">
        <v>11</v>
      </c>
      <c r="Q325" s="14" t="s">
        <v>11</v>
      </c>
      <c r="R325" s="14" t="s">
        <v>13</v>
      </c>
      <c r="S325" s="14" t="s">
        <v>11</v>
      </c>
      <c r="T325" s="14" t="s">
        <v>11</v>
      </c>
      <c r="U325" s="14" t="s">
        <v>11</v>
      </c>
      <c r="V325" s="14" t="s">
        <v>11</v>
      </c>
      <c r="W325" s="14" t="s">
        <v>11</v>
      </c>
      <c r="X325" s="14" t="s">
        <v>11</v>
      </c>
      <c r="Y325" s="14" t="str">
        <f t="shared" si="175"/>
        <v/>
      </c>
      <c r="Z325" s="14" t="str">
        <f t="shared" si="176"/>
        <v/>
      </c>
      <c r="AA325" s="15">
        <f t="shared" si="177"/>
        <v>0</v>
      </c>
      <c r="AB325" s="14" t="s">
        <v>11</v>
      </c>
      <c r="AC325" s="14" t="s">
        <v>11</v>
      </c>
      <c r="AD325" s="14" t="s">
        <v>11</v>
      </c>
      <c r="AE325" s="14" t="s">
        <v>11</v>
      </c>
      <c r="AF325" s="14" t="s">
        <v>13</v>
      </c>
      <c r="AG325" s="14" t="s">
        <v>11</v>
      </c>
      <c r="AH325" s="14" t="s">
        <v>11</v>
      </c>
      <c r="AI325" s="14" t="s">
        <v>11</v>
      </c>
      <c r="AJ325" s="14" t="s">
        <v>11</v>
      </c>
      <c r="AK325" s="14" t="s">
        <v>11</v>
      </c>
      <c r="AL325" s="14" t="str">
        <f t="shared" si="178"/>
        <v>T</v>
      </c>
      <c r="AM325" s="14" t="str">
        <f t="shared" si="179"/>
        <v>T</v>
      </c>
      <c r="AN325" s="14" t="str">
        <f t="shared" si="180"/>
        <v/>
      </c>
      <c r="AO325" s="14" t="str">
        <f t="shared" si="181"/>
        <v/>
      </c>
      <c r="AP325" s="14" t="str">
        <f t="shared" si="182"/>
        <v/>
      </c>
      <c r="AQ325" s="14" t="str">
        <f t="shared" si="145"/>
        <v/>
      </c>
      <c r="AR325" s="15">
        <f t="shared" si="183"/>
        <v>0</v>
      </c>
    </row>
    <row r="326" spans="2:44" x14ac:dyDescent="0.2">
      <c r="B326" s="16"/>
      <c r="C326" s="15" t="s">
        <v>53</v>
      </c>
      <c r="D326" s="30" t="str">
        <f t="shared" si="164"/>
        <v/>
      </c>
      <c r="E326" s="14" t="str">
        <f t="shared" si="165"/>
        <v/>
      </c>
      <c r="F326" s="14" t="str">
        <f t="shared" si="166"/>
        <v/>
      </c>
      <c r="G326" s="14" t="str">
        <f t="shared" si="167"/>
        <v/>
      </c>
      <c r="H326" s="14" t="str">
        <f t="shared" si="168"/>
        <v/>
      </c>
      <c r="I326" s="14" t="str">
        <f t="shared" si="169"/>
        <v/>
      </c>
      <c r="J326" s="14" t="str">
        <f t="shared" si="170"/>
        <v/>
      </c>
      <c r="K326" s="14" t="str">
        <f t="shared" si="171"/>
        <v/>
      </c>
      <c r="L326" s="14" t="str">
        <f t="shared" si="172"/>
        <v/>
      </c>
      <c r="M326" s="14" t="str">
        <f t="shared" si="173"/>
        <v/>
      </c>
      <c r="N326" s="14" t="str">
        <f t="shared" si="174"/>
        <v/>
      </c>
      <c r="O326" s="14" t="s">
        <v>11</v>
      </c>
      <c r="P326" s="14" t="s">
        <v>11</v>
      </c>
      <c r="Q326" s="14" t="s">
        <v>11</v>
      </c>
      <c r="R326" s="14" t="s">
        <v>13</v>
      </c>
      <c r="S326" s="14" t="s">
        <v>11</v>
      </c>
      <c r="T326" s="14" t="s">
        <v>11</v>
      </c>
      <c r="U326" s="14" t="s">
        <v>11</v>
      </c>
      <c r="V326" s="14" t="s">
        <v>11</v>
      </c>
      <c r="W326" s="14" t="s">
        <v>11</v>
      </c>
      <c r="X326" s="14" t="s">
        <v>11</v>
      </c>
      <c r="Y326" s="14" t="str">
        <f t="shared" si="175"/>
        <v/>
      </c>
      <c r="Z326" s="14" t="str">
        <f t="shared" si="176"/>
        <v/>
      </c>
      <c r="AA326" s="15">
        <f t="shared" si="177"/>
        <v>0</v>
      </c>
      <c r="AB326" s="14" t="s">
        <v>11</v>
      </c>
      <c r="AC326" s="14" t="s">
        <v>11</v>
      </c>
      <c r="AD326" s="14" t="s">
        <v>11</v>
      </c>
      <c r="AE326" s="14" t="s">
        <v>11</v>
      </c>
      <c r="AF326" s="14" t="s">
        <v>13</v>
      </c>
      <c r="AG326" s="14" t="s">
        <v>11</v>
      </c>
      <c r="AH326" s="14" t="s">
        <v>11</v>
      </c>
      <c r="AI326" s="14" t="s">
        <v>11</v>
      </c>
      <c r="AJ326" s="14" t="s">
        <v>11</v>
      </c>
      <c r="AK326" s="14" t="s">
        <v>11</v>
      </c>
      <c r="AL326" s="14" t="str">
        <f t="shared" si="178"/>
        <v>T</v>
      </c>
      <c r="AM326" s="14" t="str">
        <f t="shared" si="179"/>
        <v>T</v>
      </c>
      <c r="AN326" s="14" t="str">
        <f t="shared" si="180"/>
        <v/>
      </c>
      <c r="AO326" s="14" t="str">
        <f t="shared" si="181"/>
        <v/>
      </c>
      <c r="AP326" s="14" t="str">
        <f t="shared" si="182"/>
        <v/>
      </c>
      <c r="AQ326" s="14" t="str">
        <f t="shared" si="145"/>
        <v/>
      </c>
      <c r="AR326" s="15">
        <f t="shared" si="183"/>
        <v>0</v>
      </c>
    </row>
    <row r="327" spans="2:44" x14ac:dyDescent="0.2">
      <c r="B327" s="16"/>
      <c r="C327" s="15" t="s">
        <v>53</v>
      </c>
      <c r="D327" s="30" t="str">
        <f t="shared" si="164"/>
        <v/>
      </c>
      <c r="E327" s="14" t="str">
        <f t="shared" si="165"/>
        <v/>
      </c>
      <c r="F327" s="14" t="str">
        <f t="shared" si="166"/>
        <v/>
      </c>
      <c r="G327" s="14" t="str">
        <f t="shared" si="167"/>
        <v/>
      </c>
      <c r="H327" s="14" t="str">
        <f t="shared" si="168"/>
        <v/>
      </c>
      <c r="I327" s="14" t="str">
        <f t="shared" si="169"/>
        <v/>
      </c>
      <c r="J327" s="14" t="str">
        <f t="shared" si="170"/>
        <v/>
      </c>
      <c r="K327" s="14" t="str">
        <f t="shared" si="171"/>
        <v/>
      </c>
      <c r="L327" s="14" t="str">
        <f t="shared" si="172"/>
        <v/>
      </c>
      <c r="M327" s="14" t="str">
        <f t="shared" si="173"/>
        <v/>
      </c>
      <c r="N327" s="14" t="str">
        <f t="shared" si="174"/>
        <v/>
      </c>
      <c r="O327" s="14" t="s">
        <v>11</v>
      </c>
      <c r="P327" s="14" t="s">
        <v>11</v>
      </c>
      <c r="Q327" s="14" t="s">
        <v>11</v>
      </c>
      <c r="R327" s="14" t="s">
        <v>13</v>
      </c>
      <c r="S327" s="14" t="s">
        <v>11</v>
      </c>
      <c r="T327" s="14" t="s">
        <v>11</v>
      </c>
      <c r="U327" s="14" t="s">
        <v>11</v>
      </c>
      <c r="V327" s="14" t="s">
        <v>11</v>
      </c>
      <c r="W327" s="14" t="s">
        <v>11</v>
      </c>
      <c r="X327" s="14" t="s">
        <v>11</v>
      </c>
      <c r="Y327" s="14" t="str">
        <f t="shared" si="175"/>
        <v/>
      </c>
      <c r="Z327" s="14" t="str">
        <f t="shared" si="176"/>
        <v/>
      </c>
      <c r="AA327" s="15">
        <f t="shared" si="177"/>
        <v>0</v>
      </c>
      <c r="AB327" s="14" t="s">
        <v>11</v>
      </c>
      <c r="AC327" s="14" t="s">
        <v>11</v>
      </c>
      <c r="AD327" s="14" t="s">
        <v>11</v>
      </c>
      <c r="AE327" s="14" t="s">
        <v>11</v>
      </c>
      <c r="AF327" s="14" t="s">
        <v>13</v>
      </c>
      <c r="AG327" s="14" t="s">
        <v>11</v>
      </c>
      <c r="AH327" s="14" t="s">
        <v>11</v>
      </c>
      <c r="AI327" s="14" t="s">
        <v>11</v>
      </c>
      <c r="AJ327" s="14" t="s">
        <v>11</v>
      </c>
      <c r="AK327" s="14" t="s">
        <v>11</v>
      </c>
      <c r="AL327" s="14" t="str">
        <f t="shared" si="178"/>
        <v>T</v>
      </c>
      <c r="AM327" s="14" t="str">
        <f t="shared" si="179"/>
        <v>T</v>
      </c>
      <c r="AN327" s="14" t="str">
        <f t="shared" si="180"/>
        <v/>
      </c>
      <c r="AO327" s="14" t="str">
        <f t="shared" si="181"/>
        <v/>
      </c>
      <c r="AP327" s="14" t="str">
        <f t="shared" si="182"/>
        <v/>
      </c>
      <c r="AQ327" s="14" t="str">
        <f t="shared" si="145"/>
        <v/>
      </c>
      <c r="AR327" s="15">
        <f t="shared" si="183"/>
        <v>0</v>
      </c>
    </row>
    <row r="328" spans="2:44" x14ac:dyDescent="0.2">
      <c r="B328" s="16"/>
      <c r="C328" s="15" t="s">
        <v>53</v>
      </c>
      <c r="D328" s="30" t="str">
        <f t="shared" si="164"/>
        <v/>
      </c>
      <c r="E328" s="14" t="str">
        <f t="shared" si="165"/>
        <v/>
      </c>
      <c r="F328" s="14" t="str">
        <f t="shared" si="166"/>
        <v/>
      </c>
      <c r="G328" s="14" t="str">
        <f t="shared" si="167"/>
        <v/>
      </c>
      <c r="H328" s="14" t="str">
        <f t="shared" si="168"/>
        <v/>
      </c>
      <c r="I328" s="14" t="str">
        <f t="shared" si="169"/>
        <v/>
      </c>
      <c r="J328" s="14" t="str">
        <f t="shared" si="170"/>
        <v/>
      </c>
      <c r="K328" s="14" t="str">
        <f t="shared" si="171"/>
        <v/>
      </c>
      <c r="L328" s="14" t="str">
        <f t="shared" si="172"/>
        <v/>
      </c>
      <c r="M328" s="14" t="str">
        <f t="shared" si="173"/>
        <v/>
      </c>
      <c r="N328" s="14" t="str">
        <f t="shared" si="174"/>
        <v/>
      </c>
      <c r="O328" s="14" t="s">
        <v>11</v>
      </c>
      <c r="P328" s="14" t="s">
        <v>11</v>
      </c>
      <c r="Q328" s="14" t="s">
        <v>11</v>
      </c>
      <c r="R328" s="14" t="s">
        <v>13</v>
      </c>
      <c r="S328" s="14" t="s">
        <v>11</v>
      </c>
      <c r="T328" s="14" t="s">
        <v>11</v>
      </c>
      <c r="U328" s="14" t="s">
        <v>11</v>
      </c>
      <c r="V328" s="14" t="s">
        <v>11</v>
      </c>
      <c r="W328" s="14" t="s">
        <v>11</v>
      </c>
      <c r="X328" s="14" t="s">
        <v>11</v>
      </c>
      <c r="Y328" s="14" t="str">
        <f t="shared" si="175"/>
        <v/>
      </c>
      <c r="Z328" s="14" t="str">
        <f t="shared" si="176"/>
        <v/>
      </c>
      <c r="AA328" s="15">
        <f t="shared" si="177"/>
        <v>0</v>
      </c>
      <c r="AB328" s="14" t="s">
        <v>11</v>
      </c>
      <c r="AC328" s="14" t="s">
        <v>11</v>
      </c>
      <c r="AD328" s="14" t="s">
        <v>11</v>
      </c>
      <c r="AE328" s="14" t="s">
        <v>11</v>
      </c>
      <c r="AF328" s="14" t="s">
        <v>13</v>
      </c>
      <c r="AG328" s="14" t="s">
        <v>11</v>
      </c>
      <c r="AH328" s="14" t="s">
        <v>11</v>
      </c>
      <c r="AI328" s="14" t="s">
        <v>11</v>
      </c>
      <c r="AJ328" s="14" t="s">
        <v>11</v>
      </c>
      <c r="AK328" s="14" t="s">
        <v>11</v>
      </c>
      <c r="AL328" s="14" t="str">
        <f t="shared" si="178"/>
        <v>T</v>
      </c>
      <c r="AM328" s="14" t="str">
        <f t="shared" si="179"/>
        <v>T</v>
      </c>
      <c r="AN328" s="14" t="str">
        <f t="shared" si="180"/>
        <v/>
      </c>
      <c r="AO328" s="14" t="str">
        <f t="shared" si="181"/>
        <v/>
      </c>
      <c r="AP328" s="14" t="str">
        <f t="shared" si="182"/>
        <v/>
      </c>
      <c r="AQ328" s="14" t="str">
        <f t="shared" ref="AQ328:AQ391" si="185">LOWER(AP328)</f>
        <v/>
      </c>
      <c r="AR328" s="15">
        <f t="shared" si="183"/>
        <v>0</v>
      </c>
    </row>
    <row r="329" spans="2:44" x14ac:dyDescent="0.2">
      <c r="B329" s="16"/>
      <c r="C329" s="15" t="s">
        <v>53</v>
      </c>
      <c r="D329" s="30" t="str">
        <f t="shared" si="164"/>
        <v/>
      </c>
      <c r="E329" s="14" t="str">
        <f t="shared" si="165"/>
        <v/>
      </c>
      <c r="F329" s="14" t="str">
        <f t="shared" si="166"/>
        <v/>
      </c>
      <c r="G329" s="14" t="str">
        <f t="shared" si="167"/>
        <v/>
      </c>
      <c r="H329" s="14" t="str">
        <f t="shared" si="168"/>
        <v/>
      </c>
      <c r="I329" s="14" t="str">
        <f t="shared" si="169"/>
        <v/>
      </c>
      <c r="J329" s="14" t="str">
        <f t="shared" si="170"/>
        <v/>
      </c>
      <c r="K329" s="14" t="str">
        <f t="shared" si="171"/>
        <v/>
      </c>
      <c r="L329" s="14" t="str">
        <f t="shared" si="172"/>
        <v/>
      </c>
      <c r="M329" s="14" t="str">
        <f t="shared" si="173"/>
        <v/>
      </c>
      <c r="N329" s="14" t="str">
        <f t="shared" si="174"/>
        <v/>
      </c>
      <c r="O329" s="14" t="s">
        <v>11</v>
      </c>
      <c r="P329" s="14" t="s">
        <v>11</v>
      </c>
      <c r="Q329" s="14" t="s">
        <v>11</v>
      </c>
      <c r="R329" s="14" t="s">
        <v>13</v>
      </c>
      <c r="S329" s="14" t="s">
        <v>11</v>
      </c>
      <c r="T329" s="14" t="s">
        <v>11</v>
      </c>
      <c r="U329" s="14" t="s">
        <v>11</v>
      </c>
      <c r="V329" s="14" t="s">
        <v>11</v>
      </c>
      <c r="W329" s="14" t="s">
        <v>11</v>
      </c>
      <c r="X329" s="14" t="s">
        <v>11</v>
      </c>
      <c r="Y329" s="14" t="str">
        <f t="shared" si="175"/>
        <v/>
      </c>
      <c r="Z329" s="14" t="str">
        <f t="shared" si="176"/>
        <v/>
      </c>
      <c r="AA329" s="15">
        <f t="shared" si="177"/>
        <v>0</v>
      </c>
      <c r="AB329" s="14" t="s">
        <v>11</v>
      </c>
      <c r="AC329" s="14" t="s">
        <v>11</v>
      </c>
      <c r="AD329" s="14" t="s">
        <v>11</v>
      </c>
      <c r="AE329" s="14" t="s">
        <v>11</v>
      </c>
      <c r="AF329" s="14" t="s">
        <v>13</v>
      </c>
      <c r="AG329" s="14" t="s">
        <v>11</v>
      </c>
      <c r="AH329" s="14" t="s">
        <v>11</v>
      </c>
      <c r="AI329" s="14" t="s">
        <v>11</v>
      </c>
      <c r="AJ329" s="14" t="s">
        <v>11</v>
      </c>
      <c r="AK329" s="14" t="s">
        <v>11</v>
      </c>
      <c r="AL329" s="14" t="str">
        <f t="shared" si="178"/>
        <v>T</v>
      </c>
      <c r="AM329" s="14" t="str">
        <f t="shared" si="179"/>
        <v>T</v>
      </c>
      <c r="AN329" s="14" t="str">
        <f t="shared" si="180"/>
        <v/>
      </c>
      <c r="AO329" s="14" t="str">
        <f t="shared" si="181"/>
        <v/>
      </c>
      <c r="AP329" s="14" t="str">
        <f t="shared" si="182"/>
        <v/>
      </c>
      <c r="AQ329" s="14" t="str">
        <f t="shared" si="185"/>
        <v/>
      </c>
      <c r="AR329" s="15">
        <f t="shared" si="183"/>
        <v>0</v>
      </c>
    </row>
    <row r="330" spans="2:44" x14ac:dyDescent="0.2">
      <c r="B330" s="16"/>
      <c r="C330" s="15" t="s">
        <v>53</v>
      </c>
      <c r="D330" s="30" t="str">
        <f t="shared" si="164"/>
        <v/>
      </c>
      <c r="E330" s="14" t="str">
        <f t="shared" si="165"/>
        <v/>
      </c>
      <c r="F330" s="14" t="str">
        <f t="shared" si="166"/>
        <v/>
      </c>
      <c r="G330" s="14" t="str">
        <f t="shared" si="167"/>
        <v/>
      </c>
      <c r="H330" s="14" t="str">
        <f t="shared" si="168"/>
        <v/>
      </c>
      <c r="I330" s="14" t="str">
        <f t="shared" si="169"/>
        <v/>
      </c>
      <c r="J330" s="14" t="str">
        <f t="shared" si="170"/>
        <v/>
      </c>
      <c r="K330" s="14" t="str">
        <f t="shared" si="171"/>
        <v/>
      </c>
      <c r="L330" s="14" t="str">
        <f t="shared" si="172"/>
        <v/>
      </c>
      <c r="M330" s="14" t="str">
        <f t="shared" si="173"/>
        <v/>
      </c>
      <c r="N330" s="14" t="str">
        <f t="shared" si="174"/>
        <v/>
      </c>
      <c r="O330" s="14" t="s">
        <v>11</v>
      </c>
      <c r="P330" s="14" t="s">
        <v>11</v>
      </c>
      <c r="Q330" s="14" t="s">
        <v>11</v>
      </c>
      <c r="R330" s="14" t="s">
        <v>13</v>
      </c>
      <c r="S330" s="14" t="s">
        <v>11</v>
      </c>
      <c r="T330" s="14" t="s">
        <v>11</v>
      </c>
      <c r="U330" s="14" t="s">
        <v>11</v>
      </c>
      <c r="V330" s="14" t="s">
        <v>11</v>
      </c>
      <c r="W330" s="14" t="s">
        <v>11</v>
      </c>
      <c r="X330" s="14" t="s">
        <v>11</v>
      </c>
      <c r="Y330" s="14" t="str">
        <f t="shared" si="175"/>
        <v/>
      </c>
      <c r="Z330" s="14" t="str">
        <f t="shared" si="176"/>
        <v/>
      </c>
      <c r="AA330" s="15">
        <f t="shared" si="177"/>
        <v>0</v>
      </c>
      <c r="AB330" s="14" t="s">
        <v>11</v>
      </c>
      <c r="AC330" s="14" t="s">
        <v>11</v>
      </c>
      <c r="AD330" s="14" t="s">
        <v>11</v>
      </c>
      <c r="AE330" s="14" t="s">
        <v>11</v>
      </c>
      <c r="AF330" s="14" t="s">
        <v>13</v>
      </c>
      <c r="AG330" s="14" t="s">
        <v>11</v>
      </c>
      <c r="AH330" s="14" t="s">
        <v>11</v>
      </c>
      <c r="AI330" s="14" t="s">
        <v>11</v>
      </c>
      <c r="AJ330" s="14" t="s">
        <v>11</v>
      </c>
      <c r="AK330" s="14" t="s">
        <v>11</v>
      </c>
      <c r="AL330" s="14" t="str">
        <f t="shared" si="178"/>
        <v>T</v>
      </c>
      <c r="AM330" s="14" t="str">
        <f t="shared" si="179"/>
        <v>T</v>
      </c>
      <c r="AN330" s="14" t="str">
        <f t="shared" si="180"/>
        <v/>
      </c>
      <c r="AO330" s="14" t="str">
        <f t="shared" si="181"/>
        <v/>
      </c>
      <c r="AP330" s="14" t="str">
        <f t="shared" si="182"/>
        <v/>
      </c>
      <c r="AQ330" s="14" t="str">
        <f t="shared" si="185"/>
        <v/>
      </c>
      <c r="AR330" s="15">
        <f t="shared" si="183"/>
        <v>0</v>
      </c>
    </row>
    <row r="331" spans="2:44" x14ac:dyDescent="0.2">
      <c r="B331" s="16"/>
      <c r="C331" s="15" t="s">
        <v>53</v>
      </c>
      <c r="D331" s="30" t="str">
        <f t="shared" si="164"/>
        <v/>
      </c>
      <c r="E331" s="14" t="str">
        <f t="shared" si="165"/>
        <v/>
      </c>
      <c r="F331" s="14" t="str">
        <f t="shared" si="166"/>
        <v/>
      </c>
      <c r="G331" s="14" t="str">
        <f t="shared" si="167"/>
        <v/>
      </c>
      <c r="H331" s="14" t="str">
        <f t="shared" si="168"/>
        <v/>
      </c>
      <c r="I331" s="14" t="str">
        <f t="shared" si="169"/>
        <v/>
      </c>
      <c r="J331" s="14" t="str">
        <f t="shared" si="170"/>
        <v/>
      </c>
      <c r="K331" s="14" t="str">
        <f t="shared" si="171"/>
        <v/>
      </c>
      <c r="L331" s="14" t="str">
        <f t="shared" si="172"/>
        <v/>
      </c>
      <c r="M331" s="14" t="str">
        <f t="shared" si="173"/>
        <v/>
      </c>
      <c r="N331" s="14" t="str">
        <f t="shared" si="174"/>
        <v/>
      </c>
      <c r="O331" s="14" t="s">
        <v>11</v>
      </c>
      <c r="P331" s="14" t="s">
        <v>11</v>
      </c>
      <c r="Q331" s="14" t="s">
        <v>11</v>
      </c>
      <c r="R331" s="14" t="s">
        <v>13</v>
      </c>
      <c r="S331" s="14" t="s">
        <v>11</v>
      </c>
      <c r="T331" s="14" t="s">
        <v>11</v>
      </c>
      <c r="U331" s="14" t="s">
        <v>11</v>
      </c>
      <c r="V331" s="14" t="s">
        <v>11</v>
      </c>
      <c r="W331" s="14" t="s">
        <v>11</v>
      </c>
      <c r="X331" s="14" t="s">
        <v>11</v>
      </c>
      <c r="Y331" s="14" t="str">
        <f t="shared" si="175"/>
        <v/>
      </c>
      <c r="Z331" s="14" t="str">
        <f t="shared" si="176"/>
        <v/>
      </c>
      <c r="AA331" s="15">
        <f t="shared" si="177"/>
        <v>0</v>
      </c>
      <c r="AB331" s="14" t="s">
        <v>11</v>
      </c>
      <c r="AC331" s="14" t="s">
        <v>11</v>
      </c>
      <c r="AD331" s="14" t="s">
        <v>11</v>
      </c>
      <c r="AE331" s="14" t="s">
        <v>11</v>
      </c>
      <c r="AF331" s="14" t="s">
        <v>13</v>
      </c>
      <c r="AG331" s="14" t="s">
        <v>11</v>
      </c>
      <c r="AH331" s="14" t="s">
        <v>11</v>
      </c>
      <c r="AI331" s="14" t="s">
        <v>11</v>
      </c>
      <c r="AJ331" s="14" t="s">
        <v>11</v>
      </c>
      <c r="AK331" s="14" t="s">
        <v>11</v>
      </c>
      <c r="AL331" s="14" t="str">
        <f t="shared" si="178"/>
        <v>T</v>
      </c>
      <c r="AM331" s="14" t="str">
        <f t="shared" si="179"/>
        <v>T</v>
      </c>
      <c r="AN331" s="14" t="str">
        <f t="shared" si="180"/>
        <v/>
      </c>
      <c r="AO331" s="14" t="str">
        <f t="shared" si="181"/>
        <v/>
      </c>
      <c r="AP331" s="14" t="str">
        <f t="shared" si="182"/>
        <v/>
      </c>
      <c r="AQ331" s="14" t="str">
        <f t="shared" si="185"/>
        <v/>
      </c>
      <c r="AR331" s="15">
        <f t="shared" si="183"/>
        <v>0</v>
      </c>
    </row>
    <row r="332" spans="2:44" x14ac:dyDescent="0.2">
      <c r="B332" s="16"/>
      <c r="C332" s="15" t="s">
        <v>53</v>
      </c>
      <c r="D332" s="30" t="str">
        <f t="shared" si="164"/>
        <v/>
      </c>
      <c r="E332" s="14" t="str">
        <f t="shared" si="165"/>
        <v/>
      </c>
      <c r="F332" s="14" t="str">
        <f t="shared" si="166"/>
        <v/>
      </c>
      <c r="G332" s="14" t="str">
        <f t="shared" si="167"/>
        <v/>
      </c>
      <c r="H332" s="14" t="str">
        <f t="shared" si="168"/>
        <v/>
      </c>
      <c r="I332" s="14" t="str">
        <f t="shared" si="169"/>
        <v/>
      </c>
      <c r="J332" s="14" t="str">
        <f t="shared" si="170"/>
        <v/>
      </c>
      <c r="K332" s="14" t="str">
        <f t="shared" si="171"/>
        <v/>
      </c>
      <c r="L332" s="14" t="str">
        <f t="shared" si="172"/>
        <v/>
      </c>
      <c r="M332" s="14" t="str">
        <f t="shared" si="173"/>
        <v/>
      </c>
      <c r="N332" s="14" t="str">
        <f t="shared" si="174"/>
        <v/>
      </c>
      <c r="O332" s="14" t="s">
        <v>11</v>
      </c>
      <c r="P332" s="14" t="s">
        <v>11</v>
      </c>
      <c r="Q332" s="14" t="s">
        <v>11</v>
      </c>
      <c r="R332" s="14" t="s">
        <v>13</v>
      </c>
      <c r="S332" s="14" t="s">
        <v>11</v>
      </c>
      <c r="T332" s="14" t="s">
        <v>11</v>
      </c>
      <c r="U332" s="14" t="s">
        <v>11</v>
      </c>
      <c r="V332" s="14" t="s">
        <v>11</v>
      </c>
      <c r="W332" s="14" t="s">
        <v>11</v>
      </c>
      <c r="X332" s="14" t="s">
        <v>11</v>
      </c>
      <c r="Y332" s="14" t="str">
        <f t="shared" si="175"/>
        <v/>
      </c>
      <c r="Z332" s="14" t="str">
        <f t="shared" si="176"/>
        <v/>
      </c>
      <c r="AA332" s="15">
        <f t="shared" si="177"/>
        <v>0</v>
      </c>
      <c r="AB332" s="14" t="s">
        <v>11</v>
      </c>
      <c r="AC332" s="14" t="s">
        <v>11</v>
      </c>
      <c r="AD332" s="14" t="s">
        <v>11</v>
      </c>
      <c r="AE332" s="14" t="s">
        <v>11</v>
      </c>
      <c r="AF332" s="14" t="s">
        <v>13</v>
      </c>
      <c r="AG332" s="14" t="s">
        <v>11</v>
      </c>
      <c r="AH332" s="14" t="s">
        <v>11</v>
      </c>
      <c r="AI332" s="14" t="s">
        <v>11</v>
      </c>
      <c r="AJ332" s="14" t="s">
        <v>11</v>
      </c>
      <c r="AK332" s="14" t="s">
        <v>11</v>
      </c>
      <c r="AL332" s="14" t="str">
        <f t="shared" si="178"/>
        <v>T</v>
      </c>
      <c r="AM332" s="14" t="str">
        <f t="shared" si="179"/>
        <v>T</v>
      </c>
      <c r="AN332" s="14" t="str">
        <f t="shared" si="180"/>
        <v/>
      </c>
      <c r="AO332" s="14" t="str">
        <f t="shared" si="181"/>
        <v/>
      </c>
      <c r="AP332" s="14" t="str">
        <f t="shared" si="182"/>
        <v/>
      </c>
      <c r="AQ332" s="14" t="str">
        <f t="shared" si="185"/>
        <v/>
      </c>
      <c r="AR332" s="15">
        <f t="shared" si="183"/>
        <v>0</v>
      </c>
    </row>
    <row r="333" spans="2:44" x14ac:dyDescent="0.2">
      <c r="B333" s="16"/>
      <c r="C333" s="15" t="s">
        <v>53</v>
      </c>
      <c r="D333" s="30" t="str">
        <f t="shared" si="164"/>
        <v/>
      </c>
      <c r="E333" s="14" t="str">
        <f t="shared" si="165"/>
        <v/>
      </c>
      <c r="F333" s="14" t="str">
        <f t="shared" si="166"/>
        <v/>
      </c>
      <c r="G333" s="14" t="str">
        <f t="shared" si="167"/>
        <v/>
      </c>
      <c r="H333" s="14" t="str">
        <f t="shared" si="168"/>
        <v/>
      </c>
      <c r="I333" s="14" t="str">
        <f t="shared" si="169"/>
        <v/>
      </c>
      <c r="J333" s="14" t="str">
        <f t="shared" si="170"/>
        <v/>
      </c>
      <c r="K333" s="14" t="str">
        <f t="shared" si="171"/>
        <v/>
      </c>
      <c r="L333" s="14" t="str">
        <f t="shared" si="172"/>
        <v/>
      </c>
      <c r="M333" s="14" t="str">
        <f t="shared" si="173"/>
        <v/>
      </c>
      <c r="N333" s="14" t="str">
        <f t="shared" si="174"/>
        <v/>
      </c>
      <c r="O333" s="14" t="s">
        <v>11</v>
      </c>
      <c r="P333" s="14" t="s">
        <v>11</v>
      </c>
      <c r="Q333" s="14" t="s">
        <v>11</v>
      </c>
      <c r="R333" s="14" t="s">
        <v>13</v>
      </c>
      <c r="S333" s="14" t="s">
        <v>11</v>
      </c>
      <c r="T333" s="14" t="s">
        <v>11</v>
      </c>
      <c r="U333" s="14" t="s">
        <v>11</v>
      </c>
      <c r="V333" s="14" t="s">
        <v>11</v>
      </c>
      <c r="W333" s="14" t="s">
        <v>11</v>
      </c>
      <c r="X333" s="14" t="s">
        <v>11</v>
      </c>
      <c r="Y333" s="14" t="str">
        <f t="shared" si="175"/>
        <v/>
      </c>
      <c r="Z333" s="14" t="str">
        <f t="shared" si="176"/>
        <v/>
      </c>
      <c r="AA333" s="15">
        <f t="shared" si="177"/>
        <v>0</v>
      </c>
      <c r="AB333" s="14" t="s">
        <v>11</v>
      </c>
      <c r="AC333" s="14" t="s">
        <v>11</v>
      </c>
      <c r="AD333" s="14" t="s">
        <v>11</v>
      </c>
      <c r="AE333" s="14" t="s">
        <v>11</v>
      </c>
      <c r="AF333" s="14" t="s">
        <v>13</v>
      </c>
      <c r="AG333" s="14" t="s">
        <v>11</v>
      </c>
      <c r="AH333" s="14" t="s">
        <v>11</v>
      </c>
      <c r="AI333" s="14" t="s">
        <v>11</v>
      </c>
      <c r="AJ333" s="14" t="s">
        <v>11</v>
      </c>
      <c r="AK333" s="14" t="s">
        <v>11</v>
      </c>
      <c r="AL333" s="14" t="str">
        <f t="shared" si="178"/>
        <v>T</v>
      </c>
      <c r="AM333" s="14" t="str">
        <f t="shared" si="179"/>
        <v>T</v>
      </c>
      <c r="AN333" s="14" t="str">
        <f t="shared" si="180"/>
        <v/>
      </c>
      <c r="AO333" s="14" t="str">
        <f t="shared" si="181"/>
        <v/>
      </c>
      <c r="AP333" s="14" t="str">
        <f t="shared" si="182"/>
        <v/>
      </c>
      <c r="AQ333" s="14" t="str">
        <f t="shared" si="185"/>
        <v/>
      </c>
      <c r="AR333" s="15">
        <f t="shared" si="183"/>
        <v>0</v>
      </c>
    </row>
    <row r="334" spans="2:44" x14ac:dyDescent="0.2">
      <c r="B334" s="16"/>
      <c r="C334" s="15" t="s">
        <v>53</v>
      </c>
      <c r="D334" s="30" t="str">
        <f t="shared" si="164"/>
        <v/>
      </c>
      <c r="E334" s="14" t="str">
        <f t="shared" si="165"/>
        <v/>
      </c>
      <c r="F334" s="14" t="str">
        <f t="shared" si="166"/>
        <v/>
      </c>
      <c r="G334" s="14" t="str">
        <f t="shared" si="167"/>
        <v/>
      </c>
      <c r="H334" s="14" t="str">
        <f t="shared" si="168"/>
        <v/>
      </c>
      <c r="I334" s="14" t="str">
        <f t="shared" si="169"/>
        <v/>
      </c>
      <c r="J334" s="14" t="str">
        <f t="shared" si="170"/>
        <v/>
      </c>
      <c r="K334" s="14" t="str">
        <f t="shared" si="171"/>
        <v/>
      </c>
      <c r="L334" s="14" t="str">
        <f t="shared" si="172"/>
        <v/>
      </c>
      <c r="M334" s="14" t="str">
        <f t="shared" si="173"/>
        <v/>
      </c>
      <c r="N334" s="14" t="str">
        <f t="shared" si="174"/>
        <v/>
      </c>
      <c r="O334" s="14" t="s">
        <v>11</v>
      </c>
      <c r="P334" s="14" t="s">
        <v>11</v>
      </c>
      <c r="Q334" s="14" t="s">
        <v>11</v>
      </c>
      <c r="R334" s="14" t="s">
        <v>13</v>
      </c>
      <c r="S334" s="14" t="s">
        <v>11</v>
      </c>
      <c r="T334" s="14" t="s">
        <v>11</v>
      </c>
      <c r="U334" s="14" t="s">
        <v>11</v>
      </c>
      <c r="V334" s="14" t="s">
        <v>11</v>
      </c>
      <c r="W334" s="14" t="s">
        <v>11</v>
      </c>
      <c r="X334" s="14" t="s">
        <v>11</v>
      </c>
      <c r="Y334" s="14" t="str">
        <f t="shared" si="175"/>
        <v/>
      </c>
      <c r="Z334" s="14" t="str">
        <f t="shared" si="176"/>
        <v/>
      </c>
      <c r="AA334" s="15">
        <f t="shared" si="177"/>
        <v>0</v>
      </c>
      <c r="AB334" s="14" t="s">
        <v>11</v>
      </c>
      <c r="AC334" s="14" t="s">
        <v>11</v>
      </c>
      <c r="AD334" s="14" t="s">
        <v>11</v>
      </c>
      <c r="AE334" s="14" t="s">
        <v>11</v>
      </c>
      <c r="AF334" s="14" t="s">
        <v>13</v>
      </c>
      <c r="AG334" s="14" t="s">
        <v>11</v>
      </c>
      <c r="AH334" s="14" t="s">
        <v>11</v>
      </c>
      <c r="AI334" s="14" t="s">
        <v>11</v>
      </c>
      <c r="AJ334" s="14" t="s">
        <v>11</v>
      </c>
      <c r="AK334" s="14" t="s">
        <v>11</v>
      </c>
      <c r="AL334" s="14" t="str">
        <f t="shared" si="178"/>
        <v>T</v>
      </c>
      <c r="AM334" s="14" t="str">
        <f t="shared" si="179"/>
        <v>T</v>
      </c>
      <c r="AN334" s="14" t="str">
        <f t="shared" si="180"/>
        <v/>
      </c>
      <c r="AO334" s="14" t="str">
        <f t="shared" si="181"/>
        <v/>
      </c>
      <c r="AP334" s="14" t="str">
        <f t="shared" si="182"/>
        <v/>
      </c>
      <c r="AQ334" s="14" t="str">
        <f t="shared" si="185"/>
        <v/>
      </c>
      <c r="AR334" s="15">
        <f t="shared" si="183"/>
        <v>0</v>
      </c>
    </row>
    <row r="335" spans="2:44" x14ac:dyDescent="0.2">
      <c r="B335" s="16"/>
      <c r="C335" s="15" t="s">
        <v>53</v>
      </c>
      <c r="D335" s="30" t="str">
        <f t="shared" si="164"/>
        <v/>
      </c>
      <c r="E335" s="14" t="str">
        <f t="shared" si="165"/>
        <v/>
      </c>
      <c r="F335" s="14" t="str">
        <f t="shared" si="166"/>
        <v/>
      </c>
      <c r="G335" s="14" t="str">
        <f t="shared" si="167"/>
        <v/>
      </c>
      <c r="H335" s="14" t="str">
        <f t="shared" si="168"/>
        <v/>
      </c>
      <c r="I335" s="14" t="str">
        <f t="shared" si="169"/>
        <v/>
      </c>
      <c r="J335" s="14" t="str">
        <f t="shared" si="170"/>
        <v/>
      </c>
      <c r="K335" s="14" t="str">
        <f t="shared" si="171"/>
        <v/>
      </c>
      <c r="L335" s="14" t="str">
        <f t="shared" si="172"/>
        <v/>
      </c>
      <c r="M335" s="14" t="str">
        <f t="shared" si="173"/>
        <v/>
      </c>
      <c r="N335" s="14" t="str">
        <f t="shared" si="174"/>
        <v/>
      </c>
      <c r="O335" s="14" t="s">
        <v>11</v>
      </c>
      <c r="P335" s="14" t="s">
        <v>11</v>
      </c>
      <c r="Q335" s="14" t="s">
        <v>11</v>
      </c>
      <c r="R335" s="14" t="s">
        <v>13</v>
      </c>
      <c r="S335" s="14" t="s">
        <v>11</v>
      </c>
      <c r="T335" s="14" t="s">
        <v>11</v>
      </c>
      <c r="U335" s="14" t="s">
        <v>11</v>
      </c>
      <c r="V335" s="14" t="s">
        <v>11</v>
      </c>
      <c r="W335" s="14" t="s">
        <v>11</v>
      </c>
      <c r="X335" s="14" t="s">
        <v>11</v>
      </c>
      <c r="Y335" s="14" t="str">
        <f t="shared" si="175"/>
        <v/>
      </c>
      <c r="Z335" s="14" t="str">
        <f t="shared" si="176"/>
        <v/>
      </c>
      <c r="AA335" s="15">
        <f t="shared" si="177"/>
        <v>0</v>
      </c>
      <c r="AB335" s="14" t="s">
        <v>11</v>
      </c>
      <c r="AC335" s="14" t="s">
        <v>11</v>
      </c>
      <c r="AD335" s="14" t="s">
        <v>11</v>
      </c>
      <c r="AE335" s="14" t="s">
        <v>11</v>
      </c>
      <c r="AF335" s="14" t="s">
        <v>13</v>
      </c>
      <c r="AG335" s="14" t="s">
        <v>11</v>
      </c>
      <c r="AH335" s="14" t="s">
        <v>11</v>
      </c>
      <c r="AI335" s="14" t="s">
        <v>11</v>
      </c>
      <c r="AJ335" s="14" t="s">
        <v>11</v>
      </c>
      <c r="AK335" s="14" t="s">
        <v>11</v>
      </c>
      <c r="AL335" s="14" t="str">
        <f t="shared" si="178"/>
        <v>T</v>
      </c>
      <c r="AM335" s="14" t="str">
        <f t="shared" si="179"/>
        <v>T</v>
      </c>
      <c r="AN335" s="14" t="str">
        <f t="shared" si="180"/>
        <v/>
      </c>
      <c r="AO335" s="14" t="str">
        <f t="shared" si="181"/>
        <v/>
      </c>
      <c r="AP335" s="14" t="str">
        <f t="shared" si="182"/>
        <v/>
      </c>
      <c r="AQ335" s="14" t="str">
        <f t="shared" si="185"/>
        <v/>
      </c>
      <c r="AR335" s="15">
        <f t="shared" si="183"/>
        <v>0</v>
      </c>
    </row>
    <row r="336" spans="2:44" x14ac:dyDescent="0.2">
      <c r="B336" s="16"/>
      <c r="C336" s="15" t="s">
        <v>53</v>
      </c>
      <c r="D336" s="30" t="str">
        <f t="shared" ref="D336:D399" si="186">SuprimePreposições(SubstituirTildes(B336))</f>
        <v/>
      </c>
      <c r="E336" s="14" t="str">
        <f t="shared" ref="E336:E399" si="187">MID(D336,E$3,IF(ISERR(SEARCH(" ",D336,E$3)),1000,SEARCH(" ",D336,E$3))-E$3)</f>
        <v/>
      </c>
      <c r="F336" s="14" t="str">
        <f t="shared" ref="F336:F399" si="188">MID(D336,LEN(E336)+F$3,IF(ISERR(SEARCH(" ",D336,LEN(E336)+F$3)),1000,SEARCH(" ",D336,LEN(E336)+F$3)-LEN(E336)-F$3))</f>
        <v/>
      </c>
      <c r="G336" s="14" t="str">
        <f t="shared" ref="G336:G399" si="189">MID(D336,LEN(E336&amp;F336)+G$3,IF(ISERR(SEARCH(" ",D336,LEN(E336&amp;F336)+G$3)),1000,SEARCH(" ",D336,LEN(E336&amp;F336)+G$3)-LEN(E336&amp;F336)-G$3))</f>
        <v/>
      </c>
      <c r="H336" s="14" t="str">
        <f t="shared" ref="H336:H399" si="190">MID(D336,LEN(E336&amp;F336&amp;G336)+H$3,IF(ISERR(SEARCH(" ",D336,LEN(E336&amp;F336&amp;G336)+H$3)),1000,SEARCH(" ",D336,LEN(E336&amp;F336&amp;G336)+H$3)-LEN(E336&amp;F336&amp;G336)-H$3))</f>
        <v/>
      </c>
      <c r="I336" s="14" t="str">
        <f t="shared" ref="I336:I399" si="191">MID(D336,LEN(E336&amp;F336&amp;G336&amp;H336)+I$3,IF(ISERR(SEARCH(" ",D336,LEN(E336&amp;F336&amp;G336&amp;H336)+I$3)),1000,SEARCH(" ",D336,LEN(E336&amp;F336&amp;G336&amp;H336)+I$3)-LEN(E336&amp;F336&amp;G336&amp;H336)-I$3))</f>
        <v/>
      </c>
      <c r="J336" s="14" t="str">
        <f t="shared" ref="J336:J399" si="192">MID(D336,LEN(E336&amp;F336&amp;G336&amp;H336&amp;I336)+J$3,IF(ISERR(SEARCH(" ",D336,LEN(E336&amp;F336&amp;G336&amp;H336&amp;I336)+J$3)),1000,SEARCH(" ",D336,LEN(E336&amp;F336&amp;G336&amp;H336&amp;I336)+J$3)-LEN(E336&amp;F336&amp;G336&amp;H336&amp;I336)-J$3))</f>
        <v/>
      </c>
      <c r="K336" s="14" t="str">
        <f t="shared" ref="K336:K399" si="193">MID(D336,LEN(E336&amp;F336&amp;G336&amp;H336&amp;I336&amp;J336)+K$3,IF(ISERR(SEARCH(" ",D336,LEN(E336&amp;F336&amp;G336&amp;H336&amp;I336&amp;J336)+K$3)),1000,SEARCH(" ",D336,LEN(E336&amp;F336&amp;G336&amp;H336&amp;I336&amp;J336)+K$3)-LEN(E336&amp;F336&amp;G336&amp;H336&amp;I336&amp;J336)-K$3))</f>
        <v/>
      </c>
      <c r="L336" s="14" t="str">
        <f t="shared" ref="L336:L399" si="194">MID(D336,LEN(E336&amp;F336&amp;G336&amp;H336&amp;I336&amp;J336&amp;K336)+L$3,IF(ISERR(SEARCH(" ",D336,LEN(E336&amp;F336&amp;G336&amp;H336&amp;I336&amp;J336&amp;K336)+L$3)),1000,SEARCH(" ",D336,LEN(E336&amp;F336&amp;G336&amp;H336&amp;I336&amp;J336&amp;K336)+L$3)-LEN(E336&amp;F336&amp;G336&amp;H336&amp;I336&amp;J336&amp;K336)-L$3))</f>
        <v/>
      </c>
      <c r="M336" s="14" t="str">
        <f t="shared" ref="M336:M399" si="195">MID(D336,LEN(E336&amp;F336&amp;G336&amp;H336&amp;I336&amp;J336&amp;K336&amp;L336)+M$3,IF(ISERR(SEARCH(" ",D336,LEN(E336&amp;F336&amp;G336&amp;H336&amp;I336&amp;J336&amp;K336&amp;L336)+M$3)),1000,SEARCH(" ",D336,LEN(E336&amp;F336&amp;G336&amp;H336&amp;I336&amp;J336&amp;K336&amp;L336)+M$3)-LEN(E336&amp;F336&amp;G336&amp;H336&amp;I336&amp;J336&amp;K336&amp;L336)-M$3))</f>
        <v/>
      </c>
      <c r="N336" s="14" t="str">
        <f t="shared" ref="N336:N399" si="196">MID(D336,LEN(E336&amp;F336&amp;G336&amp;H336&amp;I336&amp;J336&amp;K336&amp;L336&amp;M336)+N$3,IF(ISERR(SEARCH(" ",D336,LEN(E336&amp;F336&amp;G336&amp;H336&amp;I336&amp;J336&amp;K336&amp;L336&amp;M336)+N$3)),1000,SEARCH(" ",D336,LEN(E336&amp;F336&amp;G336&amp;H336&amp;I336&amp;J336&amp;K336&amp;L336&amp;M336)+N$3)-LEN(E336&amp;F336&amp;G336&amp;H336&amp;I336&amp;J336&amp;K336&amp;L336&amp;M336)-N$3))</f>
        <v/>
      </c>
      <c r="O336" s="14" t="s">
        <v>11</v>
      </c>
      <c r="P336" s="14" t="s">
        <v>11</v>
      </c>
      <c r="Q336" s="14" t="s">
        <v>11</v>
      </c>
      <c r="R336" s="14" t="s">
        <v>13</v>
      </c>
      <c r="S336" s="14" t="s">
        <v>11</v>
      </c>
      <c r="T336" s="14" t="s">
        <v>11</v>
      </c>
      <c r="U336" s="14" t="s">
        <v>11</v>
      </c>
      <c r="V336" s="14" t="s">
        <v>11</v>
      </c>
      <c r="W336" s="14" t="s">
        <v>11</v>
      </c>
      <c r="X336" s="14" t="s">
        <v>11</v>
      </c>
      <c r="Y336" s="14" t="str">
        <f t="shared" ref="Y336:Y399" si="197">IF(C336="E",IF(O336="X",IF(E336&lt;&gt;"",IF(ISERROR(VLOOKUP(E336,ListaThesaurus,2,FALSE)),"***",E336),""),""),IF(C336="A",IF(O336="X",IF(E336&lt;&gt;"",IF(ISERROR(VLOOKUP(E336,ListaNaturezas,2,FALSE)),"***",LOWER(VLOOKUP(E336,ListaNaturezas,2,FALSE))),""),""),"***"))&amp;IF(P336="X",IF(F336&lt;&gt;"",IF(ISERROR(VLOOKUP(F336,ListaThesaurus,2,FALSE)),"***",F336),""),"")&amp;IF(Q336="X",IF(G336&lt;&gt;"",IF(ISERROR(VLOOKUP(G336,ListaThesaurus,2,FALSE)),"***",G336),""),"")&amp;IF(R336="X",IF(H336&lt;&gt;"",IF(ISERROR(VLOOKUP(H336,ListaThesaurus,2,FALSE)),"***",H336),""),"")&amp;IF(S336="X",IF(I336&lt;&gt;"",IF(ISERROR(VLOOKUP(I336,ListaThesaurus,2,FALSE)),"***",I336),""),"")</f>
        <v/>
      </c>
      <c r="Z336" s="14" t="str">
        <f t="shared" ref="Z336:Z399" si="198">IF(OR(C336="E",C336="A"),Y336&amp;IF(T336="X",IF(J336&lt;&gt;"",IF(ISERROR(VLOOKUP(J336,ListaThesaurus,2,FALSE)),"***",J336),""),"")&amp;IF(U336="X",IF(K336&lt;&gt;"",IF(ISERROR(VLOOKUP(K336,ListaThesaurus,2,FALSE)),"***",K336),""),"")&amp;IF(V336="X",IF(L336&lt;&gt;"",IF(ISERROR(VLOOKUP(L336,ListaThesaurus,2,FALSE)),"***",L336),""),"")&amp;IF(W336="X",IF(M336&lt;&gt;"",IF(ISERROR(VLOOKUP(M336,ListaThesaurus,2,FALSE)),"***",M336),""),"")&amp;IF(X336="X",IF(N336&lt;&gt;"",IF(ISERROR(VLOOKUP(N336,ListaThesaurus,2,FALSE)),"***",N336),""),""),"")</f>
        <v/>
      </c>
      <c r="AA336" s="15">
        <f t="shared" ref="AA336:AA399" si="199">LEN(Z336)</f>
        <v>0</v>
      </c>
      <c r="AB336" s="14" t="s">
        <v>11</v>
      </c>
      <c r="AC336" s="14" t="s">
        <v>11</v>
      </c>
      <c r="AD336" s="14" t="s">
        <v>11</v>
      </c>
      <c r="AE336" s="14" t="s">
        <v>11</v>
      </c>
      <c r="AF336" s="14" t="s">
        <v>13</v>
      </c>
      <c r="AG336" s="14" t="s">
        <v>11</v>
      </c>
      <c r="AH336" s="14" t="s">
        <v>11</v>
      </c>
      <c r="AI336" s="14" t="s">
        <v>11</v>
      </c>
      <c r="AJ336" s="14" t="s">
        <v>11</v>
      </c>
      <c r="AK336" s="14" t="s">
        <v>11</v>
      </c>
      <c r="AL336" s="14" t="str">
        <f t="shared" ref="AL336:AL399" si="200">"T"&amp;IF(AB336="X",IF(E336&lt;&gt;"",IF(ISERROR(VLOOKUP(E336,ListaThesaurus,2,FALSE)),"***",VLOOKUP(E336,ListaThesaurus,2,FALSE)),""),"")&amp;IF(AC336="X",IF(F336&lt;&gt;"",IF(AB336="X","_","")&amp;IF(ISERROR(VLOOKUP(F336,ListaThesaurus,2,FALSE)),"***",VLOOKUP(F336,ListaThesaurus,2,FALSE)),""),"")&amp;IF(AD336="X",IF(G336&lt;&gt;"",IF(OR(AB336="X",AC336="X"),"_","")&amp;IF(ISERROR(VLOOKUP(G336,ListaThesaurus,2,FALSE)),"***",VLOOKUP(G336,ListaThesaurus,2,FALSE)),""),"")&amp;IF(AE336="X",IF(H336&lt;&gt;"",IF(OR(AB336="X",AC336="X",AD336="X"),"_","")&amp;IF(ISERROR(VLOOKUP(H336,ListaThesaurus,2,FALSE)),"***",VLOOKUP(H336,ListaThesaurus,2,FALSE)),""),"")&amp;IF(AF336="X",IF(I336&lt;&gt;"",IF(OR(AB336="X",AC336="X",AD336="X",AE336="X"),"_","")&amp;IF(ISERROR(VLOOKUP(I336,ListaThesaurus,2,FALSE)),"***",VLOOKUP(I336,ListaThesaurus,2,FALSE)),""),"")</f>
        <v>T</v>
      </c>
      <c r="AM336" s="14" t="str">
        <f t="shared" ref="AM336:AM399" si="201">AL336&amp;IF(AG336="X",IF(J336&lt;&gt;"",IF(OR(AB336="X",AC336="X",AD336="X",AE336="X",AF336="X"),"_","")&amp;IF(ISERROR(VLOOKUP(J336,ListaThesaurus,2,FALSE)),"***",VLOOKUP(J336,ListaThesaurus,2,FALSE)),""),"")&amp;IF(AH336="X",IF(K336&lt;&gt;"",IF(OR(AB336="X",AC336="X",AD336="X",AE336="X",AF336="X",AG336="X"),"_","")&amp;IF(ISERROR(VLOOKUP(K336,ListaThesaurus,2,FALSE)),"***",VLOOKUP(K336,ListaThesaurus,2,FALSE)),""),"")&amp;IF(AI336="X",IF(L336&lt;&gt;"",IF(OR(AB336="X",AC336="X",AD336="X",AE336="X",AF336="X",AG336="X",AH336="X"),"_","")&amp;IF(ISERROR(VLOOKUP(L336,ListaThesaurus,2,FALSE)),"***",VLOOKUP(L336,ListaThesaurus,2,FALSE)),""),"")&amp;IF(AJ336="X",IF(M336&lt;&gt;"",IF(OR(AB336="X",AC336="X",AD336="X",AE336="X",AF336="X",AG336="X",AH336="X",AI336="X"),"_","")&amp;IF(ISERROR(VLOOKUP(M336,ListaThesaurus,2,FALSE)),"***",VLOOKUP(M336,ListaThesaurus,2,FALSE)),""),"")&amp;IF(AK336="X",IF(N336&lt;&gt;"",IF(OR(AB336="X",AC336="X",AD336="X",AE336="X",AF336="X",AG336="X",AH336="X",AI336="X",AJ336="X"),"_","")&amp;IF(ISERROR(VLOOKUP(N336,ListaThesaurus,2,FALSE)),"***",VLOOKUP(N336,ListaThesaurus,2,FALSE)),""),"")</f>
        <v>T</v>
      </c>
      <c r="AN336" s="14" t="str">
        <f t="shared" ref="AN336:AN399" si="202">IF(AB336="X",IF(E336&lt;&gt;"",IF(ISERROR(VLOOKUP(E336,ListaNaturezas,3,FALSE)),"***",VLOOKUP(E336,ListaNaturezas,3,FALSE)),""),"")&amp;IF(AC336="X",IF(F336&lt;&gt;"",IF(ISERROR(VLOOKUP(F336,ListaThesaurus,2,FALSE)),"***",VLOOKUP(F336,ListaThesaurus,2,FALSE)),""),"")&amp;IF(AD336="X",IF(G336&lt;&gt;"",IF(AC336="X","_","")&amp;IF(ISERROR(VLOOKUP(G336,ListaThesaurus,2,FALSE)),"***",VLOOKUP(G336,ListaThesaurus,2,FALSE)),""),"")&amp;IF(AE336="X",IF(H336&lt;&gt;"",IF(OR(AC336="X",AD336="X"),"_","")&amp;IF(ISERROR(VLOOKUP(H336,ListaThesaurus,2,FALSE)),"***",VLOOKUP(H336,ListaThesaurus,2,FALSE)),""),"")&amp;IF(AF336="X",IF(I336&lt;&gt;"",IF(OR(AC336="X",AD336="X",AE336="X"),"_","")&amp;IF(ISERROR(VLOOKUP(I336,ListaThesaurus,2,FALSE)),"***",VLOOKUP(I336,ListaThesaurus,2,FALSE)),""),"")</f>
        <v/>
      </c>
      <c r="AO336" s="14" t="str">
        <f t="shared" ref="AO336:AO399" si="203">AN336&amp;IF(AG336="X",IF(J336&lt;&gt;"",IF(OR(AC336="X",AD336="X",AE336="X",AF336="X"),"_","")&amp;IF(ISERROR(VLOOKUP(J336,ListaThesaurus,2,FALSE)),"***",VLOOKUP(J336,ListaThesaurus,2,FALSE)),""),"")&amp;IF(AH336="X",IF(K336&lt;&gt;"",IF(OR(AC336="X",AD336="X",AE336="X",AF336="X",AG336="X"),"_","")&amp;IF(ISERROR(VLOOKUP(K336,ListaThesaurus,2,FALSE)),"***",VLOOKUP(K336,ListaThesaurus,2,FALSE)),""),"")&amp;IF(AI336="X",IF(L336&lt;&gt;"",IF(OR(AC336="X",AD336="X",AE336="X",AF336="X",AG336="X",AH336="X"),"_","")&amp;IF(ISERROR(VLOOKUP(L336,ListaThesaurus,2,FALSE)),"***",VLOOKUP(L336,ListaThesaurus,2,FALSE)),""),"")&amp;IF(AJ336="X",IF(M336&lt;&gt;"",IF(OR(AC336="X",AD336="X",AE336="X",AF336="X",AG336="X",AH336="X",AI336="X"),"_","")&amp;IF(ISERROR(VLOOKUP(M336,ListaThesaurus,2,FALSE)),"***",VLOOKUP(M336,ListaThesaurus,2,FALSE)),""),"")&amp;IF(AK336="X",IF(N336&lt;&gt;"",IF(OR(AC336="X",AD336="X",AE336="X",AF336="X",AG336="X",AH336="X",AI336="X",AJ336="X"),"_","")&amp;IF(ISERROR(VLOOKUP(N336,ListaThesaurus,2,FALSE)),"***",VLOOKUP(N336,ListaThesaurus,2,FALSE)),""),"")</f>
        <v/>
      </c>
      <c r="AP336" s="14" t="str">
        <f t="shared" ref="AP336:AP399" si="204">IF(C336="A",AO336,IF(C336="E",AM336,""))</f>
        <v/>
      </c>
      <c r="AQ336" s="14" t="str">
        <f t="shared" si="185"/>
        <v/>
      </c>
      <c r="AR336" s="15">
        <f t="shared" ref="AR336:AR399" si="205">LEN(AP336)</f>
        <v>0</v>
      </c>
    </row>
    <row r="337" spans="2:44" x14ac:dyDescent="0.2">
      <c r="B337" s="16"/>
      <c r="C337" s="15" t="s">
        <v>53</v>
      </c>
      <c r="D337" s="30" t="str">
        <f t="shared" si="186"/>
        <v/>
      </c>
      <c r="E337" s="14" t="str">
        <f t="shared" si="187"/>
        <v/>
      </c>
      <c r="F337" s="14" t="str">
        <f t="shared" si="188"/>
        <v/>
      </c>
      <c r="G337" s="14" t="str">
        <f t="shared" si="189"/>
        <v/>
      </c>
      <c r="H337" s="14" t="str">
        <f t="shared" si="190"/>
        <v/>
      </c>
      <c r="I337" s="14" t="str">
        <f t="shared" si="191"/>
        <v/>
      </c>
      <c r="J337" s="14" t="str">
        <f t="shared" si="192"/>
        <v/>
      </c>
      <c r="K337" s="14" t="str">
        <f t="shared" si="193"/>
        <v/>
      </c>
      <c r="L337" s="14" t="str">
        <f t="shared" si="194"/>
        <v/>
      </c>
      <c r="M337" s="14" t="str">
        <f t="shared" si="195"/>
        <v/>
      </c>
      <c r="N337" s="14" t="str">
        <f t="shared" si="196"/>
        <v/>
      </c>
      <c r="O337" s="14" t="s">
        <v>11</v>
      </c>
      <c r="P337" s="14" t="s">
        <v>11</v>
      </c>
      <c r="Q337" s="14" t="s">
        <v>11</v>
      </c>
      <c r="R337" s="14" t="s">
        <v>13</v>
      </c>
      <c r="S337" s="14" t="s">
        <v>11</v>
      </c>
      <c r="T337" s="14" t="s">
        <v>11</v>
      </c>
      <c r="U337" s="14" t="s">
        <v>11</v>
      </c>
      <c r="V337" s="14" t="s">
        <v>11</v>
      </c>
      <c r="W337" s="14" t="s">
        <v>11</v>
      </c>
      <c r="X337" s="14" t="s">
        <v>11</v>
      </c>
      <c r="Y337" s="14" t="str">
        <f t="shared" si="197"/>
        <v/>
      </c>
      <c r="Z337" s="14" t="str">
        <f t="shared" si="198"/>
        <v/>
      </c>
      <c r="AA337" s="15">
        <f t="shared" si="199"/>
        <v>0</v>
      </c>
      <c r="AB337" s="14" t="s">
        <v>11</v>
      </c>
      <c r="AC337" s="14" t="s">
        <v>11</v>
      </c>
      <c r="AD337" s="14" t="s">
        <v>11</v>
      </c>
      <c r="AE337" s="14" t="s">
        <v>11</v>
      </c>
      <c r="AF337" s="14" t="s">
        <v>13</v>
      </c>
      <c r="AG337" s="14" t="s">
        <v>11</v>
      </c>
      <c r="AH337" s="14" t="s">
        <v>11</v>
      </c>
      <c r="AI337" s="14" t="s">
        <v>11</v>
      </c>
      <c r="AJ337" s="14" t="s">
        <v>11</v>
      </c>
      <c r="AK337" s="14" t="s">
        <v>11</v>
      </c>
      <c r="AL337" s="14" t="str">
        <f t="shared" si="200"/>
        <v>T</v>
      </c>
      <c r="AM337" s="14" t="str">
        <f t="shared" si="201"/>
        <v>T</v>
      </c>
      <c r="AN337" s="14" t="str">
        <f t="shared" si="202"/>
        <v/>
      </c>
      <c r="AO337" s="14" t="str">
        <f t="shared" si="203"/>
        <v/>
      </c>
      <c r="AP337" s="14" t="str">
        <f t="shared" si="204"/>
        <v/>
      </c>
      <c r="AQ337" s="14" t="str">
        <f t="shared" si="185"/>
        <v/>
      </c>
      <c r="AR337" s="15">
        <f t="shared" si="205"/>
        <v>0</v>
      </c>
    </row>
    <row r="338" spans="2:44" x14ac:dyDescent="0.2">
      <c r="B338" s="16"/>
      <c r="C338" s="15" t="s">
        <v>53</v>
      </c>
      <c r="D338" s="30" t="str">
        <f t="shared" si="186"/>
        <v/>
      </c>
      <c r="E338" s="14" t="str">
        <f t="shared" si="187"/>
        <v/>
      </c>
      <c r="F338" s="14" t="str">
        <f t="shared" si="188"/>
        <v/>
      </c>
      <c r="G338" s="14" t="str">
        <f t="shared" si="189"/>
        <v/>
      </c>
      <c r="H338" s="14" t="str">
        <f t="shared" si="190"/>
        <v/>
      </c>
      <c r="I338" s="14" t="str">
        <f t="shared" si="191"/>
        <v/>
      </c>
      <c r="J338" s="14" t="str">
        <f t="shared" si="192"/>
        <v/>
      </c>
      <c r="K338" s="14" t="str">
        <f t="shared" si="193"/>
        <v/>
      </c>
      <c r="L338" s="14" t="str">
        <f t="shared" si="194"/>
        <v/>
      </c>
      <c r="M338" s="14" t="str">
        <f t="shared" si="195"/>
        <v/>
      </c>
      <c r="N338" s="14" t="str">
        <f t="shared" si="196"/>
        <v/>
      </c>
      <c r="O338" s="14" t="s">
        <v>11</v>
      </c>
      <c r="P338" s="14" t="s">
        <v>11</v>
      </c>
      <c r="Q338" s="14" t="s">
        <v>11</v>
      </c>
      <c r="R338" s="14" t="s">
        <v>13</v>
      </c>
      <c r="S338" s="14" t="s">
        <v>11</v>
      </c>
      <c r="T338" s="14" t="s">
        <v>11</v>
      </c>
      <c r="U338" s="14" t="s">
        <v>11</v>
      </c>
      <c r="V338" s="14" t="s">
        <v>11</v>
      </c>
      <c r="W338" s="14" t="s">
        <v>11</v>
      </c>
      <c r="X338" s="14" t="s">
        <v>11</v>
      </c>
      <c r="Y338" s="14" t="str">
        <f t="shared" si="197"/>
        <v/>
      </c>
      <c r="Z338" s="14" t="str">
        <f t="shared" si="198"/>
        <v/>
      </c>
      <c r="AA338" s="15">
        <f t="shared" si="199"/>
        <v>0</v>
      </c>
      <c r="AB338" s="14" t="s">
        <v>11</v>
      </c>
      <c r="AC338" s="14" t="s">
        <v>11</v>
      </c>
      <c r="AD338" s="14" t="s">
        <v>11</v>
      </c>
      <c r="AE338" s="14" t="s">
        <v>11</v>
      </c>
      <c r="AF338" s="14" t="s">
        <v>13</v>
      </c>
      <c r="AG338" s="14" t="s">
        <v>11</v>
      </c>
      <c r="AH338" s="14" t="s">
        <v>11</v>
      </c>
      <c r="AI338" s="14" t="s">
        <v>11</v>
      </c>
      <c r="AJ338" s="14" t="s">
        <v>11</v>
      </c>
      <c r="AK338" s="14" t="s">
        <v>11</v>
      </c>
      <c r="AL338" s="14" t="str">
        <f t="shared" si="200"/>
        <v>T</v>
      </c>
      <c r="AM338" s="14" t="str">
        <f t="shared" si="201"/>
        <v>T</v>
      </c>
      <c r="AN338" s="14" t="str">
        <f t="shared" si="202"/>
        <v/>
      </c>
      <c r="AO338" s="14" t="str">
        <f t="shared" si="203"/>
        <v/>
      </c>
      <c r="AP338" s="14" t="str">
        <f t="shared" si="204"/>
        <v/>
      </c>
      <c r="AQ338" s="14" t="str">
        <f t="shared" si="185"/>
        <v/>
      </c>
      <c r="AR338" s="15">
        <f t="shared" si="205"/>
        <v>0</v>
      </c>
    </row>
    <row r="339" spans="2:44" x14ac:dyDescent="0.2">
      <c r="B339" s="16"/>
      <c r="C339" s="15" t="s">
        <v>53</v>
      </c>
      <c r="D339" s="30" t="str">
        <f t="shared" si="186"/>
        <v/>
      </c>
      <c r="E339" s="14" t="str">
        <f t="shared" si="187"/>
        <v/>
      </c>
      <c r="F339" s="14" t="str">
        <f t="shared" si="188"/>
        <v/>
      </c>
      <c r="G339" s="14" t="str">
        <f t="shared" si="189"/>
        <v/>
      </c>
      <c r="H339" s="14" t="str">
        <f t="shared" si="190"/>
        <v/>
      </c>
      <c r="I339" s="14" t="str">
        <f t="shared" si="191"/>
        <v/>
      </c>
      <c r="J339" s="14" t="str">
        <f t="shared" si="192"/>
        <v/>
      </c>
      <c r="K339" s="14" t="str">
        <f t="shared" si="193"/>
        <v/>
      </c>
      <c r="L339" s="14" t="str">
        <f t="shared" si="194"/>
        <v/>
      </c>
      <c r="M339" s="14" t="str">
        <f t="shared" si="195"/>
        <v/>
      </c>
      <c r="N339" s="14" t="str">
        <f t="shared" si="196"/>
        <v/>
      </c>
      <c r="O339" s="14" t="s">
        <v>11</v>
      </c>
      <c r="P339" s="14" t="s">
        <v>11</v>
      </c>
      <c r="Q339" s="14" t="s">
        <v>11</v>
      </c>
      <c r="R339" s="14" t="s">
        <v>13</v>
      </c>
      <c r="S339" s="14" t="s">
        <v>11</v>
      </c>
      <c r="T339" s="14" t="s">
        <v>11</v>
      </c>
      <c r="U339" s="14" t="s">
        <v>11</v>
      </c>
      <c r="V339" s="14" t="s">
        <v>11</v>
      </c>
      <c r="W339" s="14" t="s">
        <v>11</v>
      </c>
      <c r="X339" s="14" t="s">
        <v>11</v>
      </c>
      <c r="Y339" s="14" t="str">
        <f t="shared" si="197"/>
        <v/>
      </c>
      <c r="Z339" s="14" t="str">
        <f t="shared" si="198"/>
        <v/>
      </c>
      <c r="AA339" s="15">
        <f t="shared" si="199"/>
        <v>0</v>
      </c>
      <c r="AB339" s="14" t="s">
        <v>11</v>
      </c>
      <c r="AC339" s="14" t="s">
        <v>11</v>
      </c>
      <c r="AD339" s="14" t="s">
        <v>11</v>
      </c>
      <c r="AE339" s="14" t="s">
        <v>11</v>
      </c>
      <c r="AF339" s="14" t="s">
        <v>13</v>
      </c>
      <c r="AG339" s="14" t="s">
        <v>11</v>
      </c>
      <c r="AH339" s="14" t="s">
        <v>11</v>
      </c>
      <c r="AI339" s="14" t="s">
        <v>11</v>
      </c>
      <c r="AJ339" s="14" t="s">
        <v>11</v>
      </c>
      <c r="AK339" s="14" t="s">
        <v>11</v>
      </c>
      <c r="AL339" s="14" t="str">
        <f t="shared" si="200"/>
        <v>T</v>
      </c>
      <c r="AM339" s="14" t="str">
        <f t="shared" si="201"/>
        <v>T</v>
      </c>
      <c r="AN339" s="14" t="str">
        <f t="shared" si="202"/>
        <v/>
      </c>
      <c r="AO339" s="14" t="str">
        <f t="shared" si="203"/>
        <v/>
      </c>
      <c r="AP339" s="14" t="str">
        <f t="shared" si="204"/>
        <v/>
      </c>
      <c r="AQ339" s="14" t="str">
        <f t="shared" si="185"/>
        <v/>
      </c>
      <c r="AR339" s="15">
        <f t="shared" si="205"/>
        <v>0</v>
      </c>
    </row>
    <row r="340" spans="2:44" x14ac:dyDescent="0.2">
      <c r="B340" s="16"/>
      <c r="C340" s="15" t="s">
        <v>53</v>
      </c>
      <c r="D340" s="30" t="str">
        <f t="shared" si="186"/>
        <v/>
      </c>
      <c r="E340" s="14" t="str">
        <f t="shared" si="187"/>
        <v/>
      </c>
      <c r="F340" s="14" t="str">
        <f t="shared" si="188"/>
        <v/>
      </c>
      <c r="G340" s="14" t="str">
        <f t="shared" si="189"/>
        <v/>
      </c>
      <c r="H340" s="14" t="str">
        <f t="shared" si="190"/>
        <v/>
      </c>
      <c r="I340" s="14" t="str">
        <f t="shared" si="191"/>
        <v/>
      </c>
      <c r="J340" s="14" t="str">
        <f t="shared" si="192"/>
        <v/>
      </c>
      <c r="K340" s="14" t="str">
        <f t="shared" si="193"/>
        <v/>
      </c>
      <c r="L340" s="14" t="str">
        <f t="shared" si="194"/>
        <v/>
      </c>
      <c r="M340" s="14" t="str">
        <f t="shared" si="195"/>
        <v/>
      </c>
      <c r="N340" s="14" t="str">
        <f t="shared" si="196"/>
        <v/>
      </c>
      <c r="O340" s="14" t="s">
        <v>11</v>
      </c>
      <c r="P340" s="14" t="s">
        <v>11</v>
      </c>
      <c r="Q340" s="14" t="s">
        <v>11</v>
      </c>
      <c r="R340" s="14" t="s">
        <v>13</v>
      </c>
      <c r="S340" s="14" t="s">
        <v>11</v>
      </c>
      <c r="T340" s="14" t="s">
        <v>11</v>
      </c>
      <c r="U340" s="14" t="s">
        <v>11</v>
      </c>
      <c r="V340" s="14" t="s">
        <v>11</v>
      </c>
      <c r="W340" s="14" t="s">
        <v>11</v>
      </c>
      <c r="X340" s="14" t="s">
        <v>11</v>
      </c>
      <c r="Y340" s="14" t="str">
        <f t="shared" si="197"/>
        <v/>
      </c>
      <c r="Z340" s="14" t="str">
        <f t="shared" si="198"/>
        <v/>
      </c>
      <c r="AA340" s="15">
        <f t="shared" si="199"/>
        <v>0</v>
      </c>
      <c r="AB340" s="14" t="s">
        <v>11</v>
      </c>
      <c r="AC340" s="14" t="s">
        <v>11</v>
      </c>
      <c r="AD340" s="14" t="s">
        <v>11</v>
      </c>
      <c r="AE340" s="14" t="s">
        <v>11</v>
      </c>
      <c r="AF340" s="14" t="s">
        <v>13</v>
      </c>
      <c r="AG340" s="14" t="s">
        <v>11</v>
      </c>
      <c r="AH340" s="14" t="s">
        <v>11</v>
      </c>
      <c r="AI340" s="14" t="s">
        <v>11</v>
      </c>
      <c r="AJ340" s="14" t="s">
        <v>11</v>
      </c>
      <c r="AK340" s="14" t="s">
        <v>11</v>
      </c>
      <c r="AL340" s="14" t="str">
        <f t="shared" si="200"/>
        <v>T</v>
      </c>
      <c r="AM340" s="14" t="str">
        <f t="shared" si="201"/>
        <v>T</v>
      </c>
      <c r="AN340" s="14" t="str">
        <f t="shared" si="202"/>
        <v/>
      </c>
      <c r="AO340" s="14" t="str">
        <f t="shared" si="203"/>
        <v/>
      </c>
      <c r="AP340" s="14" t="str">
        <f t="shared" si="204"/>
        <v/>
      </c>
      <c r="AQ340" s="14" t="str">
        <f t="shared" si="185"/>
        <v/>
      </c>
      <c r="AR340" s="15">
        <f t="shared" si="205"/>
        <v>0</v>
      </c>
    </row>
    <row r="341" spans="2:44" x14ac:dyDescent="0.2">
      <c r="B341" s="16"/>
      <c r="C341" s="15" t="s">
        <v>53</v>
      </c>
      <c r="D341" s="30" t="str">
        <f t="shared" si="186"/>
        <v/>
      </c>
      <c r="E341" s="14" t="str">
        <f t="shared" si="187"/>
        <v/>
      </c>
      <c r="F341" s="14" t="str">
        <f t="shared" si="188"/>
        <v/>
      </c>
      <c r="G341" s="14" t="str">
        <f t="shared" si="189"/>
        <v/>
      </c>
      <c r="H341" s="14" t="str">
        <f t="shared" si="190"/>
        <v/>
      </c>
      <c r="I341" s="14" t="str">
        <f t="shared" si="191"/>
        <v/>
      </c>
      <c r="J341" s="14" t="str">
        <f t="shared" si="192"/>
        <v/>
      </c>
      <c r="K341" s="14" t="str">
        <f t="shared" si="193"/>
        <v/>
      </c>
      <c r="L341" s="14" t="str">
        <f t="shared" si="194"/>
        <v/>
      </c>
      <c r="M341" s="14" t="str">
        <f t="shared" si="195"/>
        <v/>
      </c>
      <c r="N341" s="14" t="str">
        <f t="shared" si="196"/>
        <v/>
      </c>
      <c r="O341" s="14" t="s">
        <v>11</v>
      </c>
      <c r="P341" s="14" t="s">
        <v>11</v>
      </c>
      <c r="Q341" s="14" t="s">
        <v>11</v>
      </c>
      <c r="R341" s="14" t="s">
        <v>13</v>
      </c>
      <c r="S341" s="14" t="s">
        <v>11</v>
      </c>
      <c r="T341" s="14" t="s">
        <v>11</v>
      </c>
      <c r="U341" s="14" t="s">
        <v>11</v>
      </c>
      <c r="V341" s="14" t="s">
        <v>11</v>
      </c>
      <c r="W341" s="14" t="s">
        <v>11</v>
      </c>
      <c r="X341" s="14" t="s">
        <v>11</v>
      </c>
      <c r="Y341" s="14" t="str">
        <f t="shared" si="197"/>
        <v/>
      </c>
      <c r="Z341" s="14" t="str">
        <f t="shared" si="198"/>
        <v/>
      </c>
      <c r="AA341" s="15">
        <f t="shared" si="199"/>
        <v>0</v>
      </c>
      <c r="AB341" s="14" t="s">
        <v>11</v>
      </c>
      <c r="AC341" s="14" t="s">
        <v>11</v>
      </c>
      <c r="AD341" s="14" t="s">
        <v>11</v>
      </c>
      <c r="AE341" s="14" t="s">
        <v>11</v>
      </c>
      <c r="AF341" s="14" t="s">
        <v>13</v>
      </c>
      <c r="AG341" s="14" t="s">
        <v>11</v>
      </c>
      <c r="AH341" s="14" t="s">
        <v>11</v>
      </c>
      <c r="AI341" s="14" t="s">
        <v>11</v>
      </c>
      <c r="AJ341" s="14" t="s">
        <v>11</v>
      </c>
      <c r="AK341" s="14" t="s">
        <v>11</v>
      </c>
      <c r="AL341" s="14" t="str">
        <f t="shared" si="200"/>
        <v>T</v>
      </c>
      <c r="AM341" s="14" t="str">
        <f t="shared" si="201"/>
        <v>T</v>
      </c>
      <c r="AN341" s="14" t="str">
        <f t="shared" si="202"/>
        <v/>
      </c>
      <c r="AO341" s="14" t="str">
        <f t="shared" si="203"/>
        <v/>
      </c>
      <c r="AP341" s="14" t="str">
        <f t="shared" si="204"/>
        <v/>
      </c>
      <c r="AQ341" s="14" t="str">
        <f t="shared" si="185"/>
        <v/>
      </c>
      <c r="AR341" s="15">
        <f t="shared" si="205"/>
        <v>0</v>
      </c>
    </row>
    <row r="342" spans="2:44" x14ac:dyDescent="0.2">
      <c r="B342" s="16"/>
      <c r="C342" s="15" t="s">
        <v>53</v>
      </c>
      <c r="D342" s="30" t="str">
        <f t="shared" si="186"/>
        <v/>
      </c>
      <c r="E342" s="14" t="str">
        <f t="shared" si="187"/>
        <v/>
      </c>
      <c r="F342" s="14" t="str">
        <f t="shared" si="188"/>
        <v/>
      </c>
      <c r="G342" s="14" t="str">
        <f t="shared" si="189"/>
        <v/>
      </c>
      <c r="H342" s="14" t="str">
        <f t="shared" si="190"/>
        <v/>
      </c>
      <c r="I342" s="14" t="str">
        <f t="shared" si="191"/>
        <v/>
      </c>
      <c r="J342" s="14" t="str">
        <f t="shared" si="192"/>
        <v/>
      </c>
      <c r="K342" s="14" t="str">
        <f t="shared" si="193"/>
        <v/>
      </c>
      <c r="L342" s="14" t="str">
        <f t="shared" si="194"/>
        <v/>
      </c>
      <c r="M342" s="14" t="str">
        <f t="shared" si="195"/>
        <v/>
      </c>
      <c r="N342" s="14" t="str">
        <f t="shared" si="196"/>
        <v/>
      </c>
      <c r="O342" s="14" t="s">
        <v>11</v>
      </c>
      <c r="P342" s="14" t="s">
        <v>11</v>
      </c>
      <c r="Q342" s="14" t="s">
        <v>11</v>
      </c>
      <c r="R342" s="14" t="s">
        <v>13</v>
      </c>
      <c r="S342" s="14" t="s">
        <v>11</v>
      </c>
      <c r="T342" s="14" t="s">
        <v>11</v>
      </c>
      <c r="U342" s="14" t="s">
        <v>11</v>
      </c>
      <c r="V342" s="14" t="s">
        <v>11</v>
      </c>
      <c r="W342" s="14" t="s">
        <v>11</v>
      </c>
      <c r="X342" s="14" t="s">
        <v>11</v>
      </c>
      <c r="Y342" s="14" t="str">
        <f t="shared" si="197"/>
        <v/>
      </c>
      <c r="Z342" s="14" t="str">
        <f t="shared" si="198"/>
        <v/>
      </c>
      <c r="AA342" s="15">
        <f t="shared" si="199"/>
        <v>0</v>
      </c>
      <c r="AB342" s="14" t="s">
        <v>11</v>
      </c>
      <c r="AC342" s="14" t="s">
        <v>11</v>
      </c>
      <c r="AD342" s="14" t="s">
        <v>11</v>
      </c>
      <c r="AE342" s="14" t="s">
        <v>11</v>
      </c>
      <c r="AF342" s="14" t="s">
        <v>13</v>
      </c>
      <c r="AG342" s="14" t="s">
        <v>11</v>
      </c>
      <c r="AH342" s="14" t="s">
        <v>11</v>
      </c>
      <c r="AI342" s="14" t="s">
        <v>11</v>
      </c>
      <c r="AJ342" s="14" t="s">
        <v>11</v>
      </c>
      <c r="AK342" s="14" t="s">
        <v>11</v>
      </c>
      <c r="AL342" s="14" t="str">
        <f t="shared" si="200"/>
        <v>T</v>
      </c>
      <c r="AM342" s="14" t="str">
        <f t="shared" si="201"/>
        <v>T</v>
      </c>
      <c r="AN342" s="14" t="str">
        <f t="shared" si="202"/>
        <v/>
      </c>
      <c r="AO342" s="14" t="str">
        <f t="shared" si="203"/>
        <v/>
      </c>
      <c r="AP342" s="14" t="str">
        <f t="shared" si="204"/>
        <v/>
      </c>
      <c r="AQ342" s="14" t="str">
        <f t="shared" si="185"/>
        <v/>
      </c>
      <c r="AR342" s="15">
        <f t="shared" si="205"/>
        <v>0</v>
      </c>
    </row>
    <row r="343" spans="2:44" x14ac:dyDescent="0.2">
      <c r="B343" s="16"/>
      <c r="C343" s="15" t="s">
        <v>53</v>
      </c>
      <c r="D343" s="30" t="str">
        <f t="shared" si="186"/>
        <v/>
      </c>
      <c r="E343" s="14" t="str">
        <f t="shared" si="187"/>
        <v/>
      </c>
      <c r="F343" s="14" t="str">
        <f t="shared" si="188"/>
        <v/>
      </c>
      <c r="G343" s="14" t="str">
        <f t="shared" si="189"/>
        <v/>
      </c>
      <c r="H343" s="14" t="str">
        <f t="shared" si="190"/>
        <v/>
      </c>
      <c r="I343" s="14" t="str">
        <f t="shared" si="191"/>
        <v/>
      </c>
      <c r="J343" s="14" t="str">
        <f t="shared" si="192"/>
        <v/>
      </c>
      <c r="K343" s="14" t="str">
        <f t="shared" si="193"/>
        <v/>
      </c>
      <c r="L343" s="14" t="str">
        <f t="shared" si="194"/>
        <v/>
      </c>
      <c r="M343" s="14" t="str">
        <f t="shared" si="195"/>
        <v/>
      </c>
      <c r="N343" s="14" t="str">
        <f t="shared" si="196"/>
        <v/>
      </c>
      <c r="O343" s="14" t="s">
        <v>11</v>
      </c>
      <c r="P343" s="14" t="s">
        <v>11</v>
      </c>
      <c r="Q343" s="14" t="s">
        <v>11</v>
      </c>
      <c r="R343" s="14" t="s">
        <v>13</v>
      </c>
      <c r="S343" s="14" t="s">
        <v>11</v>
      </c>
      <c r="T343" s="14" t="s">
        <v>11</v>
      </c>
      <c r="U343" s="14" t="s">
        <v>11</v>
      </c>
      <c r="V343" s="14" t="s">
        <v>11</v>
      </c>
      <c r="W343" s="14" t="s">
        <v>11</v>
      </c>
      <c r="X343" s="14" t="s">
        <v>11</v>
      </c>
      <c r="Y343" s="14" t="str">
        <f t="shared" si="197"/>
        <v/>
      </c>
      <c r="Z343" s="14" t="str">
        <f t="shared" si="198"/>
        <v/>
      </c>
      <c r="AA343" s="15">
        <f t="shared" si="199"/>
        <v>0</v>
      </c>
      <c r="AB343" s="14" t="s">
        <v>11</v>
      </c>
      <c r="AC343" s="14" t="s">
        <v>11</v>
      </c>
      <c r="AD343" s="14" t="s">
        <v>11</v>
      </c>
      <c r="AE343" s="14" t="s">
        <v>11</v>
      </c>
      <c r="AF343" s="14" t="s">
        <v>13</v>
      </c>
      <c r="AG343" s="14" t="s">
        <v>11</v>
      </c>
      <c r="AH343" s="14" t="s">
        <v>11</v>
      </c>
      <c r="AI343" s="14" t="s">
        <v>11</v>
      </c>
      <c r="AJ343" s="14" t="s">
        <v>11</v>
      </c>
      <c r="AK343" s="14" t="s">
        <v>11</v>
      </c>
      <c r="AL343" s="14" t="str">
        <f t="shared" si="200"/>
        <v>T</v>
      </c>
      <c r="AM343" s="14" t="str">
        <f t="shared" si="201"/>
        <v>T</v>
      </c>
      <c r="AN343" s="14" t="str">
        <f t="shared" si="202"/>
        <v/>
      </c>
      <c r="AO343" s="14" t="str">
        <f t="shared" si="203"/>
        <v/>
      </c>
      <c r="AP343" s="14" t="str">
        <f t="shared" si="204"/>
        <v/>
      </c>
      <c r="AQ343" s="14" t="str">
        <f t="shared" si="185"/>
        <v/>
      </c>
      <c r="AR343" s="15">
        <f t="shared" si="205"/>
        <v>0</v>
      </c>
    </row>
    <row r="344" spans="2:44" x14ac:dyDescent="0.2">
      <c r="B344" s="16"/>
      <c r="C344" s="15" t="s">
        <v>53</v>
      </c>
      <c r="D344" s="30" t="str">
        <f t="shared" si="186"/>
        <v/>
      </c>
      <c r="E344" s="14" t="str">
        <f t="shared" si="187"/>
        <v/>
      </c>
      <c r="F344" s="14" t="str">
        <f t="shared" si="188"/>
        <v/>
      </c>
      <c r="G344" s="14" t="str">
        <f t="shared" si="189"/>
        <v/>
      </c>
      <c r="H344" s="14" t="str">
        <f t="shared" si="190"/>
        <v/>
      </c>
      <c r="I344" s="14" t="str">
        <f t="shared" si="191"/>
        <v/>
      </c>
      <c r="J344" s="14" t="str">
        <f t="shared" si="192"/>
        <v/>
      </c>
      <c r="K344" s="14" t="str">
        <f t="shared" si="193"/>
        <v/>
      </c>
      <c r="L344" s="14" t="str">
        <f t="shared" si="194"/>
        <v/>
      </c>
      <c r="M344" s="14" t="str">
        <f t="shared" si="195"/>
        <v/>
      </c>
      <c r="N344" s="14" t="str">
        <f t="shared" si="196"/>
        <v/>
      </c>
      <c r="O344" s="14" t="s">
        <v>11</v>
      </c>
      <c r="P344" s="14" t="s">
        <v>11</v>
      </c>
      <c r="Q344" s="14" t="s">
        <v>11</v>
      </c>
      <c r="R344" s="14" t="s">
        <v>13</v>
      </c>
      <c r="S344" s="14" t="s">
        <v>11</v>
      </c>
      <c r="T344" s="14" t="s">
        <v>11</v>
      </c>
      <c r="U344" s="14" t="s">
        <v>11</v>
      </c>
      <c r="V344" s="14" t="s">
        <v>11</v>
      </c>
      <c r="W344" s="14" t="s">
        <v>11</v>
      </c>
      <c r="X344" s="14" t="s">
        <v>11</v>
      </c>
      <c r="Y344" s="14" t="str">
        <f t="shared" si="197"/>
        <v/>
      </c>
      <c r="Z344" s="14" t="str">
        <f t="shared" si="198"/>
        <v/>
      </c>
      <c r="AA344" s="15">
        <f t="shared" si="199"/>
        <v>0</v>
      </c>
      <c r="AB344" s="14" t="s">
        <v>11</v>
      </c>
      <c r="AC344" s="14" t="s">
        <v>11</v>
      </c>
      <c r="AD344" s="14" t="s">
        <v>11</v>
      </c>
      <c r="AE344" s="14" t="s">
        <v>11</v>
      </c>
      <c r="AF344" s="14" t="s">
        <v>13</v>
      </c>
      <c r="AG344" s="14" t="s">
        <v>11</v>
      </c>
      <c r="AH344" s="14" t="s">
        <v>11</v>
      </c>
      <c r="AI344" s="14" t="s">
        <v>11</v>
      </c>
      <c r="AJ344" s="14" t="s">
        <v>11</v>
      </c>
      <c r="AK344" s="14" t="s">
        <v>11</v>
      </c>
      <c r="AL344" s="14" t="str">
        <f t="shared" si="200"/>
        <v>T</v>
      </c>
      <c r="AM344" s="14" t="str">
        <f t="shared" si="201"/>
        <v>T</v>
      </c>
      <c r="AN344" s="14" t="str">
        <f t="shared" si="202"/>
        <v/>
      </c>
      <c r="AO344" s="14" t="str">
        <f t="shared" si="203"/>
        <v/>
      </c>
      <c r="AP344" s="14" t="str">
        <f t="shared" si="204"/>
        <v/>
      </c>
      <c r="AQ344" s="14" t="str">
        <f t="shared" si="185"/>
        <v/>
      </c>
      <c r="AR344" s="15">
        <f t="shared" si="205"/>
        <v>0</v>
      </c>
    </row>
    <row r="345" spans="2:44" x14ac:dyDescent="0.2">
      <c r="B345" s="16"/>
      <c r="C345" s="15" t="s">
        <v>53</v>
      </c>
      <c r="D345" s="30" t="str">
        <f t="shared" si="186"/>
        <v/>
      </c>
      <c r="E345" s="14" t="str">
        <f t="shared" si="187"/>
        <v/>
      </c>
      <c r="F345" s="14" t="str">
        <f t="shared" si="188"/>
        <v/>
      </c>
      <c r="G345" s="14" t="str">
        <f t="shared" si="189"/>
        <v/>
      </c>
      <c r="H345" s="14" t="str">
        <f t="shared" si="190"/>
        <v/>
      </c>
      <c r="I345" s="14" t="str">
        <f t="shared" si="191"/>
        <v/>
      </c>
      <c r="J345" s="14" t="str">
        <f t="shared" si="192"/>
        <v/>
      </c>
      <c r="K345" s="14" t="str">
        <f t="shared" si="193"/>
        <v/>
      </c>
      <c r="L345" s="14" t="str">
        <f t="shared" si="194"/>
        <v/>
      </c>
      <c r="M345" s="14" t="str">
        <f t="shared" si="195"/>
        <v/>
      </c>
      <c r="N345" s="14" t="str">
        <f t="shared" si="196"/>
        <v/>
      </c>
      <c r="O345" s="14" t="s">
        <v>11</v>
      </c>
      <c r="P345" s="14" t="s">
        <v>11</v>
      </c>
      <c r="Q345" s="14" t="s">
        <v>11</v>
      </c>
      <c r="R345" s="14" t="s">
        <v>13</v>
      </c>
      <c r="S345" s="14" t="s">
        <v>11</v>
      </c>
      <c r="T345" s="14" t="s">
        <v>11</v>
      </c>
      <c r="U345" s="14" t="s">
        <v>11</v>
      </c>
      <c r="V345" s="14" t="s">
        <v>11</v>
      </c>
      <c r="W345" s="14" t="s">
        <v>11</v>
      </c>
      <c r="X345" s="14" t="s">
        <v>11</v>
      </c>
      <c r="Y345" s="14" t="str">
        <f t="shared" si="197"/>
        <v/>
      </c>
      <c r="Z345" s="14" t="str">
        <f t="shared" si="198"/>
        <v/>
      </c>
      <c r="AA345" s="15">
        <f t="shared" si="199"/>
        <v>0</v>
      </c>
      <c r="AB345" s="14" t="s">
        <v>11</v>
      </c>
      <c r="AC345" s="14" t="s">
        <v>11</v>
      </c>
      <c r="AD345" s="14" t="s">
        <v>11</v>
      </c>
      <c r="AE345" s="14" t="s">
        <v>11</v>
      </c>
      <c r="AF345" s="14" t="s">
        <v>13</v>
      </c>
      <c r="AG345" s="14" t="s">
        <v>11</v>
      </c>
      <c r="AH345" s="14" t="s">
        <v>11</v>
      </c>
      <c r="AI345" s="14" t="s">
        <v>11</v>
      </c>
      <c r="AJ345" s="14" t="s">
        <v>11</v>
      </c>
      <c r="AK345" s="14" t="s">
        <v>11</v>
      </c>
      <c r="AL345" s="14" t="str">
        <f t="shared" si="200"/>
        <v>T</v>
      </c>
      <c r="AM345" s="14" t="str">
        <f t="shared" si="201"/>
        <v>T</v>
      </c>
      <c r="AN345" s="14" t="str">
        <f t="shared" si="202"/>
        <v/>
      </c>
      <c r="AO345" s="14" t="str">
        <f t="shared" si="203"/>
        <v/>
      </c>
      <c r="AP345" s="14" t="str">
        <f t="shared" si="204"/>
        <v/>
      </c>
      <c r="AQ345" s="14" t="str">
        <f t="shared" si="185"/>
        <v/>
      </c>
      <c r="AR345" s="15">
        <f t="shared" si="205"/>
        <v>0</v>
      </c>
    </row>
    <row r="346" spans="2:44" x14ac:dyDescent="0.2">
      <c r="B346" s="16"/>
      <c r="C346" s="15" t="s">
        <v>53</v>
      </c>
      <c r="D346" s="30" t="str">
        <f t="shared" si="186"/>
        <v/>
      </c>
      <c r="E346" s="14" t="str">
        <f t="shared" si="187"/>
        <v/>
      </c>
      <c r="F346" s="14" t="str">
        <f t="shared" si="188"/>
        <v/>
      </c>
      <c r="G346" s="14" t="str">
        <f t="shared" si="189"/>
        <v/>
      </c>
      <c r="H346" s="14" t="str">
        <f t="shared" si="190"/>
        <v/>
      </c>
      <c r="I346" s="14" t="str">
        <f t="shared" si="191"/>
        <v/>
      </c>
      <c r="J346" s="14" t="str">
        <f t="shared" si="192"/>
        <v/>
      </c>
      <c r="K346" s="14" t="str">
        <f t="shared" si="193"/>
        <v/>
      </c>
      <c r="L346" s="14" t="str">
        <f t="shared" si="194"/>
        <v/>
      </c>
      <c r="M346" s="14" t="str">
        <f t="shared" si="195"/>
        <v/>
      </c>
      <c r="N346" s="14" t="str">
        <f t="shared" si="196"/>
        <v/>
      </c>
      <c r="O346" s="14" t="s">
        <v>11</v>
      </c>
      <c r="P346" s="14" t="s">
        <v>11</v>
      </c>
      <c r="Q346" s="14" t="s">
        <v>11</v>
      </c>
      <c r="R346" s="14" t="s">
        <v>13</v>
      </c>
      <c r="S346" s="14" t="s">
        <v>11</v>
      </c>
      <c r="T346" s="14" t="s">
        <v>11</v>
      </c>
      <c r="U346" s="14" t="s">
        <v>11</v>
      </c>
      <c r="V346" s="14" t="s">
        <v>11</v>
      </c>
      <c r="W346" s="14" t="s">
        <v>11</v>
      </c>
      <c r="X346" s="14" t="s">
        <v>11</v>
      </c>
      <c r="Y346" s="14" t="str">
        <f t="shared" si="197"/>
        <v/>
      </c>
      <c r="Z346" s="14" t="str">
        <f t="shared" si="198"/>
        <v/>
      </c>
      <c r="AA346" s="15">
        <f t="shared" si="199"/>
        <v>0</v>
      </c>
      <c r="AB346" s="14" t="s">
        <v>11</v>
      </c>
      <c r="AC346" s="14" t="s">
        <v>11</v>
      </c>
      <c r="AD346" s="14" t="s">
        <v>11</v>
      </c>
      <c r="AE346" s="14" t="s">
        <v>11</v>
      </c>
      <c r="AF346" s="14" t="s">
        <v>13</v>
      </c>
      <c r="AG346" s="14" t="s">
        <v>11</v>
      </c>
      <c r="AH346" s="14" t="s">
        <v>11</v>
      </c>
      <c r="AI346" s="14" t="s">
        <v>11</v>
      </c>
      <c r="AJ346" s="14" t="s">
        <v>11</v>
      </c>
      <c r="AK346" s="14" t="s">
        <v>11</v>
      </c>
      <c r="AL346" s="14" t="str">
        <f t="shared" si="200"/>
        <v>T</v>
      </c>
      <c r="AM346" s="14" t="str">
        <f t="shared" si="201"/>
        <v>T</v>
      </c>
      <c r="AN346" s="14" t="str">
        <f t="shared" si="202"/>
        <v/>
      </c>
      <c r="AO346" s="14" t="str">
        <f t="shared" si="203"/>
        <v/>
      </c>
      <c r="AP346" s="14" t="str">
        <f t="shared" si="204"/>
        <v/>
      </c>
      <c r="AQ346" s="14" t="str">
        <f t="shared" si="185"/>
        <v/>
      </c>
      <c r="AR346" s="15">
        <f t="shared" si="205"/>
        <v>0</v>
      </c>
    </row>
    <row r="347" spans="2:44" x14ac:dyDescent="0.2">
      <c r="B347" s="16"/>
      <c r="C347" s="15" t="s">
        <v>53</v>
      </c>
      <c r="D347" s="30" t="str">
        <f t="shared" si="186"/>
        <v/>
      </c>
      <c r="E347" s="14" t="str">
        <f t="shared" si="187"/>
        <v/>
      </c>
      <c r="F347" s="14" t="str">
        <f t="shared" si="188"/>
        <v/>
      </c>
      <c r="G347" s="14" t="str">
        <f t="shared" si="189"/>
        <v/>
      </c>
      <c r="H347" s="14" t="str">
        <f t="shared" si="190"/>
        <v/>
      </c>
      <c r="I347" s="14" t="str">
        <f t="shared" si="191"/>
        <v/>
      </c>
      <c r="J347" s="14" t="str">
        <f t="shared" si="192"/>
        <v/>
      </c>
      <c r="K347" s="14" t="str">
        <f t="shared" si="193"/>
        <v/>
      </c>
      <c r="L347" s="14" t="str">
        <f t="shared" si="194"/>
        <v/>
      </c>
      <c r="M347" s="14" t="str">
        <f t="shared" si="195"/>
        <v/>
      </c>
      <c r="N347" s="14" t="str">
        <f t="shared" si="196"/>
        <v/>
      </c>
      <c r="O347" s="14" t="s">
        <v>11</v>
      </c>
      <c r="P347" s="14" t="s">
        <v>11</v>
      </c>
      <c r="Q347" s="14" t="s">
        <v>11</v>
      </c>
      <c r="R347" s="14" t="s">
        <v>13</v>
      </c>
      <c r="S347" s="14" t="s">
        <v>11</v>
      </c>
      <c r="T347" s="14" t="s">
        <v>11</v>
      </c>
      <c r="U347" s="14" t="s">
        <v>11</v>
      </c>
      <c r="V347" s="14" t="s">
        <v>11</v>
      </c>
      <c r="W347" s="14" t="s">
        <v>11</v>
      </c>
      <c r="X347" s="14" t="s">
        <v>11</v>
      </c>
      <c r="Y347" s="14" t="str">
        <f t="shared" si="197"/>
        <v/>
      </c>
      <c r="Z347" s="14" t="str">
        <f t="shared" si="198"/>
        <v/>
      </c>
      <c r="AA347" s="15">
        <f t="shared" si="199"/>
        <v>0</v>
      </c>
      <c r="AB347" s="14" t="s">
        <v>11</v>
      </c>
      <c r="AC347" s="14" t="s">
        <v>11</v>
      </c>
      <c r="AD347" s="14" t="s">
        <v>11</v>
      </c>
      <c r="AE347" s="14" t="s">
        <v>11</v>
      </c>
      <c r="AF347" s="14" t="s">
        <v>13</v>
      </c>
      <c r="AG347" s="14" t="s">
        <v>11</v>
      </c>
      <c r="AH347" s="14" t="s">
        <v>11</v>
      </c>
      <c r="AI347" s="14" t="s">
        <v>11</v>
      </c>
      <c r="AJ347" s="14" t="s">
        <v>11</v>
      </c>
      <c r="AK347" s="14" t="s">
        <v>11</v>
      </c>
      <c r="AL347" s="14" t="str">
        <f t="shared" si="200"/>
        <v>T</v>
      </c>
      <c r="AM347" s="14" t="str">
        <f t="shared" si="201"/>
        <v>T</v>
      </c>
      <c r="AN347" s="14" t="str">
        <f t="shared" si="202"/>
        <v/>
      </c>
      <c r="AO347" s="14" t="str">
        <f t="shared" si="203"/>
        <v/>
      </c>
      <c r="AP347" s="14" t="str">
        <f t="shared" si="204"/>
        <v/>
      </c>
      <c r="AQ347" s="14" t="str">
        <f t="shared" si="185"/>
        <v/>
      </c>
      <c r="AR347" s="15">
        <f t="shared" si="205"/>
        <v>0</v>
      </c>
    </row>
    <row r="348" spans="2:44" x14ac:dyDescent="0.2">
      <c r="B348" s="16"/>
      <c r="C348" s="15" t="s">
        <v>53</v>
      </c>
      <c r="D348" s="30" t="str">
        <f t="shared" si="186"/>
        <v/>
      </c>
      <c r="E348" s="14" t="str">
        <f t="shared" si="187"/>
        <v/>
      </c>
      <c r="F348" s="14" t="str">
        <f t="shared" si="188"/>
        <v/>
      </c>
      <c r="G348" s="14" t="str">
        <f t="shared" si="189"/>
        <v/>
      </c>
      <c r="H348" s="14" t="str">
        <f t="shared" si="190"/>
        <v/>
      </c>
      <c r="I348" s="14" t="str">
        <f t="shared" si="191"/>
        <v/>
      </c>
      <c r="J348" s="14" t="str">
        <f t="shared" si="192"/>
        <v/>
      </c>
      <c r="K348" s="14" t="str">
        <f t="shared" si="193"/>
        <v/>
      </c>
      <c r="L348" s="14" t="str">
        <f t="shared" si="194"/>
        <v/>
      </c>
      <c r="M348" s="14" t="str">
        <f t="shared" si="195"/>
        <v/>
      </c>
      <c r="N348" s="14" t="str">
        <f t="shared" si="196"/>
        <v/>
      </c>
      <c r="O348" s="14" t="s">
        <v>11</v>
      </c>
      <c r="P348" s="14" t="s">
        <v>11</v>
      </c>
      <c r="Q348" s="14" t="s">
        <v>11</v>
      </c>
      <c r="R348" s="14" t="s">
        <v>13</v>
      </c>
      <c r="S348" s="14" t="s">
        <v>11</v>
      </c>
      <c r="T348" s="14" t="s">
        <v>11</v>
      </c>
      <c r="U348" s="14" t="s">
        <v>11</v>
      </c>
      <c r="V348" s="14" t="s">
        <v>11</v>
      </c>
      <c r="W348" s="14" t="s">
        <v>11</v>
      </c>
      <c r="X348" s="14" t="s">
        <v>11</v>
      </c>
      <c r="Y348" s="14" t="str">
        <f t="shared" si="197"/>
        <v/>
      </c>
      <c r="Z348" s="14" t="str">
        <f t="shared" si="198"/>
        <v/>
      </c>
      <c r="AA348" s="15">
        <f t="shared" si="199"/>
        <v>0</v>
      </c>
      <c r="AB348" s="14" t="s">
        <v>11</v>
      </c>
      <c r="AC348" s="14" t="s">
        <v>11</v>
      </c>
      <c r="AD348" s="14" t="s">
        <v>11</v>
      </c>
      <c r="AE348" s="14" t="s">
        <v>11</v>
      </c>
      <c r="AF348" s="14" t="s">
        <v>13</v>
      </c>
      <c r="AG348" s="14" t="s">
        <v>11</v>
      </c>
      <c r="AH348" s="14" t="s">
        <v>11</v>
      </c>
      <c r="AI348" s="14" t="s">
        <v>11</v>
      </c>
      <c r="AJ348" s="14" t="s">
        <v>11</v>
      </c>
      <c r="AK348" s="14" t="s">
        <v>11</v>
      </c>
      <c r="AL348" s="14" t="str">
        <f t="shared" si="200"/>
        <v>T</v>
      </c>
      <c r="AM348" s="14" t="str">
        <f t="shared" si="201"/>
        <v>T</v>
      </c>
      <c r="AN348" s="14" t="str">
        <f t="shared" si="202"/>
        <v/>
      </c>
      <c r="AO348" s="14" t="str">
        <f t="shared" si="203"/>
        <v/>
      </c>
      <c r="AP348" s="14" t="str">
        <f t="shared" si="204"/>
        <v/>
      </c>
      <c r="AQ348" s="14" t="str">
        <f t="shared" si="185"/>
        <v/>
      </c>
      <c r="AR348" s="15">
        <f t="shared" si="205"/>
        <v>0</v>
      </c>
    </row>
    <row r="349" spans="2:44" x14ac:dyDescent="0.2">
      <c r="B349" s="16"/>
      <c r="C349" s="15" t="s">
        <v>53</v>
      </c>
      <c r="D349" s="30" t="str">
        <f t="shared" si="186"/>
        <v/>
      </c>
      <c r="E349" s="14" t="str">
        <f t="shared" si="187"/>
        <v/>
      </c>
      <c r="F349" s="14" t="str">
        <f t="shared" si="188"/>
        <v/>
      </c>
      <c r="G349" s="14" t="str">
        <f t="shared" si="189"/>
        <v/>
      </c>
      <c r="H349" s="14" t="str">
        <f t="shared" si="190"/>
        <v/>
      </c>
      <c r="I349" s="14" t="str">
        <f t="shared" si="191"/>
        <v/>
      </c>
      <c r="J349" s="14" t="str">
        <f t="shared" si="192"/>
        <v/>
      </c>
      <c r="K349" s="14" t="str">
        <f t="shared" si="193"/>
        <v/>
      </c>
      <c r="L349" s="14" t="str">
        <f t="shared" si="194"/>
        <v/>
      </c>
      <c r="M349" s="14" t="str">
        <f t="shared" si="195"/>
        <v/>
      </c>
      <c r="N349" s="14" t="str">
        <f t="shared" si="196"/>
        <v/>
      </c>
      <c r="O349" s="14" t="s">
        <v>11</v>
      </c>
      <c r="P349" s="14" t="s">
        <v>11</v>
      </c>
      <c r="Q349" s="14" t="s">
        <v>11</v>
      </c>
      <c r="R349" s="14" t="s">
        <v>13</v>
      </c>
      <c r="S349" s="14" t="s">
        <v>11</v>
      </c>
      <c r="T349" s="14" t="s">
        <v>11</v>
      </c>
      <c r="U349" s="14" t="s">
        <v>11</v>
      </c>
      <c r="V349" s="14" t="s">
        <v>11</v>
      </c>
      <c r="W349" s="14" t="s">
        <v>11</v>
      </c>
      <c r="X349" s="14" t="s">
        <v>11</v>
      </c>
      <c r="Y349" s="14" t="str">
        <f t="shared" si="197"/>
        <v/>
      </c>
      <c r="Z349" s="14" t="str">
        <f t="shared" si="198"/>
        <v/>
      </c>
      <c r="AA349" s="15">
        <f t="shared" si="199"/>
        <v>0</v>
      </c>
      <c r="AB349" s="14" t="s">
        <v>11</v>
      </c>
      <c r="AC349" s="14" t="s">
        <v>11</v>
      </c>
      <c r="AD349" s="14" t="s">
        <v>11</v>
      </c>
      <c r="AE349" s="14" t="s">
        <v>11</v>
      </c>
      <c r="AF349" s="14" t="s">
        <v>13</v>
      </c>
      <c r="AG349" s="14" t="s">
        <v>11</v>
      </c>
      <c r="AH349" s="14" t="s">
        <v>11</v>
      </c>
      <c r="AI349" s="14" t="s">
        <v>11</v>
      </c>
      <c r="AJ349" s="14" t="s">
        <v>11</v>
      </c>
      <c r="AK349" s="14" t="s">
        <v>11</v>
      </c>
      <c r="AL349" s="14" t="str">
        <f t="shared" si="200"/>
        <v>T</v>
      </c>
      <c r="AM349" s="14" t="str">
        <f t="shared" si="201"/>
        <v>T</v>
      </c>
      <c r="AN349" s="14" t="str">
        <f t="shared" si="202"/>
        <v/>
      </c>
      <c r="AO349" s="14" t="str">
        <f t="shared" si="203"/>
        <v/>
      </c>
      <c r="AP349" s="14" t="str">
        <f t="shared" si="204"/>
        <v/>
      </c>
      <c r="AQ349" s="14" t="str">
        <f t="shared" si="185"/>
        <v/>
      </c>
      <c r="AR349" s="15">
        <f t="shared" si="205"/>
        <v>0</v>
      </c>
    </row>
    <row r="350" spans="2:44" x14ac:dyDescent="0.2">
      <c r="B350" s="16"/>
      <c r="C350" s="15" t="s">
        <v>53</v>
      </c>
      <c r="D350" s="30" t="str">
        <f t="shared" si="186"/>
        <v/>
      </c>
      <c r="E350" s="14" t="str">
        <f t="shared" si="187"/>
        <v/>
      </c>
      <c r="F350" s="14" t="str">
        <f t="shared" si="188"/>
        <v/>
      </c>
      <c r="G350" s="14" t="str">
        <f t="shared" si="189"/>
        <v/>
      </c>
      <c r="H350" s="14" t="str">
        <f t="shared" si="190"/>
        <v/>
      </c>
      <c r="I350" s="14" t="str">
        <f t="shared" si="191"/>
        <v/>
      </c>
      <c r="J350" s="14" t="str">
        <f t="shared" si="192"/>
        <v/>
      </c>
      <c r="K350" s="14" t="str">
        <f t="shared" si="193"/>
        <v/>
      </c>
      <c r="L350" s="14" t="str">
        <f t="shared" si="194"/>
        <v/>
      </c>
      <c r="M350" s="14" t="str">
        <f t="shared" si="195"/>
        <v/>
      </c>
      <c r="N350" s="14" t="str">
        <f t="shared" si="196"/>
        <v/>
      </c>
      <c r="O350" s="14" t="s">
        <v>11</v>
      </c>
      <c r="P350" s="14" t="s">
        <v>11</v>
      </c>
      <c r="Q350" s="14" t="s">
        <v>11</v>
      </c>
      <c r="R350" s="14" t="s">
        <v>13</v>
      </c>
      <c r="S350" s="14" t="s">
        <v>11</v>
      </c>
      <c r="T350" s="14" t="s">
        <v>11</v>
      </c>
      <c r="U350" s="14" t="s">
        <v>11</v>
      </c>
      <c r="V350" s="14" t="s">
        <v>11</v>
      </c>
      <c r="W350" s="14" t="s">
        <v>11</v>
      </c>
      <c r="X350" s="14" t="s">
        <v>11</v>
      </c>
      <c r="Y350" s="14" t="str">
        <f t="shared" si="197"/>
        <v/>
      </c>
      <c r="Z350" s="14" t="str">
        <f t="shared" si="198"/>
        <v/>
      </c>
      <c r="AA350" s="15">
        <f t="shared" si="199"/>
        <v>0</v>
      </c>
      <c r="AB350" s="14" t="s">
        <v>11</v>
      </c>
      <c r="AC350" s="14" t="s">
        <v>11</v>
      </c>
      <c r="AD350" s="14" t="s">
        <v>11</v>
      </c>
      <c r="AE350" s="14" t="s">
        <v>11</v>
      </c>
      <c r="AF350" s="14" t="s">
        <v>13</v>
      </c>
      <c r="AG350" s="14" t="s">
        <v>11</v>
      </c>
      <c r="AH350" s="14" t="s">
        <v>11</v>
      </c>
      <c r="AI350" s="14" t="s">
        <v>11</v>
      </c>
      <c r="AJ350" s="14" t="s">
        <v>11</v>
      </c>
      <c r="AK350" s="14" t="s">
        <v>11</v>
      </c>
      <c r="AL350" s="14" t="str">
        <f t="shared" si="200"/>
        <v>T</v>
      </c>
      <c r="AM350" s="14" t="str">
        <f t="shared" si="201"/>
        <v>T</v>
      </c>
      <c r="AN350" s="14" t="str">
        <f t="shared" si="202"/>
        <v/>
      </c>
      <c r="AO350" s="14" t="str">
        <f t="shared" si="203"/>
        <v/>
      </c>
      <c r="AP350" s="14" t="str">
        <f t="shared" si="204"/>
        <v/>
      </c>
      <c r="AQ350" s="14" t="str">
        <f t="shared" si="185"/>
        <v/>
      </c>
      <c r="AR350" s="15">
        <f t="shared" si="205"/>
        <v>0</v>
      </c>
    </row>
    <row r="351" spans="2:44" x14ac:dyDescent="0.2">
      <c r="B351" s="16"/>
      <c r="C351" s="15" t="s">
        <v>53</v>
      </c>
      <c r="D351" s="30" t="str">
        <f t="shared" si="186"/>
        <v/>
      </c>
      <c r="E351" s="14" t="str">
        <f t="shared" si="187"/>
        <v/>
      </c>
      <c r="F351" s="14" t="str">
        <f t="shared" si="188"/>
        <v/>
      </c>
      <c r="G351" s="14" t="str">
        <f t="shared" si="189"/>
        <v/>
      </c>
      <c r="H351" s="14" t="str">
        <f t="shared" si="190"/>
        <v/>
      </c>
      <c r="I351" s="14" t="str">
        <f t="shared" si="191"/>
        <v/>
      </c>
      <c r="J351" s="14" t="str">
        <f t="shared" si="192"/>
        <v/>
      </c>
      <c r="K351" s="14" t="str">
        <f t="shared" si="193"/>
        <v/>
      </c>
      <c r="L351" s="14" t="str">
        <f t="shared" si="194"/>
        <v/>
      </c>
      <c r="M351" s="14" t="str">
        <f t="shared" si="195"/>
        <v/>
      </c>
      <c r="N351" s="14" t="str">
        <f t="shared" si="196"/>
        <v/>
      </c>
      <c r="O351" s="14" t="s">
        <v>11</v>
      </c>
      <c r="P351" s="14" t="s">
        <v>11</v>
      </c>
      <c r="Q351" s="14" t="s">
        <v>11</v>
      </c>
      <c r="R351" s="14" t="s">
        <v>13</v>
      </c>
      <c r="S351" s="14" t="s">
        <v>11</v>
      </c>
      <c r="T351" s="14" t="s">
        <v>11</v>
      </c>
      <c r="U351" s="14" t="s">
        <v>11</v>
      </c>
      <c r="V351" s="14" t="s">
        <v>11</v>
      </c>
      <c r="W351" s="14" t="s">
        <v>11</v>
      </c>
      <c r="X351" s="14" t="s">
        <v>11</v>
      </c>
      <c r="Y351" s="14" t="str">
        <f t="shared" si="197"/>
        <v/>
      </c>
      <c r="Z351" s="14" t="str">
        <f t="shared" si="198"/>
        <v/>
      </c>
      <c r="AA351" s="15">
        <f t="shared" si="199"/>
        <v>0</v>
      </c>
      <c r="AB351" s="14" t="s">
        <v>11</v>
      </c>
      <c r="AC351" s="14" t="s">
        <v>11</v>
      </c>
      <c r="AD351" s="14" t="s">
        <v>11</v>
      </c>
      <c r="AE351" s="14" t="s">
        <v>11</v>
      </c>
      <c r="AF351" s="14" t="s">
        <v>13</v>
      </c>
      <c r="AG351" s="14" t="s">
        <v>11</v>
      </c>
      <c r="AH351" s="14" t="s">
        <v>11</v>
      </c>
      <c r="AI351" s="14" t="s">
        <v>11</v>
      </c>
      <c r="AJ351" s="14" t="s">
        <v>11</v>
      </c>
      <c r="AK351" s="14" t="s">
        <v>11</v>
      </c>
      <c r="AL351" s="14" t="str">
        <f t="shared" si="200"/>
        <v>T</v>
      </c>
      <c r="AM351" s="14" t="str">
        <f t="shared" si="201"/>
        <v>T</v>
      </c>
      <c r="AN351" s="14" t="str">
        <f t="shared" si="202"/>
        <v/>
      </c>
      <c r="AO351" s="14" t="str">
        <f t="shared" si="203"/>
        <v/>
      </c>
      <c r="AP351" s="14" t="str">
        <f t="shared" si="204"/>
        <v/>
      </c>
      <c r="AQ351" s="14" t="str">
        <f t="shared" si="185"/>
        <v/>
      </c>
      <c r="AR351" s="15">
        <f t="shared" si="205"/>
        <v>0</v>
      </c>
    </row>
    <row r="352" spans="2:44" x14ac:dyDescent="0.2">
      <c r="B352" s="16"/>
      <c r="C352" s="15" t="s">
        <v>53</v>
      </c>
      <c r="D352" s="30" t="str">
        <f t="shared" si="186"/>
        <v/>
      </c>
      <c r="E352" s="14" t="str">
        <f t="shared" si="187"/>
        <v/>
      </c>
      <c r="F352" s="14" t="str">
        <f t="shared" si="188"/>
        <v/>
      </c>
      <c r="G352" s="14" t="str">
        <f t="shared" si="189"/>
        <v/>
      </c>
      <c r="H352" s="14" t="str">
        <f t="shared" si="190"/>
        <v/>
      </c>
      <c r="I352" s="14" t="str">
        <f t="shared" si="191"/>
        <v/>
      </c>
      <c r="J352" s="14" t="str">
        <f t="shared" si="192"/>
        <v/>
      </c>
      <c r="K352" s="14" t="str">
        <f t="shared" si="193"/>
        <v/>
      </c>
      <c r="L352" s="14" t="str">
        <f t="shared" si="194"/>
        <v/>
      </c>
      <c r="M352" s="14" t="str">
        <f t="shared" si="195"/>
        <v/>
      </c>
      <c r="N352" s="14" t="str">
        <f t="shared" si="196"/>
        <v/>
      </c>
      <c r="O352" s="14" t="s">
        <v>11</v>
      </c>
      <c r="P352" s="14" t="s">
        <v>11</v>
      </c>
      <c r="Q352" s="14" t="s">
        <v>11</v>
      </c>
      <c r="R352" s="14" t="s">
        <v>13</v>
      </c>
      <c r="S352" s="14" t="s">
        <v>11</v>
      </c>
      <c r="T352" s="14" t="s">
        <v>11</v>
      </c>
      <c r="U352" s="14" t="s">
        <v>11</v>
      </c>
      <c r="V352" s="14" t="s">
        <v>11</v>
      </c>
      <c r="W352" s="14" t="s">
        <v>11</v>
      </c>
      <c r="X352" s="14" t="s">
        <v>11</v>
      </c>
      <c r="Y352" s="14" t="str">
        <f t="shared" si="197"/>
        <v/>
      </c>
      <c r="Z352" s="14" t="str">
        <f t="shared" si="198"/>
        <v/>
      </c>
      <c r="AA352" s="15">
        <f t="shared" si="199"/>
        <v>0</v>
      </c>
      <c r="AB352" s="14" t="s">
        <v>11</v>
      </c>
      <c r="AC352" s="14" t="s">
        <v>11</v>
      </c>
      <c r="AD352" s="14" t="s">
        <v>11</v>
      </c>
      <c r="AE352" s="14" t="s">
        <v>11</v>
      </c>
      <c r="AF352" s="14" t="s">
        <v>13</v>
      </c>
      <c r="AG352" s="14" t="s">
        <v>11</v>
      </c>
      <c r="AH352" s="14" t="s">
        <v>11</v>
      </c>
      <c r="AI352" s="14" t="s">
        <v>11</v>
      </c>
      <c r="AJ352" s="14" t="s">
        <v>11</v>
      </c>
      <c r="AK352" s="14" t="s">
        <v>11</v>
      </c>
      <c r="AL352" s="14" t="str">
        <f t="shared" si="200"/>
        <v>T</v>
      </c>
      <c r="AM352" s="14" t="str">
        <f t="shared" si="201"/>
        <v>T</v>
      </c>
      <c r="AN352" s="14" t="str">
        <f t="shared" si="202"/>
        <v/>
      </c>
      <c r="AO352" s="14" t="str">
        <f t="shared" si="203"/>
        <v/>
      </c>
      <c r="AP352" s="14" t="str">
        <f t="shared" si="204"/>
        <v/>
      </c>
      <c r="AQ352" s="14" t="str">
        <f t="shared" si="185"/>
        <v/>
      </c>
      <c r="AR352" s="15">
        <f t="shared" si="205"/>
        <v>0</v>
      </c>
    </row>
    <row r="353" spans="2:44" x14ac:dyDescent="0.2">
      <c r="B353" s="16"/>
      <c r="C353" s="15" t="s">
        <v>53</v>
      </c>
      <c r="D353" s="30" t="str">
        <f t="shared" si="186"/>
        <v/>
      </c>
      <c r="E353" s="14" t="str">
        <f t="shared" si="187"/>
        <v/>
      </c>
      <c r="F353" s="14" t="str">
        <f t="shared" si="188"/>
        <v/>
      </c>
      <c r="G353" s="14" t="str">
        <f t="shared" si="189"/>
        <v/>
      </c>
      <c r="H353" s="14" t="str">
        <f t="shared" si="190"/>
        <v/>
      </c>
      <c r="I353" s="14" t="str">
        <f t="shared" si="191"/>
        <v/>
      </c>
      <c r="J353" s="14" t="str">
        <f t="shared" si="192"/>
        <v/>
      </c>
      <c r="K353" s="14" t="str">
        <f t="shared" si="193"/>
        <v/>
      </c>
      <c r="L353" s="14" t="str">
        <f t="shared" si="194"/>
        <v/>
      </c>
      <c r="M353" s="14" t="str">
        <f t="shared" si="195"/>
        <v/>
      </c>
      <c r="N353" s="14" t="str">
        <f t="shared" si="196"/>
        <v/>
      </c>
      <c r="O353" s="14" t="s">
        <v>11</v>
      </c>
      <c r="P353" s="14" t="s">
        <v>11</v>
      </c>
      <c r="Q353" s="14" t="s">
        <v>11</v>
      </c>
      <c r="R353" s="14" t="s">
        <v>13</v>
      </c>
      <c r="S353" s="14" t="s">
        <v>11</v>
      </c>
      <c r="T353" s="14" t="s">
        <v>11</v>
      </c>
      <c r="U353" s="14" t="s">
        <v>11</v>
      </c>
      <c r="V353" s="14" t="s">
        <v>11</v>
      </c>
      <c r="W353" s="14" t="s">
        <v>11</v>
      </c>
      <c r="X353" s="14" t="s">
        <v>11</v>
      </c>
      <c r="Y353" s="14" t="str">
        <f t="shared" si="197"/>
        <v/>
      </c>
      <c r="Z353" s="14" t="str">
        <f t="shared" si="198"/>
        <v/>
      </c>
      <c r="AA353" s="15">
        <f t="shared" si="199"/>
        <v>0</v>
      </c>
      <c r="AB353" s="14" t="s">
        <v>11</v>
      </c>
      <c r="AC353" s="14" t="s">
        <v>11</v>
      </c>
      <c r="AD353" s="14" t="s">
        <v>11</v>
      </c>
      <c r="AE353" s="14" t="s">
        <v>11</v>
      </c>
      <c r="AF353" s="14" t="s">
        <v>13</v>
      </c>
      <c r="AG353" s="14" t="s">
        <v>11</v>
      </c>
      <c r="AH353" s="14" t="s">
        <v>11</v>
      </c>
      <c r="AI353" s="14" t="s">
        <v>11</v>
      </c>
      <c r="AJ353" s="14" t="s">
        <v>11</v>
      </c>
      <c r="AK353" s="14" t="s">
        <v>11</v>
      </c>
      <c r="AL353" s="14" t="str">
        <f t="shared" si="200"/>
        <v>T</v>
      </c>
      <c r="AM353" s="14" t="str">
        <f t="shared" si="201"/>
        <v>T</v>
      </c>
      <c r="AN353" s="14" t="str">
        <f t="shared" si="202"/>
        <v/>
      </c>
      <c r="AO353" s="14" t="str">
        <f t="shared" si="203"/>
        <v/>
      </c>
      <c r="AP353" s="14" t="str">
        <f t="shared" si="204"/>
        <v/>
      </c>
      <c r="AQ353" s="14" t="str">
        <f t="shared" si="185"/>
        <v/>
      </c>
      <c r="AR353" s="15">
        <f t="shared" si="205"/>
        <v>0</v>
      </c>
    </row>
    <row r="354" spans="2:44" x14ac:dyDescent="0.2">
      <c r="B354" s="16"/>
      <c r="C354" s="15" t="s">
        <v>53</v>
      </c>
      <c r="D354" s="30" t="str">
        <f t="shared" si="186"/>
        <v/>
      </c>
      <c r="E354" s="14" t="str">
        <f t="shared" si="187"/>
        <v/>
      </c>
      <c r="F354" s="14" t="str">
        <f t="shared" si="188"/>
        <v/>
      </c>
      <c r="G354" s="14" t="str">
        <f t="shared" si="189"/>
        <v/>
      </c>
      <c r="H354" s="14" t="str">
        <f t="shared" si="190"/>
        <v/>
      </c>
      <c r="I354" s="14" t="str">
        <f t="shared" si="191"/>
        <v/>
      </c>
      <c r="J354" s="14" t="str">
        <f t="shared" si="192"/>
        <v/>
      </c>
      <c r="K354" s="14" t="str">
        <f t="shared" si="193"/>
        <v/>
      </c>
      <c r="L354" s="14" t="str">
        <f t="shared" si="194"/>
        <v/>
      </c>
      <c r="M354" s="14" t="str">
        <f t="shared" si="195"/>
        <v/>
      </c>
      <c r="N354" s="14" t="str">
        <f t="shared" si="196"/>
        <v/>
      </c>
      <c r="O354" s="14" t="s">
        <v>11</v>
      </c>
      <c r="P354" s="14" t="s">
        <v>11</v>
      </c>
      <c r="Q354" s="14" t="s">
        <v>11</v>
      </c>
      <c r="R354" s="14" t="s">
        <v>13</v>
      </c>
      <c r="S354" s="14" t="s">
        <v>11</v>
      </c>
      <c r="T354" s="14" t="s">
        <v>11</v>
      </c>
      <c r="U354" s="14" t="s">
        <v>11</v>
      </c>
      <c r="V354" s="14" t="s">
        <v>11</v>
      </c>
      <c r="W354" s="14" t="s">
        <v>11</v>
      </c>
      <c r="X354" s="14" t="s">
        <v>11</v>
      </c>
      <c r="Y354" s="14" t="str">
        <f t="shared" si="197"/>
        <v/>
      </c>
      <c r="Z354" s="14" t="str">
        <f t="shared" si="198"/>
        <v/>
      </c>
      <c r="AA354" s="15">
        <f t="shared" si="199"/>
        <v>0</v>
      </c>
      <c r="AB354" s="14" t="s">
        <v>11</v>
      </c>
      <c r="AC354" s="14" t="s">
        <v>11</v>
      </c>
      <c r="AD354" s="14" t="s">
        <v>11</v>
      </c>
      <c r="AE354" s="14" t="s">
        <v>11</v>
      </c>
      <c r="AF354" s="14" t="s">
        <v>13</v>
      </c>
      <c r="AG354" s="14" t="s">
        <v>11</v>
      </c>
      <c r="AH354" s="14" t="s">
        <v>11</v>
      </c>
      <c r="AI354" s="14" t="s">
        <v>11</v>
      </c>
      <c r="AJ354" s="14" t="s">
        <v>11</v>
      </c>
      <c r="AK354" s="14" t="s">
        <v>11</v>
      </c>
      <c r="AL354" s="14" t="str">
        <f t="shared" si="200"/>
        <v>T</v>
      </c>
      <c r="AM354" s="14" t="str">
        <f t="shared" si="201"/>
        <v>T</v>
      </c>
      <c r="AN354" s="14" t="str">
        <f t="shared" si="202"/>
        <v/>
      </c>
      <c r="AO354" s="14" t="str">
        <f t="shared" si="203"/>
        <v/>
      </c>
      <c r="AP354" s="14" t="str">
        <f t="shared" si="204"/>
        <v/>
      </c>
      <c r="AQ354" s="14" t="str">
        <f t="shared" si="185"/>
        <v/>
      </c>
      <c r="AR354" s="15">
        <f t="shared" si="205"/>
        <v>0</v>
      </c>
    </row>
    <row r="355" spans="2:44" x14ac:dyDescent="0.2">
      <c r="B355" s="16"/>
      <c r="C355" s="15" t="s">
        <v>53</v>
      </c>
      <c r="D355" s="30" t="str">
        <f t="shared" si="186"/>
        <v/>
      </c>
      <c r="E355" s="14" t="str">
        <f t="shared" si="187"/>
        <v/>
      </c>
      <c r="F355" s="14" t="str">
        <f t="shared" si="188"/>
        <v/>
      </c>
      <c r="G355" s="14" t="str">
        <f t="shared" si="189"/>
        <v/>
      </c>
      <c r="H355" s="14" t="str">
        <f t="shared" si="190"/>
        <v/>
      </c>
      <c r="I355" s="14" t="str">
        <f t="shared" si="191"/>
        <v/>
      </c>
      <c r="J355" s="14" t="str">
        <f t="shared" si="192"/>
        <v/>
      </c>
      <c r="K355" s="14" t="str">
        <f t="shared" si="193"/>
        <v/>
      </c>
      <c r="L355" s="14" t="str">
        <f t="shared" si="194"/>
        <v/>
      </c>
      <c r="M355" s="14" t="str">
        <f t="shared" si="195"/>
        <v/>
      </c>
      <c r="N355" s="14" t="str">
        <f t="shared" si="196"/>
        <v/>
      </c>
      <c r="O355" s="14" t="s">
        <v>11</v>
      </c>
      <c r="P355" s="14" t="s">
        <v>11</v>
      </c>
      <c r="Q355" s="14" t="s">
        <v>11</v>
      </c>
      <c r="R355" s="14" t="s">
        <v>13</v>
      </c>
      <c r="S355" s="14" t="s">
        <v>11</v>
      </c>
      <c r="T355" s="14" t="s">
        <v>11</v>
      </c>
      <c r="U355" s="14" t="s">
        <v>11</v>
      </c>
      <c r="V355" s="14" t="s">
        <v>11</v>
      </c>
      <c r="W355" s="14" t="s">
        <v>11</v>
      </c>
      <c r="X355" s="14" t="s">
        <v>11</v>
      </c>
      <c r="Y355" s="14" t="str">
        <f t="shared" si="197"/>
        <v/>
      </c>
      <c r="Z355" s="14" t="str">
        <f t="shared" si="198"/>
        <v/>
      </c>
      <c r="AA355" s="15">
        <f t="shared" si="199"/>
        <v>0</v>
      </c>
      <c r="AB355" s="14" t="s">
        <v>11</v>
      </c>
      <c r="AC355" s="14" t="s">
        <v>11</v>
      </c>
      <c r="AD355" s="14" t="s">
        <v>11</v>
      </c>
      <c r="AE355" s="14" t="s">
        <v>11</v>
      </c>
      <c r="AF355" s="14" t="s">
        <v>13</v>
      </c>
      <c r="AG355" s="14" t="s">
        <v>11</v>
      </c>
      <c r="AH355" s="14" t="s">
        <v>11</v>
      </c>
      <c r="AI355" s="14" t="s">
        <v>11</v>
      </c>
      <c r="AJ355" s="14" t="s">
        <v>11</v>
      </c>
      <c r="AK355" s="14" t="s">
        <v>11</v>
      </c>
      <c r="AL355" s="14" t="str">
        <f t="shared" si="200"/>
        <v>T</v>
      </c>
      <c r="AM355" s="14" t="str">
        <f t="shared" si="201"/>
        <v>T</v>
      </c>
      <c r="AN355" s="14" t="str">
        <f t="shared" si="202"/>
        <v/>
      </c>
      <c r="AO355" s="14" t="str">
        <f t="shared" si="203"/>
        <v/>
      </c>
      <c r="AP355" s="14" t="str">
        <f t="shared" si="204"/>
        <v/>
      </c>
      <c r="AQ355" s="14" t="str">
        <f t="shared" si="185"/>
        <v/>
      </c>
      <c r="AR355" s="15">
        <f t="shared" si="205"/>
        <v>0</v>
      </c>
    </row>
    <row r="356" spans="2:44" x14ac:dyDescent="0.2">
      <c r="B356" s="16"/>
      <c r="C356" s="15" t="s">
        <v>53</v>
      </c>
      <c r="D356" s="30" t="str">
        <f t="shared" si="186"/>
        <v/>
      </c>
      <c r="E356" s="14" t="str">
        <f t="shared" si="187"/>
        <v/>
      </c>
      <c r="F356" s="14" t="str">
        <f t="shared" si="188"/>
        <v/>
      </c>
      <c r="G356" s="14" t="str">
        <f t="shared" si="189"/>
        <v/>
      </c>
      <c r="H356" s="14" t="str">
        <f t="shared" si="190"/>
        <v/>
      </c>
      <c r="I356" s="14" t="str">
        <f t="shared" si="191"/>
        <v/>
      </c>
      <c r="J356" s="14" t="str">
        <f t="shared" si="192"/>
        <v/>
      </c>
      <c r="K356" s="14" t="str">
        <f t="shared" si="193"/>
        <v/>
      </c>
      <c r="L356" s="14" t="str">
        <f t="shared" si="194"/>
        <v/>
      </c>
      <c r="M356" s="14" t="str">
        <f t="shared" si="195"/>
        <v/>
      </c>
      <c r="N356" s="14" t="str">
        <f t="shared" si="196"/>
        <v/>
      </c>
      <c r="O356" s="14" t="s">
        <v>11</v>
      </c>
      <c r="P356" s="14" t="s">
        <v>11</v>
      </c>
      <c r="Q356" s="14" t="s">
        <v>11</v>
      </c>
      <c r="R356" s="14" t="s">
        <v>13</v>
      </c>
      <c r="S356" s="14" t="s">
        <v>11</v>
      </c>
      <c r="T356" s="14" t="s">
        <v>11</v>
      </c>
      <c r="U356" s="14" t="s">
        <v>11</v>
      </c>
      <c r="V356" s="14" t="s">
        <v>11</v>
      </c>
      <c r="W356" s="14" t="s">
        <v>11</v>
      </c>
      <c r="X356" s="14" t="s">
        <v>11</v>
      </c>
      <c r="Y356" s="14" t="str">
        <f t="shared" si="197"/>
        <v/>
      </c>
      <c r="Z356" s="14" t="str">
        <f t="shared" si="198"/>
        <v/>
      </c>
      <c r="AA356" s="15">
        <f t="shared" si="199"/>
        <v>0</v>
      </c>
      <c r="AB356" s="14" t="s">
        <v>11</v>
      </c>
      <c r="AC356" s="14" t="s">
        <v>11</v>
      </c>
      <c r="AD356" s="14" t="s">
        <v>11</v>
      </c>
      <c r="AE356" s="14" t="s">
        <v>11</v>
      </c>
      <c r="AF356" s="14" t="s">
        <v>13</v>
      </c>
      <c r="AG356" s="14" t="s">
        <v>11</v>
      </c>
      <c r="AH356" s="14" t="s">
        <v>11</v>
      </c>
      <c r="AI356" s="14" t="s">
        <v>11</v>
      </c>
      <c r="AJ356" s="14" t="s">
        <v>11</v>
      </c>
      <c r="AK356" s="14" t="s">
        <v>11</v>
      </c>
      <c r="AL356" s="14" t="str">
        <f t="shared" si="200"/>
        <v>T</v>
      </c>
      <c r="AM356" s="14" t="str">
        <f t="shared" si="201"/>
        <v>T</v>
      </c>
      <c r="AN356" s="14" t="str">
        <f t="shared" si="202"/>
        <v/>
      </c>
      <c r="AO356" s="14" t="str">
        <f t="shared" si="203"/>
        <v/>
      </c>
      <c r="AP356" s="14" t="str">
        <f t="shared" si="204"/>
        <v/>
      </c>
      <c r="AQ356" s="14" t="str">
        <f t="shared" si="185"/>
        <v/>
      </c>
      <c r="AR356" s="15">
        <f t="shared" si="205"/>
        <v>0</v>
      </c>
    </row>
    <row r="357" spans="2:44" x14ac:dyDescent="0.2">
      <c r="B357" s="16"/>
      <c r="C357" s="15" t="s">
        <v>53</v>
      </c>
      <c r="D357" s="30" t="str">
        <f t="shared" si="186"/>
        <v/>
      </c>
      <c r="E357" s="14" t="str">
        <f t="shared" si="187"/>
        <v/>
      </c>
      <c r="F357" s="14" t="str">
        <f t="shared" si="188"/>
        <v/>
      </c>
      <c r="G357" s="14" t="str">
        <f t="shared" si="189"/>
        <v/>
      </c>
      <c r="H357" s="14" t="str">
        <f t="shared" si="190"/>
        <v/>
      </c>
      <c r="I357" s="14" t="str">
        <f t="shared" si="191"/>
        <v/>
      </c>
      <c r="J357" s="14" t="str">
        <f t="shared" si="192"/>
        <v/>
      </c>
      <c r="K357" s="14" t="str">
        <f t="shared" si="193"/>
        <v/>
      </c>
      <c r="L357" s="14" t="str">
        <f t="shared" si="194"/>
        <v/>
      </c>
      <c r="M357" s="14" t="str">
        <f t="shared" si="195"/>
        <v/>
      </c>
      <c r="N357" s="14" t="str">
        <f t="shared" si="196"/>
        <v/>
      </c>
      <c r="O357" s="14" t="s">
        <v>11</v>
      </c>
      <c r="P357" s="14" t="s">
        <v>11</v>
      </c>
      <c r="Q357" s="14" t="s">
        <v>11</v>
      </c>
      <c r="R357" s="14" t="s">
        <v>13</v>
      </c>
      <c r="S357" s="14" t="s">
        <v>11</v>
      </c>
      <c r="T357" s="14" t="s">
        <v>11</v>
      </c>
      <c r="U357" s="14" t="s">
        <v>11</v>
      </c>
      <c r="V357" s="14" t="s">
        <v>11</v>
      </c>
      <c r="W357" s="14" t="s">
        <v>11</v>
      </c>
      <c r="X357" s="14" t="s">
        <v>11</v>
      </c>
      <c r="Y357" s="14" t="str">
        <f t="shared" si="197"/>
        <v/>
      </c>
      <c r="Z357" s="14" t="str">
        <f t="shared" si="198"/>
        <v/>
      </c>
      <c r="AA357" s="15">
        <f t="shared" si="199"/>
        <v>0</v>
      </c>
      <c r="AB357" s="14" t="s">
        <v>11</v>
      </c>
      <c r="AC357" s="14" t="s">
        <v>11</v>
      </c>
      <c r="AD357" s="14" t="s">
        <v>11</v>
      </c>
      <c r="AE357" s="14" t="s">
        <v>11</v>
      </c>
      <c r="AF357" s="14" t="s">
        <v>13</v>
      </c>
      <c r="AG357" s="14" t="s">
        <v>11</v>
      </c>
      <c r="AH357" s="14" t="s">
        <v>11</v>
      </c>
      <c r="AI357" s="14" t="s">
        <v>11</v>
      </c>
      <c r="AJ357" s="14" t="s">
        <v>11</v>
      </c>
      <c r="AK357" s="14" t="s">
        <v>11</v>
      </c>
      <c r="AL357" s="14" t="str">
        <f t="shared" si="200"/>
        <v>T</v>
      </c>
      <c r="AM357" s="14" t="str">
        <f t="shared" si="201"/>
        <v>T</v>
      </c>
      <c r="AN357" s="14" t="str">
        <f t="shared" si="202"/>
        <v/>
      </c>
      <c r="AO357" s="14" t="str">
        <f t="shared" si="203"/>
        <v/>
      </c>
      <c r="AP357" s="14" t="str">
        <f t="shared" si="204"/>
        <v/>
      </c>
      <c r="AQ357" s="14" t="str">
        <f t="shared" si="185"/>
        <v/>
      </c>
      <c r="AR357" s="15">
        <f t="shared" si="205"/>
        <v>0</v>
      </c>
    </row>
    <row r="358" spans="2:44" x14ac:dyDescent="0.2">
      <c r="B358" s="16"/>
      <c r="C358" s="15" t="s">
        <v>53</v>
      </c>
      <c r="D358" s="30" t="str">
        <f t="shared" si="186"/>
        <v/>
      </c>
      <c r="E358" s="14" t="str">
        <f t="shared" si="187"/>
        <v/>
      </c>
      <c r="F358" s="14" t="str">
        <f t="shared" si="188"/>
        <v/>
      </c>
      <c r="G358" s="14" t="str">
        <f t="shared" si="189"/>
        <v/>
      </c>
      <c r="H358" s="14" t="str">
        <f t="shared" si="190"/>
        <v/>
      </c>
      <c r="I358" s="14" t="str">
        <f t="shared" si="191"/>
        <v/>
      </c>
      <c r="J358" s="14" t="str">
        <f t="shared" si="192"/>
        <v/>
      </c>
      <c r="K358" s="14" t="str">
        <f t="shared" si="193"/>
        <v/>
      </c>
      <c r="L358" s="14" t="str">
        <f t="shared" si="194"/>
        <v/>
      </c>
      <c r="M358" s="14" t="str">
        <f t="shared" si="195"/>
        <v/>
      </c>
      <c r="N358" s="14" t="str">
        <f t="shared" si="196"/>
        <v/>
      </c>
      <c r="O358" s="14" t="s">
        <v>11</v>
      </c>
      <c r="P358" s="14" t="s">
        <v>11</v>
      </c>
      <c r="Q358" s="14" t="s">
        <v>11</v>
      </c>
      <c r="R358" s="14" t="s">
        <v>13</v>
      </c>
      <c r="S358" s="14" t="s">
        <v>11</v>
      </c>
      <c r="T358" s="14" t="s">
        <v>11</v>
      </c>
      <c r="U358" s="14" t="s">
        <v>11</v>
      </c>
      <c r="V358" s="14" t="s">
        <v>11</v>
      </c>
      <c r="W358" s="14" t="s">
        <v>11</v>
      </c>
      <c r="X358" s="14" t="s">
        <v>11</v>
      </c>
      <c r="Y358" s="14" t="str">
        <f t="shared" si="197"/>
        <v/>
      </c>
      <c r="Z358" s="14" t="str">
        <f t="shared" si="198"/>
        <v/>
      </c>
      <c r="AA358" s="15">
        <f t="shared" si="199"/>
        <v>0</v>
      </c>
      <c r="AB358" s="14" t="s">
        <v>11</v>
      </c>
      <c r="AC358" s="14" t="s">
        <v>11</v>
      </c>
      <c r="AD358" s="14" t="s">
        <v>11</v>
      </c>
      <c r="AE358" s="14" t="s">
        <v>11</v>
      </c>
      <c r="AF358" s="14" t="s">
        <v>13</v>
      </c>
      <c r="AG358" s="14" t="s">
        <v>11</v>
      </c>
      <c r="AH358" s="14" t="s">
        <v>11</v>
      </c>
      <c r="AI358" s="14" t="s">
        <v>11</v>
      </c>
      <c r="AJ358" s="14" t="s">
        <v>11</v>
      </c>
      <c r="AK358" s="14" t="s">
        <v>11</v>
      </c>
      <c r="AL358" s="14" t="str">
        <f t="shared" si="200"/>
        <v>T</v>
      </c>
      <c r="AM358" s="14" t="str">
        <f t="shared" si="201"/>
        <v>T</v>
      </c>
      <c r="AN358" s="14" t="str">
        <f t="shared" si="202"/>
        <v/>
      </c>
      <c r="AO358" s="14" t="str">
        <f t="shared" si="203"/>
        <v/>
      </c>
      <c r="AP358" s="14" t="str">
        <f t="shared" si="204"/>
        <v/>
      </c>
      <c r="AQ358" s="14" t="str">
        <f t="shared" si="185"/>
        <v/>
      </c>
      <c r="AR358" s="15">
        <f t="shared" si="205"/>
        <v>0</v>
      </c>
    </row>
    <row r="359" spans="2:44" x14ac:dyDescent="0.2">
      <c r="B359" s="16"/>
      <c r="C359" s="15" t="s">
        <v>53</v>
      </c>
      <c r="D359" s="30" t="str">
        <f t="shared" si="186"/>
        <v/>
      </c>
      <c r="E359" s="14" t="str">
        <f t="shared" si="187"/>
        <v/>
      </c>
      <c r="F359" s="14" t="str">
        <f t="shared" si="188"/>
        <v/>
      </c>
      <c r="G359" s="14" t="str">
        <f t="shared" si="189"/>
        <v/>
      </c>
      <c r="H359" s="14" t="str">
        <f t="shared" si="190"/>
        <v/>
      </c>
      <c r="I359" s="14" t="str">
        <f t="shared" si="191"/>
        <v/>
      </c>
      <c r="J359" s="14" t="str">
        <f t="shared" si="192"/>
        <v/>
      </c>
      <c r="K359" s="14" t="str">
        <f t="shared" si="193"/>
        <v/>
      </c>
      <c r="L359" s="14" t="str">
        <f t="shared" si="194"/>
        <v/>
      </c>
      <c r="M359" s="14" t="str">
        <f t="shared" si="195"/>
        <v/>
      </c>
      <c r="N359" s="14" t="str">
        <f t="shared" si="196"/>
        <v/>
      </c>
      <c r="O359" s="14" t="s">
        <v>11</v>
      </c>
      <c r="P359" s="14" t="s">
        <v>11</v>
      </c>
      <c r="Q359" s="14" t="s">
        <v>11</v>
      </c>
      <c r="R359" s="14" t="s">
        <v>13</v>
      </c>
      <c r="S359" s="14" t="s">
        <v>11</v>
      </c>
      <c r="T359" s="14" t="s">
        <v>11</v>
      </c>
      <c r="U359" s="14" t="s">
        <v>11</v>
      </c>
      <c r="V359" s="14" t="s">
        <v>11</v>
      </c>
      <c r="W359" s="14" t="s">
        <v>11</v>
      </c>
      <c r="X359" s="14" t="s">
        <v>11</v>
      </c>
      <c r="Y359" s="14" t="str">
        <f t="shared" si="197"/>
        <v/>
      </c>
      <c r="Z359" s="14" t="str">
        <f t="shared" si="198"/>
        <v/>
      </c>
      <c r="AA359" s="15">
        <f t="shared" si="199"/>
        <v>0</v>
      </c>
      <c r="AB359" s="14" t="s">
        <v>11</v>
      </c>
      <c r="AC359" s="14" t="s">
        <v>11</v>
      </c>
      <c r="AD359" s="14" t="s">
        <v>11</v>
      </c>
      <c r="AE359" s="14" t="s">
        <v>11</v>
      </c>
      <c r="AF359" s="14" t="s">
        <v>13</v>
      </c>
      <c r="AG359" s="14" t="s">
        <v>11</v>
      </c>
      <c r="AH359" s="14" t="s">
        <v>11</v>
      </c>
      <c r="AI359" s="14" t="s">
        <v>11</v>
      </c>
      <c r="AJ359" s="14" t="s">
        <v>11</v>
      </c>
      <c r="AK359" s="14" t="s">
        <v>11</v>
      </c>
      <c r="AL359" s="14" t="str">
        <f t="shared" si="200"/>
        <v>T</v>
      </c>
      <c r="AM359" s="14" t="str">
        <f t="shared" si="201"/>
        <v>T</v>
      </c>
      <c r="AN359" s="14" t="str">
        <f t="shared" si="202"/>
        <v/>
      </c>
      <c r="AO359" s="14" t="str">
        <f t="shared" si="203"/>
        <v/>
      </c>
      <c r="AP359" s="14" t="str">
        <f t="shared" si="204"/>
        <v/>
      </c>
      <c r="AQ359" s="14" t="str">
        <f t="shared" si="185"/>
        <v/>
      </c>
      <c r="AR359" s="15">
        <f t="shared" si="205"/>
        <v>0</v>
      </c>
    </row>
    <row r="360" spans="2:44" x14ac:dyDescent="0.2">
      <c r="B360" s="16"/>
      <c r="C360" s="15" t="s">
        <v>53</v>
      </c>
      <c r="D360" s="30" t="str">
        <f t="shared" si="186"/>
        <v/>
      </c>
      <c r="E360" s="14" t="str">
        <f t="shared" si="187"/>
        <v/>
      </c>
      <c r="F360" s="14" t="str">
        <f t="shared" si="188"/>
        <v/>
      </c>
      <c r="G360" s="14" t="str">
        <f t="shared" si="189"/>
        <v/>
      </c>
      <c r="H360" s="14" t="str">
        <f t="shared" si="190"/>
        <v/>
      </c>
      <c r="I360" s="14" t="str">
        <f t="shared" si="191"/>
        <v/>
      </c>
      <c r="J360" s="14" t="str">
        <f t="shared" si="192"/>
        <v/>
      </c>
      <c r="K360" s="14" t="str">
        <f t="shared" si="193"/>
        <v/>
      </c>
      <c r="L360" s="14" t="str">
        <f t="shared" si="194"/>
        <v/>
      </c>
      <c r="M360" s="14" t="str">
        <f t="shared" si="195"/>
        <v/>
      </c>
      <c r="N360" s="14" t="str">
        <f t="shared" si="196"/>
        <v/>
      </c>
      <c r="O360" s="14" t="s">
        <v>11</v>
      </c>
      <c r="P360" s="14" t="s">
        <v>11</v>
      </c>
      <c r="Q360" s="14" t="s">
        <v>11</v>
      </c>
      <c r="R360" s="14" t="s">
        <v>13</v>
      </c>
      <c r="S360" s="14" t="s">
        <v>11</v>
      </c>
      <c r="T360" s="14" t="s">
        <v>11</v>
      </c>
      <c r="U360" s="14" t="s">
        <v>11</v>
      </c>
      <c r="V360" s="14" t="s">
        <v>11</v>
      </c>
      <c r="W360" s="14" t="s">
        <v>11</v>
      </c>
      <c r="X360" s="14" t="s">
        <v>11</v>
      </c>
      <c r="Y360" s="14" t="str">
        <f t="shared" si="197"/>
        <v/>
      </c>
      <c r="Z360" s="14" t="str">
        <f t="shared" si="198"/>
        <v/>
      </c>
      <c r="AA360" s="15">
        <f t="shared" si="199"/>
        <v>0</v>
      </c>
      <c r="AB360" s="14" t="s">
        <v>11</v>
      </c>
      <c r="AC360" s="14" t="s">
        <v>11</v>
      </c>
      <c r="AD360" s="14" t="s">
        <v>11</v>
      </c>
      <c r="AE360" s="14" t="s">
        <v>11</v>
      </c>
      <c r="AF360" s="14" t="s">
        <v>13</v>
      </c>
      <c r="AG360" s="14" t="s">
        <v>11</v>
      </c>
      <c r="AH360" s="14" t="s">
        <v>11</v>
      </c>
      <c r="AI360" s="14" t="s">
        <v>11</v>
      </c>
      <c r="AJ360" s="14" t="s">
        <v>11</v>
      </c>
      <c r="AK360" s="14" t="s">
        <v>11</v>
      </c>
      <c r="AL360" s="14" t="str">
        <f t="shared" si="200"/>
        <v>T</v>
      </c>
      <c r="AM360" s="14" t="str">
        <f t="shared" si="201"/>
        <v>T</v>
      </c>
      <c r="AN360" s="14" t="str">
        <f t="shared" si="202"/>
        <v/>
      </c>
      <c r="AO360" s="14" t="str">
        <f t="shared" si="203"/>
        <v/>
      </c>
      <c r="AP360" s="14" t="str">
        <f t="shared" si="204"/>
        <v/>
      </c>
      <c r="AQ360" s="14" t="str">
        <f t="shared" si="185"/>
        <v/>
      </c>
      <c r="AR360" s="15">
        <f t="shared" si="205"/>
        <v>0</v>
      </c>
    </row>
    <row r="361" spans="2:44" x14ac:dyDescent="0.2">
      <c r="B361" s="16"/>
      <c r="C361" s="15" t="s">
        <v>53</v>
      </c>
      <c r="D361" s="30" t="str">
        <f t="shared" si="186"/>
        <v/>
      </c>
      <c r="E361" s="14" t="str">
        <f t="shared" si="187"/>
        <v/>
      </c>
      <c r="F361" s="14" t="str">
        <f t="shared" si="188"/>
        <v/>
      </c>
      <c r="G361" s="14" t="str">
        <f t="shared" si="189"/>
        <v/>
      </c>
      <c r="H361" s="14" t="str">
        <f t="shared" si="190"/>
        <v/>
      </c>
      <c r="I361" s="14" t="str">
        <f t="shared" si="191"/>
        <v/>
      </c>
      <c r="J361" s="14" t="str">
        <f t="shared" si="192"/>
        <v/>
      </c>
      <c r="K361" s="14" t="str">
        <f t="shared" si="193"/>
        <v/>
      </c>
      <c r="L361" s="14" t="str">
        <f t="shared" si="194"/>
        <v/>
      </c>
      <c r="M361" s="14" t="str">
        <f t="shared" si="195"/>
        <v/>
      </c>
      <c r="N361" s="14" t="str">
        <f t="shared" si="196"/>
        <v/>
      </c>
      <c r="O361" s="14" t="s">
        <v>11</v>
      </c>
      <c r="P361" s="14" t="s">
        <v>11</v>
      </c>
      <c r="Q361" s="14" t="s">
        <v>11</v>
      </c>
      <c r="R361" s="14" t="s">
        <v>13</v>
      </c>
      <c r="S361" s="14" t="s">
        <v>11</v>
      </c>
      <c r="T361" s="14" t="s">
        <v>11</v>
      </c>
      <c r="U361" s="14" t="s">
        <v>11</v>
      </c>
      <c r="V361" s="14" t="s">
        <v>11</v>
      </c>
      <c r="W361" s="14" t="s">
        <v>11</v>
      </c>
      <c r="X361" s="14" t="s">
        <v>11</v>
      </c>
      <c r="Y361" s="14" t="str">
        <f t="shared" si="197"/>
        <v/>
      </c>
      <c r="Z361" s="14" t="str">
        <f t="shared" si="198"/>
        <v/>
      </c>
      <c r="AA361" s="15">
        <f t="shared" si="199"/>
        <v>0</v>
      </c>
      <c r="AB361" s="14" t="s">
        <v>11</v>
      </c>
      <c r="AC361" s="14" t="s">
        <v>11</v>
      </c>
      <c r="AD361" s="14" t="s">
        <v>11</v>
      </c>
      <c r="AE361" s="14" t="s">
        <v>11</v>
      </c>
      <c r="AF361" s="14" t="s">
        <v>13</v>
      </c>
      <c r="AG361" s="14" t="s">
        <v>11</v>
      </c>
      <c r="AH361" s="14" t="s">
        <v>11</v>
      </c>
      <c r="AI361" s="14" t="s">
        <v>11</v>
      </c>
      <c r="AJ361" s="14" t="s">
        <v>11</v>
      </c>
      <c r="AK361" s="14" t="s">
        <v>11</v>
      </c>
      <c r="AL361" s="14" t="str">
        <f t="shared" si="200"/>
        <v>T</v>
      </c>
      <c r="AM361" s="14" t="str">
        <f t="shared" si="201"/>
        <v>T</v>
      </c>
      <c r="AN361" s="14" t="str">
        <f t="shared" si="202"/>
        <v/>
      </c>
      <c r="AO361" s="14" t="str">
        <f t="shared" si="203"/>
        <v/>
      </c>
      <c r="AP361" s="14" t="str">
        <f t="shared" si="204"/>
        <v/>
      </c>
      <c r="AQ361" s="14" t="str">
        <f t="shared" si="185"/>
        <v/>
      </c>
      <c r="AR361" s="15">
        <f t="shared" si="205"/>
        <v>0</v>
      </c>
    </row>
    <row r="362" spans="2:44" x14ac:dyDescent="0.2">
      <c r="B362" s="16"/>
      <c r="C362" s="15" t="s">
        <v>53</v>
      </c>
      <c r="D362" s="30" t="str">
        <f t="shared" si="186"/>
        <v/>
      </c>
      <c r="E362" s="14" t="str">
        <f t="shared" si="187"/>
        <v/>
      </c>
      <c r="F362" s="14" t="str">
        <f t="shared" si="188"/>
        <v/>
      </c>
      <c r="G362" s="14" t="str">
        <f t="shared" si="189"/>
        <v/>
      </c>
      <c r="H362" s="14" t="str">
        <f t="shared" si="190"/>
        <v/>
      </c>
      <c r="I362" s="14" t="str">
        <f t="shared" si="191"/>
        <v/>
      </c>
      <c r="J362" s="14" t="str">
        <f t="shared" si="192"/>
        <v/>
      </c>
      <c r="K362" s="14" t="str">
        <f t="shared" si="193"/>
        <v/>
      </c>
      <c r="L362" s="14" t="str">
        <f t="shared" si="194"/>
        <v/>
      </c>
      <c r="M362" s="14" t="str">
        <f t="shared" si="195"/>
        <v/>
      </c>
      <c r="N362" s="14" t="str">
        <f t="shared" si="196"/>
        <v/>
      </c>
      <c r="O362" s="14" t="s">
        <v>11</v>
      </c>
      <c r="P362" s="14" t="s">
        <v>11</v>
      </c>
      <c r="Q362" s="14" t="s">
        <v>11</v>
      </c>
      <c r="R362" s="14" t="s">
        <v>13</v>
      </c>
      <c r="S362" s="14" t="s">
        <v>11</v>
      </c>
      <c r="T362" s="14" t="s">
        <v>11</v>
      </c>
      <c r="U362" s="14" t="s">
        <v>11</v>
      </c>
      <c r="V362" s="14" t="s">
        <v>11</v>
      </c>
      <c r="W362" s="14" t="s">
        <v>11</v>
      </c>
      <c r="X362" s="14" t="s">
        <v>11</v>
      </c>
      <c r="Y362" s="14" t="str">
        <f t="shared" si="197"/>
        <v/>
      </c>
      <c r="Z362" s="14" t="str">
        <f t="shared" si="198"/>
        <v/>
      </c>
      <c r="AA362" s="15">
        <f t="shared" si="199"/>
        <v>0</v>
      </c>
      <c r="AB362" s="14" t="s">
        <v>11</v>
      </c>
      <c r="AC362" s="14" t="s">
        <v>11</v>
      </c>
      <c r="AD362" s="14" t="s">
        <v>11</v>
      </c>
      <c r="AE362" s="14" t="s">
        <v>11</v>
      </c>
      <c r="AF362" s="14" t="s">
        <v>13</v>
      </c>
      <c r="AG362" s="14" t="s">
        <v>11</v>
      </c>
      <c r="AH362" s="14" t="s">
        <v>11</v>
      </c>
      <c r="AI362" s="14" t="s">
        <v>11</v>
      </c>
      <c r="AJ362" s="14" t="s">
        <v>11</v>
      </c>
      <c r="AK362" s="14" t="s">
        <v>11</v>
      </c>
      <c r="AL362" s="14" t="str">
        <f t="shared" si="200"/>
        <v>T</v>
      </c>
      <c r="AM362" s="14" t="str">
        <f t="shared" si="201"/>
        <v>T</v>
      </c>
      <c r="AN362" s="14" t="str">
        <f t="shared" si="202"/>
        <v/>
      </c>
      <c r="AO362" s="14" t="str">
        <f t="shared" si="203"/>
        <v/>
      </c>
      <c r="AP362" s="14" t="str">
        <f t="shared" si="204"/>
        <v/>
      </c>
      <c r="AQ362" s="14" t="str">
        <f t="shared" si="185"/>
        <v/>
      </c>
      <c r="AR362" s="15">
        <f t="shared" si="205"/>
        <v>0</v>
      </c>
    </row>
    <row r="363" spans="2:44" x14ac:dyDescent="0.2">
      <c r="B363" s="16"/>
      <c r="C363" s="15" t="s">
        <v>53</v>
      </c>
      <c r="D363" s="30" t="str">
        <f t="shared" si="186"/>
        <v/>
      </c>
      <c r="E363" s="14" t="str">
        <f t="shared" si="187"/>
        <v/>
      </c>
      <c r="F363" s="14" t="str">
        <f t="shared" si="188"/>
        <v/>
      </c>
      <c r="G363" s="14" t="str">
        <f t="shared" si="189"/>
        <v/>
      </c>
      <c r="H363" s="14" t="str">
        <f t="shared" si="190"/>
        <v/>
      </c>
      <c r="I363" s="14" t="str">
        <f t="shared" si="191"/>
        <v/>
      </c>
      <c r="J363" s="14" t="str">
        <f t="shared" si="192"/>
        <v/>
      </c>
      <c r="K363" s="14" t="str">
        <f t="shared" si="193"/>
        <v/>
      </c>
      <c r="L363" s="14" t="str">
        <f t="shared" si="194"/>
        <v/>
      </c>
      <c r="M363" s="14" t="str">
        <f t="shared" si="195"/>
        <v/>
      </c>
      <c r="N363" s="14" t="str">
        <f t="shared" si="196"/>
        <v/>
      </c>
      <c r="O363" s="14" t="s">
        <v>11</v>
      </c>
      <c r="P363" s="14" t="s">
        <v>11</v>
      </c>
      <c r="Q363" s="14" t="s">
        <v>11</v>
      </c>
      <c r="R363" s="14" t="s">
        <v>13</v>
      </c>
      <c r="S363" s="14" t="s">
        <v>11</v>
      </c>
      <c r="T363" s="14" t="s">
        <v>11</v>
      </c>
      <c r="U363" s="14" t="s">
        <v>11</v>
      </c>
      <c r="V363" s="14" t="s">
        <v>11</v>
      </c>
      <c r="W363" s="14" t="s">
        <v>11</v>
      </c>
      <c r="X363" s="14" t="s">
        <v>11</v>
      </c>
      <c r="Y363" s="14" t="str">
        <f t="shared" si="197"/>
        <v/>
      </c>
      <c r="Z363" s="14" t="str">
        <f t="shared" si="198"/>
        <v/>
      </c>
      <c r="AA363" s="15">
        <f t="shared" si="199"/>
        <v>0</v>
      </c>
      <c r="AB363" s="14" t="s">
        <v>11</v>
      </c>
      <c r="AC363" s="14" t="s">
        <v>11</v>
      </c>
      <c r="AD363" s="14" t="s">
        <v>11</v>
      </c>
      <c r="AE363" s="14" t="s">
        <v>11</v>
      </c>
      <c r="AF363" s="14" t="s">
        <v>13</v>
      </c>
      <c r="AG363" s="14" t="s">
        <v>11</v>
      </c>
      <c r="AH363" s="14" t="s">
        <v>11</v>
      </c>
      <c r="AI363" s="14" t="s">
        <v>11</v>
      </c>
      <c r="AJ363" s="14" t="s">
        <v>11</v>
      </c>
      <c r="AK363" s="14" t="s">
        <v>11</v>
      </c>
      <c r="AL363" s="14" t="str">
        <f t="shared" si="200"/>
        <v>T</v>
      </c>
      <c r="AM363" s="14" t="str">
        <f t="shared" si="201"/>
        <v>T</v>
      </c>
      <c r="AN363" s="14" t="str">
        <f t="shared" si="202"/>
        <v/>
      </c>
      <c r="AO363" s="14" t="str">
        <f t="shared" si="203"/>
        <v/>
      </c>
      <c r="AP363" s="14" t="str">
        <f t="shared" si="204"/>
        <v/>
      </c>
      <c r="AQ363" s="14" t="str">
        <f t="shared" si="185"/>
        <v/>
      </c>
      <c r="AR363" s="15">
        <f t="shared" si="205"/>
        <v>0</v>
      </c>
    </row>
    <row r="364" spans="2:44" x14ac:dyDescent="0.2">
      <c r="B364" s="16"/>
      <c r="C364" s="15" t="s">
        <v>53</v>
      </c>
      <c r="D364" s="30" t="str">
        <f t="shared" si="186"/>
        <v/>
      </c>
      <c r="E364" s="14" t="str">
        <f t="shared" si="187"/>
        <v/>
      </c>
      <c r="F364" s="14" t="str">
        <f t="shared" si="188"/>
        <v/>
      </c>
      <c r="G364" s="14" t="str">
        <f t="shared" si="189"/>
        <v/>
      </c>
      <c r="H364" s="14" t="str">
        <f t="shared" si="190"/>
        <v/>
      </c>
      <c r="I364" s="14" t="str">
        <f t="shared" si="191"/>
        <v/>
      </c>
      <c r="J364" s="14" t="str">
        <f t="shared" si="192"/>
        <v/>
      </c>
      <c r="K364" s="14" t="str">
        <f t="shared" si="193"/>
        <v/>
      </c>
      <c r="L364" s="14" t="str">
        <f t="shared" si="194"/>
        <v/>
      </c>
      <c r="M364" s="14" t="str">
        <f t="shared" si="195"/>
        <v/>
      </c>
      <c r="N364" s="14" t="str">
        <f t="shared" si="196"/>
        <v/>
      </c>
      <c r="O364" s="14" t="s">
        <v>11</v>
      </c>
      <c r="P364" s="14" t="s">
        <v>11</v>
      </c>
      <c r="Q364" s="14" t="s">
        <v>11</v>
      </c>
      <c r="R364" s="14" t="s">
        <v>13</v>
      </c>
      <c r="S364" s="14" t="s">
        <v>11</v>
      </c>
      <c r="T364" s="14" t="s">
        <v>11</v>
      </c>
      <c r="U364" s="14" t="s">
        <v>11</v>
      </c>
      <c r="V364" s="14" t="s">
        <v>11</v>
      </c>
      <c r="W364" s="14" t="s">
        <v>11</v>
      </c>
      <c r="X364" s="14" t="s">
        <v>11</v>
      </c>
      <c r="Y364" s="14" t="str">
        <f t="shared" si="197"/>
        <v/>
      </c>
      <c r="Z364" s="14" t="str">
        <f t="shared" si="198"/>
        <v/>
      </c>
      <c r="AA364" s="15">
        <f t="shared" si="199"/>
        <v>0</v>
      </c>
      <c r="AB364" s="14" t="s">
        <v>11</v>
      </c>
      <c r="AC364" s="14" t="s">
        <v>11</v>
      </c>
      <c r="AD364" s="14" t="s">
        <v>11</v>
      </c>
      <c r="AE364" s="14" t="s">
        <v>11</v>
      </c>
      <c r="AF364" s="14" t="s">
        <v>13</v>
      </c>
      <c r="AG364" s="14" t="s">
        <v>11</v>
      </c>
      <c r="AH364" s="14" t="s">
        <v>11</v>
      </c>
      <c r="AI364" s="14" t="s">
        <v>11</v>
      </c>
      <c r="AJ364" s="14" t="s">
        <v>11</v>
      </c>
      <c r="AK364" s="14" t="s">
        <v>11</v>
      </c>
      <c r="AL364" s="14" t="str">
        <f t="shared" si="200"/>
        <v>T</v>
      </c>
      <c r="AM364" s="14" t="str">
        <f t="shared" si="201"/>
        <v>T</v>
      </c>
      <c r="AN364" s="14" t="str">
        <f t="shared" si="202"/>
        <v/>
      </c>
      <c r="AO364" s="14" t="str">
        <f t="shared" si="203"/>
        <v/>
      </c>
      <c r="AP364" s="14" t="str">
        <f t="shared" si="204"/>
        <v/>
      </c>
      <c r="AQ364" s="14" t="str">
        <f t="shared" si="185"/>
        <v/>
      </c>
      <c r="AR364" s="15">
        <f t="shared" si="205"/>
        <v>0</v>
      </c>
    </row>
    <row r="365" spans="2:44" x14ac:dyDescent="0.2">
      <c r="B365" s="16"/>
      <c r="C365" s="15" t="s">
        <v>53</v>
      </c>
      <c r="D365" s="30" t="str">
        <f t="shared" si="186"/>
        <v/>
      </c>
      <c r="E365" s="14" t="str">
        <f t="shared" si="187"/>
        <v/>
      </c>
      <c r="F365" s="14" t="str">
        <f t="shared" si="188"/>
        <v/>
      </c>
      <c r="G365" s="14" t="str">
        <f t="shared" si="189"/>
        <v/>
      </c>
      <c r="H365" s="14" t="str">
        <f t="shared" si="190"/>
        <v/>
      </c>
      <c r="I365" s="14" t="str">
        <f t="shared" si="191"/>
        <v/>
      </c>
      <c r="J365" s="14" t="str">
        <f t="shared" si="192"/>
        <v/>
      </c>
      <c r="K365" s="14" t="str">
        <f t="shared" si="193"/>
        <v/>
      </c>
      <c r="L365" s="14" t="str">
        <f t="shared" si="194"/>
        <v/>
      </c>
      <c r="M365" s="14" t="str">
        <f t="shared" si="195"/>
        <v/>
      </c>
      <c r="N365" s="14" t="str">
        <f t="shared" si="196"/>
        <v/>
      </c>
      <c r="O365" s="14" t="s">
        <v>11</v>
      </c>
      <c r="P365" s="14" t="s">
        <v>11</v>
      </c>
      <c r="Q365" s="14" t="s">
        <v>11</v>
      </c>
      <c r="R365" s="14" t="s">
        <v>13</v>
      </c>
      <c r="S365" s="14" t="s">
        <v>11</v>
      </c>
      <c r="T365" s="14" t="s">
        <v>11</v>
      </c>
      <c r="U365" s="14" t="s">
        <v>11</v>
      </c>
      <c r="V365" s="14" t="s">
        <v>11</v>
      </c>
      <c r="W365" s="14" t="s">
        <v>11</v>
      </c>
      <c r="X365" s="14" t="s">
        <v>11</v>
      </c>
      <c r="Y365" s="14" t="str">
        <f t="shared" si="197"/>
        <v/>
      </c>
      <c r="Z365" s="14" t="str">
        <f t="shared" si="198"/>
        <v/>
      </c>
      <c r="AA365" s="15">
        <f t="shared" si="199"/>
        <v>0</v>
      </c>
      <c r="AB365" s="14" t="s">
        <v>11</v>
      </c>
      <c r="AC365" s="14" t="s">
        <v>11</v>
      </c>
      <c r="AD365" s="14" t="s">
        <v>11</v>
      </c>
      <c r="AE365" s="14" t="s">
        <v>11</v>
      </c>
      <c r="AF365" s="14" t="s">
        <v>13</v>
      </c>
      <c r="AG365" s="14" t="s">
        <v>11</v>
      </c>
      <c r="AH365" s="14" t="s">
        <v>11</v>
      </c>
      <c r="AI365" s="14" t="s">
        <v>11</v>
      </c>
      <c r="AJ365" s="14" t="s">
        <v>11</v>
      </c>
      <c r="AK365" s="14" t="s">
        <v>11</v>
      </c>
      <c r="AL365" s="14" t="str">
        <f t="shared" si="200"/>
        <v>T</v>
      </c>
      <c r="AM365" s="14" t="str">
        <f t="shared" si="201"/>
        <v>T</v>
      </c>
      <c r="AN365" s="14" t="str">
        <f t="shared" si="202"/>
        <v/>
      </c>
      <c r="AO365" s="14" t="str">
        <f t="shared" si="203"/>
        <v/>
      </c>
      <c r="AP365" s="14" t="str">
        <f t="shared" si="204"/>
        <v/>
      </c>
      <c r="AQ365" s="14" t="str">
        <f t="shared" si="185"/>
        <v/>
      </c>
      <c r="AR365" s="15">
        <f t="shared" si="205"/>
        <v>0</v>
      </c>
    </row>
    <row r="366" spans="2:44" x14ac:dyDescent="0.2">
      <c r="B366" s="16"/>
      <c r="C366" s="15" t="s">
        <v>53</v>
      </c>
      <c r="D366" s="30" t="str">
        <f t="shared" si="186"/>
        <v/>
      </c>
      <c r="E366" s="14" t="str">
        <f t="shared" si="187"/>
        <v/>
      </c>
      <c r="F366" s="14" t="str">
        <f t="shared" si="188"/>
        <v/>
      </c>
      <c r="G366" s="14" t="str">
        <f t="shared" si="189"/>
        <v/>
      </c>
      <c r="H366" s="14" t="str">
        <f t="shared" si="190"/>
        <v/>
      </c>
      <c r="I366" s="14" t="str">
        <f t="shared" si="191"/>
        <v/>
      </c>
      <c r="J366" s="14" t="str">
        <f t="shared" si="192"/>
        <v/>
      </c>
      <c r="K366" s="14" t="str">
        <f t="shared" si="193"/>
        <v/>
      </c>
      <c r="L366" s="14" t="str">
        <f t="shared" si="194"/>
        <v/>
      </c>
      <c r="M366" s="14" t="str">
        <f t="shared" si="195"/>
        <v/>
      </c>
      <c r="N366" s="14" t="str">
        <f t="shared" si="196"/>
        <v/>
      </c>
      <c r="O366" s="14" t="s">
        <v>11</v>
      </c>
      <c r="P366" s="14" t="s">
        <v>11</v>
      </c>
      <c r="Q366" s="14" t="s">
        <v>11</v>
      </c>
      <c r="R366" s="14" t="s">
        <v>13</v>
      </c>
      <c r="S366" s="14" t="s">
        <v>11</v>
      </c>
      <c r="T366" s="14" t="s">
        <v>11</v>
      </c>
      <c r="U366" s="14" t="s">
        <v>11</v>
      </c>
      <c r="V366" s="14" t="s">
        <v>11</v>
      </c>
      <c r="W366" s="14" t="s">
        <v>11</v>
      </c>
      <c r="X366" s="14" t="s">
        <v>11</v>
      </c>
      <c r="Y366" s="14" t="str">
        <f t="shared" si="197"/>
        <v/>
      </c>
      <c r="Z366" s="14" t="str">
        <f t="shared" si="198"/>
        <v/>
      </c>
      <c r="AA366" s="15">
        <f t="shared" si="199"/>
        <v>0</v>
      </c>
      <c r="AB366" s="14" t="s">
        <v>11</v>
      </c>
      <c r="AC366" s="14" t="s">
        <v>11</v>
      </c>
      <c r="AD366" s="14" t="s">
        <v>11</v>
      </c>
      <c r="AE366" s="14" t="s">
        <v>11</v>
      </c>
      <c r="AF366" s="14" t="s">
        <v>13</v>
      </c>
      <c r="AG366" s="14" t="s">
        <v>11</v>
      </c>
      <c r="AH366" s="14" t="s">
        <v>11</v>
      </c>
      <c r="AI366" s="14" t="s">
        <v>11</v>
      </c>
      <c r="AJ366" s="14" t="s">
        <v>11</v>
      </c>
      <c r="AK366" s="14" t="s">
        <v>11</v>
      </c>
      <c r="AL366" s="14" t="str">
        <f t="shared" si="200"/>
        <v>T</v>
      </c>
      <c r="AM366" s="14" t="str">
        <f t="shared" si="201"/>
        <v>T</v>
      </c>
      <c r="AN366" s="14" t="str">
        <f t="shared" si="202"/>
        <v/>
      </c>
      <c r="AO366" s="14" t="str">
        <f t="shared" si="203"/>
        <v/>
      </c>
      <c r="AP366" s="14" t="str">
        <f t="shared" si="204"/>
        <v/>
      </c>
      <c r="AQ366" s="14" t="str">
        <f t="shared" si="185"/>
        <v/>
      </c>
      <c r="AR366" s="15">
        <f t="shared" si="205"/>
        <v>0</v>
      </c>
    </row>
    <row r="367" spans="2:44" x14ac:dyDescent="0.2">
      <c r="B367" s="16"/>
      <c r="C367" s="15" t="s">
        <v>53</v>
      </c>
      <c r="D367" s="30" t="str">
        <f t="shared" si="186"/>
        <v/>
      </c>
      <c r="E367" s="14" t="str">
        <f t="shared" si="187"/>
        <v/>
      </c>
      <c r="F367" s="14" t="str">
        <f t="shared" si="188"/>
        <v/>
      </c>
      <c r="G367" s="14" t="str">
        <f t="shared" si="189"/>
        <v/>
      </c>
      <c r="H367" s="14" t="str">
        <f t="shared" si="190"/>
        <v/>
      </c>
      <c r="I367" s="14" t="str">
        <f t="shared" si="191"/>
        <v/>
      </c>
      <c r="J367" s="14" t="str">
        <f t="shared" si="192"/>
        <v/>
      </c>
      <c r="K367" s="14" t="str">
        <f t="shared" si="193"/>
        <v/>
      </c>
      <c r="L367" s="14" t="str">
        <f t="shared" si="194"/>
        <v/>
      </c>
      <c r="M367" s="14" t="str">
        <f t="shared" si="195"/>
        <v/>
      </c>
      <c r="N367" s="14" t="str">
        <f t="shared" si="196"/>
        <v/>
      </c>
      <c r="O367" s="14" t="s">
        <v>11</v>
      </c>
      <c r="P367" s="14" t="s">
        <v>11</v>
      </c>
      <c r="Q367" s="14" t="s">
        <v>11</v>
      </c>
      <c r="R367" s="14" t="s">
        <v>13</v>
      </c>
      <c r="S367" s="14" t="s">
        <v>11</v>
      </c>
      <c r="T367" s="14" t="s">
        <v>11</v>
      </c>
      <c r="U367" s="14" t="s">
        <v>11</v>
      </c>
      <c r="V367" s="14" t="s">
        <v>11</v>
      </c>
      <c r="W367" s="14" t="s">
        <v>11</v>
      </c>
      <c r="X367" s="14" t="s">
        <v>11</v>
      </c>
      <c r="Y367" s="14" t="str">
        <f t="shared" si="197"/>
        <v/>
      </c>
      <c r="Z367" s="14" t="str">
        <f t="shared" si="198"/>
        <v/>
      </c>
      <c r="AA367" s="15">
        <f t="shared" si="199"/>
        <v>0</v>
      </c>
      <c r="AB367" s="14" t="s">
        <v>11</v>
      </c>
      <c r="AC367" s="14" t="s">
        <v>11</v>
      </c>
      <c r="AD367" s="14" t="s">
        <v>11</v>
      </c>
      <c r="AE367" s="14" t="s">
        <v>11</v>
      </c>
      <c r="AF367" s="14" t="s">
        <v>13</v>
      </c>
      <c r="AG367" s="14" t="s">
        <v>11</v>
      </c>
      <c r="AH367" s="14" t="s">
        <v>11</v>
      </c>
      <c r="AI367" s="14" t="s">
        <v>11</v>
      </c>
      <c r="AJ367" s="14" t="s">
        <v>11</v>
      </c>
      <c r="AK367" s="14" t="s">
        <v>11</v>
      </c>
      <c r="AL367" s="14" t="str">
        <f t="shared" si="200"/>
        <v>T</v>
      </c>
      <c r="AM367" s="14" t="str">
        <f t="shared" si="201"/>
        <v>T</v>
      </c>
      <c r="AN367" s="14" t="str">
        <f t="shared" si="202"/>
        <v/>
      </c>
      <c r="AO367" s="14" t="str">
        <f t="shared" si="203"/>
        <v/>
      </c>
      <c r="AP367" s="14" t="str">
        <f t="shared" si="204"/>
        <v/>
      </c>
      <c r="AQ367" s="14" t="str">
        <f t="shared" si="185"/>
        <v/>
      </c>
      <c r="AR367" s="15">
        <f t="shared" si="205"/>
        <v>0</v>
      </c>
    </row>
    <row r="368" spans="2:44" x14ac:dyDescent="0.2">
      <c r="B368" s="16"/>
      <c r="C368" s="15" t="s">
        <v>53</v>
      </c>
      <c r="D368" s="30" t="str">
        <f t="shared" si="186"/>
        <v/>
      </c>
      <c r="E368" s="14" t="str">
        <f t="shared" si="187"/>
        <v/>
      </c>
      <c r="F368" s="14" t="str">
        <f t="shared" si="188"/>
        <v/>
      </c>
      <c r="G368" s="14" t="str">
        <f t="shared" si="189"/>
        <v/>
      </c>
      <c r="H368" s="14" t="str">
        <f t="shared" si="190"/>
        <v/>
      </c>
      <c r="I368" s="14" t="str">
        <f t="shared" si="191"/>
        <v/>
      </c>
      <c r="J368" s="14" t="str">
        <f t="shared" si="192"/>
        <v/>
      </c>
      <c r="K368" s="14" t="str">
        <f t="shared" si="193"/>
        <v/>
      </c>
      <c r="L368" s="14" t="str">
        <f t="shared" si="194"/>
        <v/>
      </c>
      <c r="M368" s="14" t="str">
        <f t="shared" si="195"/>
        <v/>
      </c>
      <c r="N368" s="14" t="str">
        <f t="shared" si="196"/>
        <v/>
      </c>
      <c r="O368" s="14" t="s">
        <v>11</v>
      </c>
      <c r="P368" s="14" t="s">
        <v>11</v>
      </c>
      <c r="Q368" s="14" t="s">
        <v>11</v>
      </c>
      <c r="R368" s="14" t="s">
        <v>13</v>
      </c>
      <c r="S368" s="14" t="s">
        <v>11</v>
      </c>
      <c r="T368" s="14" t="s">
        <v>11</v>
      </c>
      <c r="U368" s="14" t="s">
        <v>11</v>
      </c>
      <c r="V368" s="14" t="s">
        <v>11</v>
      </c>
      <c r="W368" s="14" t="s">
        <v>11</v>
      </c>
      <c r="X368" s="14" t="s">
        <v>11</v>
      </c>
      <c r="Y368" s="14" t="str">
        <f t="shared" si="197"/>
        <v/>
      </c>
      <c r="Z368" s="14" t="str">
        <f t="shared" si="198"/>
        <v/>
      </c>
      <c r="AA368" s="15">
        <f t="shared" si="199"/>
        <v>0</v>
      </c>
      <c r="AB368" s="14" t="s">
        <v>11</v>
      </c>
      <c r="AC368" s="14" t="s">
        <v>11</v>
      </c>
      <c r="AD368" s="14" t="s">
        <v>11</v>
      </c>
      <c r="AE368" s="14" t="s">
        <v>11</v>
      </c>
      <c r="AF368" s="14" t="s">
        <v>13</v>
      </c>
      <c r="AG368" s="14" t="s">
        <v>11</v>
      </c>
      <c r="AH368" s="14" t="s">
        <v>11</v>
      </c>
      <c r="AI368" s="14" t="s">
        <v>11</v>
      </c>
      <c r="AJ368" s="14" t="s">
        <v>11</v>
      </c>
      <c r="AK368" s="14" t="s">
        <v>11</v>
      </c>
      <c r="AL368" s="14" t="str">
        <f t="shared" si="200"/>
        <v>T</v>
      </c>
      <c r="AM368" s="14" t="str">
        <f t="shared" si="201"/>
        <v>T</v>
      </c>
      <c r="AN368" s="14" t="str">
        <f t="shared" si="202"/>
        <v/>
      </c>
      <c r="AO368" s="14" t="str">
        <f t="shared" si="203"/>
        <v/>
      </c>
      <c r="AP368" s="14" t="str">
        <f t="shared" si="204"/>
        <v/>
      </c>
      <c r="AQ368" s="14" t="str">
        <f t="shared" si="185"/>
        <v/>
      </c>
      <c r="AR368" s="15">
        <f t="shared" si="205"/>
        <v>0</v>
      </c>
    </row>
    <row r="369" spans="2:44" x14ac:dyDescent="0.2">
      <c r="B369" s="16"/>
      <c r="C369" s="15" t="s">
        <v>53</v>
      </c>
      <c r="D369" s="30" t="str">
        <f t="shared" si="186"/>
        <v/>
      </c>
      <c r="E369" s="14" t="str">
        <f t="shared" si="187"/>
        <v/>
      </c>
      <c r="F369" s="14" t="str">
        <f t="shared" si="188"/>
        <v/>
      </c>
      <c r="G369" s="14" t="str">
        <f t="shared" si="189"/>
        <v/>
      </c>
      <c r="H369" s="14" t="str">
        <f t="shared" si="190"/>
        <v/>
      </c>
      <c r="I369" s="14" t="str">
        <f t="shared" si="191"/>
        <v/>
      </c>
      <c r="J369" s="14" t="str">
        <f t="shared" si="192"/>
        <v/>
      </c>
      <c r="K369" s="14" t="str">
        <f t="shared" si="193"/>
        <v/>
      </c>
      <c r="L369" s="14" t="str">
        <f t="shared" si="194"/>
        <v/>
      </c>
      <c r="M369" s="14" t="str">
        <f t="shared" si="195"/>
        <v/>
      </c>
      <c r="N369" s="14" t="str">
        <f t="shared" si="196"/>
        <v/>
      </c>
      <c r="O369" s="14" t="s">
        <v>11</v>
      </c>
      <c r="P369" s="14" t="s">
        <v>11</v>
      </c>
      <c r="Q369" s="14" t="s">
        <v>11</v>
      </c>
      <c r="R369" s="14" t="s">
        <v>13</v>
      </c>
      <c r="S369" s="14" t="s">
        <v>11</v>
      </c>
      <c r="T369" s="14" t="s">
        <v>11</v>
      </c>
      <c r="U369" s="14" t="s">
        <v>11</v>
      </c>
      <c r="V369" s="14" t="s">
        <v>11</v>
      </c>
      <c r="W369" s="14" t="s">
        <v>11</v>
      </c>
      <c r="X369" s="14" t="s">
        <v>11</v>
      </c>
      <c r="Y369" s="14" t="str">
        <f t="shared" si="197"/>
        <v/>
      </c>
      <c r="Z369" s="14" t="str">
        <f t="shared" si="198"/>
        <v/>
      </c>
      <c r="AA369" s="15">
        <f t="shared" si="199"/>
        <v>0</v>
      </c>
      <c r="AB369" s="14" t="s">
        <v>11</v>
      </c>
      <c r="AC369" s="14" t="s">
        <v>11</v>
      </c>
      <c r="AD369" s="14" t="s">
        <v>11</v>
      </c>
      <c r="AE369" s="14" t="s">
        <v>11</v>
      </c>
      <c r="AF369" s="14" t="s">
        <v>13</v>
      </c>
      <c r="AG369" s="14" t="s">
        <v>11</v>
      </c>
      <c r="AH369" s="14" t="s">
        <v>11</v>
      </c>
      <c r="AI369" s="14" t="s">
        <v>11</v>
      </c>
      <c r="AJ369" s="14" t="s">
        <v>11</v>
      </c>
      <c r="AK369" s="14" t="s">
        <v>11</v>
      </c>
      <c r="AL369" s="14" t="str">
        <f t="shared" si="200"/>
        <v>T</v>
      </c>
      <c r="AM369" s="14" t="str">
        <f t="shared" si="201"/>
        <v>T</v>
      </c>
      <c r="AN369" s="14" t="str">
        <f t="shared" si="202"/>
        <v/>
      </c>
      <c r="AO369" s="14" t="str">
        <f t="shared" si="203"/>
        <v/>
      </c>
      <c r="AP369" s="14" t="str">
        <f t="shared" si="204"/>
        <v/>
      </c>
      <c r="AQ369" s="14" t="str">
        <f t="shared" si="185"/>
        <v/>
      </c>
      <c r="AR369" s="15">
        <f t="shared" si="205"/>
        <v>0</v>
      </c>
    </row>
    <row r="370" spans="2:44" x14ac:dyDescent="0.2">
      <c r="B370" s="16"/>
      <c r="C370" s="15" t="s">
        <v>53</v>
      </c>
      <c r="D370" s="30" t="str">
        <f t="shared" si="186"/>
        <v/>
      </c>
      <c r="E370" s="14" t="str">
        <f t="shared" si="187"/>
        <v/>
      </c>
      <c r="F370" s="14" t="str">
        <f t="shared" si="188"/>
        <v/>
      </c>
      <c r="G370" s="14" t="str">
        <f t="shared" si="189"/>
        <v/>
      </c>
      <c r="H370" s="14" t="str">
        <f t="shared" si="190"/>
        <v/>
      </c>
      <c r="I370" s="14" t="str">
        <f t="shared" si="191"/>
        <v/>
      </c>
      <c r="J370" s="14" t="str">
        <f t="shared" si="192"/>
        <v/>
      </c>
      <c r="K370" s="14" t="str">
        <f t="shared" si="193"/>
        <v/>
      </c>
      <c r="L370" s="14" t="str">
        <f t="shared" si="194"/>
        <v/>
      </c>
      <c r="M370" s="14" t="str">
        <f t="shared" si="195"/>
        <v/>
      </c>
      <c r="N370" s="14" t="str">
        <f t="shared" si="196"/>
        <v/>
      </c>
      <c r="O370" s="14" t="s">
        <v>11</v>
      </c>
      <c r="P370" s="14" t="s">
        <v>11</v>
      </c>
      <c r="Q370" s="14" t="s">
        <v>11</v>
      </c>
      <c r="R370" s="14" t="s">
        <v>13</v>
      </c>
      <c r="S370" s="14" t="s">
        <v>11</v>
      </c>
      <c r="T370" s="14" t="s">
        <v>11</v>
      </c>
      <c r="U370" s="14" t="s">
        <v>11</v>
      </c>
      <c r="V370" s="14" t="s">
        <v>11</v>
      </c>
      <c r="W370" s="14" t="s">
        <v>11</v>
      </c>
      <c r="X370" s="14" t="s">
        <v>11</v>
      </c>
      <c r="Y370" s="14" t="str">
        <f t="shared" si="197"/>
        <v/>
      </c>
      <c r="Z370" s="14" t="str">
        <f t="shared" si="198"/>
        <v/>
      </c>
      <c r="AA370" s="15">
        <f t="shared" si="199"/>
        <v>0</v>
      </c>
      <c r="AB370" s="14" t="s">
        <v>11</v>
      </c>
      <c r="AC370" s="14" t="s">
        <v>11</v>
      </c>
      <c r="AD370" s="14" t="s">
        <v>11</v>
      </c>
      <c r="AE370" s="14" t="s">
        <v>11</v>
      </c>
      <c r="AF370" s="14" t="s">
        <v>13</v>
      </c>
      <c r="AG370" s="14" t="s">
        <v>11</v>
      </c>
      <c r="AH370" s="14" t="s">
        <v>11</v>
      </c>
      <c r="AI370" s="14" t="s">
        <v>11</v>
      </c>
      <c r="AJ370" s="14" t="s">
        <v>11</v>
      </c>
      <c r="AK370" s="14" t="s">
        <v>11</v>
      </c>
      <c r="AL370" s="14" t="str">
        <f t="shared" si="200"/>
        <v>T</v>
      </c>
      <c r="AM370" s="14" t="str">
        <f t="shared" si="201"/>
        <v>T</v>
      </c>
      <c r="AN370" s="14" t="str">
        <f t="shared" si="202"/>
        <v/>
      </c>
      <c r="AO370" s="14" t="str">
        <f t="shared" si="203"/>
        <v/>
      </c>
      <c r="AP370" s="14" t="str">
        <f t="shared" si="204"/>
        <v/>
      </c>
      <c r="AQ370" s="14" t="str">
        <f t="shared" si="185"/>
        <v/>
      </c>
      <c r="AR370" s="15">
        <f t="shared" si="205"/>
        <v>0</v>
      </c>
    </row>
    <row r="371" spans="2:44" x14ac:dyDescent="0.2">
      <c r="B371" s="16"/>
      <c r="C371" s="15" t="s">
        <v>53</v>
      </c>
      <c r="D371" s="30" t="str">
        <f t="shared" si="186"/>
        <v/>
      </c>
      <c r="E371" s="14" t="str">
        <f t="shared" si="187"/>
        <v/>
      </c>
      <c r="F371" s="14" t="str">
        <f t="shared" si="188"/>
        <v/>
      </c>
      <c r="G371" s="14" t="str">
        <f t="shared" si="189"/>
        <v/>
      </c>
      <c r="H371" s="14" t="str">
        <f t="shared" si="190"/>
        <v/>
      </c>
      <c r="I371" s="14" t="str">
        <f t="shared" si="191"/>
        <v/>
      </c>
      <c r="J371" s="14" t="str">
        <f t="shared" si="192"/>
        <v/>
      </c>
      <c r="K371" s="14" t="str">
        <f t="shared" si="193"/>
        <v/>
      </c>
      <c r="L371" s="14" t="str">
        <f t="shared" si="194"/>
        <v/>
      </c>
      <c r="M371" s="14" t="str">
        <f t="shared" si="195"/>
        <v/>
      </c>
      <c r="N371" s="14" t="str">
        <f t="shared" si="196"/>
        <v/>
      </c>
      <c r="O371" s="14" t="s">
        <v>11</v>
      </c>
      <c r="P371" s="14" t="s">
        <v>11</v>
      </c>
      <c r="Q371" s="14" t="s">
        <v>11</v>
      </c>
      <c r="R371" s="14" t="s">
        <v>13</v>
      </c>
      <c r="S371" s="14" t="s">
        <v>11</v>
      </c>
      <c r="T371" s="14" t="s">
        <v>11</v>
      </c>
      <c r="U371" s="14" t="s">
        <v>11</v>
      </c>
      <c r="V371" s="14" t="s">
        <v>11</v>
      </c>
      <c r="W371" s="14" t="s">
        <v>11</v>
      </c>
      <c r="X371" s="14" t="s">
        <v>11</v>
      </c>
      <c r="Y371" s="14" t="str">
        <f t="shared" si="197"/>
        <v/>
      </c>
      <c r="Z371" s="14" t="str">
        <f t="shared" si="198"/>
        <v/>
      </c>
      <c r="AA371" s="15">
        <f t="shared" si="199"/>
        <v>0</v>
      </c>
      <c r="AB371" s="14" t="s">
        <v>11</v>
      </c>
      <c r="AC371" s="14" t="s">
        <v>11</v>
      </c>
      <c r="AD371" s="14" t="s">
        <v>11</v>
      </c>
      <c r="AE371" s="14" t="s">
        <v>11</v>
      </c>
      <c r="AF371" s="14" t="s">
        <v>13</v>
      </c>
      <c r="AG371" s="14" t="s">
        <v>11</v>
      </c>
      <c r="AH371" s="14" t="s">
        <v>11</v>
      </c>
      <c r="AI371" s="14" t="s">
        <v>11</v>
      </c>
      <c r="AJ371" s="14" t="s">
        <v>11</v>
      </c>
      <c r="AK371" s="14" t="s">
        <v>11</v>
      </c>
      <c r="AL371" s="14" t="str">
        <f t="shared" si="200"/>
        <v>T</v>
      </c>
      <c r="AM371" s="14" t="str">
        <f t="shared" si="201"/>
        <v>T</v>
      </c>
      <c r="AN371" s="14" t="str">
        <f t="shared" si="202"/>
        <v/>
      </c>
      <c r="AO371" s="14" t="str">
        <f t="shared" si="203"/>
        <v/>
      </c>
      <c r="AP371" s="14" t="str">
        <f t="shared" si="204"/>
        <v/>
      </c>
      <c r="AQ371" s="14" t="str">
        <f t="shared" si="185"/>
        <v/>
      </c>
      <c r="AR371" s="15">
        <f t="shared" si="205"/>
        <v>0</v>
      </c>
    </row>
    <row r="372" spans="2:44" x14ac:dyDescent="0.2">
      <c r="B372" s="16"/>
      <c r="C372" s="15" t="s">
        <v>53</v>
      </c>
      <c r="D372" s="30" t="str">
        <f t="shared" si="186"/>
        <v/>
      </c>
      <c r="E372" s="14" t="str">
        <f t="shared" si="187"/>
        <v/>
      </c>
      <c r="F372" s="14" t="str">
        <f t="shared" si="188"/>
        <v/>
      </c>
      <c r="G372" s="14" t="str">
        <f t="shared" si="189"/>
        <v/>
      </c>
      <c r="H372" s="14" t="str">
        <f t="shared" si="190"/>
        <v/>
      </c>
      <c r="I372" s="14" t="str">
        <f t="shared" si="191"/>
        <v/>
      </c>
      <c r="J372" s="14" t="str">
        <f t="shared" si="192"/>
        <v/>
      </c>
      <c r="K372" s="14" t="str">
        <f t="shared" si="193"/>
        <v/>
      </c>
      <c r="L372" s="14" t="str">
        <f t="shared" si="194"/>
        <v/>
      </c>
      <c r="M372" s="14" t="str">
        <f t="shared" si="195"/>
        <v/>
      </c>
      <c r="N372" s="14" t="str">
        <f t="shared" si="196"/>
        <v/>
      </c>
      <c r="O372" s="14" t="s">
        <v>11</v>
      </c>
      <c r="P372" s="14" t="s">
        <v>11</v>
      </c>
      <c r="Q372" s="14" t="s">
        <v>11</v>
      </c>
      <c r="R372" s="14" t="s">
        <v>13</v>
      </c>
      <c r="S372" s="14" t="s">
        <v>11</v>
      </c>
      <c r="T372" s="14" t="s">
        <v>11</v>
      </c>
      <c r="U372" s="14" t="s">
        <v>11</v>
      </c>
      <c r="V372" s="14" t="s">
        <v>11</v>
      </c>
      <c r="W372" s="14" t="s">
        <v>11</v>
      </c>
      <c r="X372" s="14" t="s">
        <v>11</v>
      </c>
      <c r="Y372" s="14" t="str">
        <f t="shared" si="197"/>
        <v/>
      </c>
      <c r="Z372" s="14" t="str">
        <f t="shared" si="198"/>
        <v/>
      </c>
      <c r="AA372" s="15">
        <f t="shared" si="199"/>
        <v>0</v>
      </c>
      <c r="AB372" s="14" t="s">
        <v>11</v>
      </c>
      <c r="AC372" s="14" t="s">
        <v>11</v>
      </c>
      <c r="AD372" s="14" t="s">
        <v>11</v>
      </c>
      <c r="AE372" s="14" t="s">
        <v>11</v>
      </c>
      <c r="AF372" s="14" t="s">
        <v>13</v>
      </c>
      <c r="AG372" s="14" t="s">
        <v>11</v>
      </c>
      <c r="AH372" s="14" t="s">
        <v>11</v>
      </c>
      <c r="AI372" s="14" t="s">
        <v>11</v>
      </c>
      <c r="AJ372" s="14" t="s">
        <v>11</v>
      </c>
      <c r="AK372" s="14" t="s">
        <v>11</v>
      </c>
      <c r="AL372" s="14" t="str">
        <f t="shared" si="200"/>
        <v>T</v>
      </c>
      <c r="AM372" s="14" t="str">
        <f t="shared" si="201"/>
        <v>T</v>
      </c>
      <c r="AN372" s="14" t="str">
        <f t="shared" si="202"/>
        <v/>
      </c>
      <c r="AO372" s="14" t="str">
        <f t="shared" si="203"/>
        <v/>
      </c>
      <c r="AP372" s="14" t="str">
        <f t="shared" si="204"/>
        <v/>
      </c>
      <c r="AQ372" s="14" t="str">
        <f t="shared" si="185"/>
        <v/>
      </c>
      <c r="AR372" s="15">
        <f t="shared" si="205"/>
        <v>0</v>
      </c>
    </row>
    <row r="373" spans="2:44" x14ac:dyDescent="0.2">
      <c r="B373" s="16"/>
      <c r="C373" s="15" t="s">
        <v>53</v>
      </c>
      <c r="D373" s="30" t="str">
        <f t="shared" si="186"/>
        <v/>
      </c>
      <c r="E373" s="14" t="str">
        <f t="shared" si="187"/>
        <v/>
      </c>
      <c r="F373" s="14" t="str">
        <f t="shared" si="188"/>
        <v/>
      </c>
      <c r="G373" s="14" t="str">
        <f t="shared" si="189"/>
        <v/>
      </c>
      <c r="H373" s="14" t="str">
        <f t="shared" si="190"/>
        <v/>
      </c>
      <c r="I373" s="14" t="str">
        <f t="shared" si="191"/>
        <v/>
      </c>
      <c r="J373" s="14" t="str">
        <f t="shared" si="192"/>
        <v/>
      </c>
      <c r="K373" s="14" t="str">
        <f t="shared" si="193"/>
        <v/>
      </c>
      <c r="L373" s="14" t="str">
        <f t="shared" si="194"/>
        <v/>
      </c>
      <c r="M373" s="14" t="str">
        <f t="shared" si="195"/>
        <v/>
      </c>
      <c r="N373" s="14" t="str">
        <f t="shared" si="196"/>
        <v/>
      </c>
      <c r="O373" s="14" t="s">
        <v>11</v>
      </c>
      <c r="P373" s="14" t="s">
        <v>11</v>
      </c>
      <c r="Q373" s="14" t="s">
        <v>11</v>
      </c>
      <c r="R373" s="14" t="s">
        <v>13</v>
      </c>
      <c r="S373" s="14" t="s">
        <v>11</v>
      </c>
      <c r="T373" s="14" t="s">
        <v>11</v>
      </c>
      <c r="U373" s="14" t="s">
        <v>11</v>
      </c>
      <c r="V373" s="14" t="s">
        <v>11</v>
      </c>
      <c r="W373" s="14" t="s">
        <v>11</v>
      </c>
      <c r="X373" s="14" t="s">
        <v>11</v>
      </c>
      <c r="Y373" s="14" t="str">
        <f t="shared" si="197"/>
        <v/>
      </c>
      <c r="Z373" s="14" t="str">
        <f t="shared" si="198"/>
        <v/>
      </c>
      <c r="AA373" s="15">
        <f t="shared" si="199"/>
        <v>0</v>
      </c>
      <c r="AB373" s="14" t="s">
        <v>11</v>
      </c>
      <c r="AC373" s="14" t="s">
        <v>11</v>
      </c>
      <c r="AD373" s="14" t="s">
        <v>11</v>
      </c>
      <c r="AE373" s="14" t="s">
        <v>11</v>
      </c>
      <c r="AF373" s="14" t="s">
        <v>13</v>
      </c>
      <c r="AG373" s="14" t="s">
        <v>11</v>
      </c>
      <c r="AH373" s="14" t="s">
        <v>11</v>
      </c>
      <c r="AI373" s="14" t="s">
        <v>11</v>
      </c>
      <c r="AJ373" s="14" t="s">
        <v>11</v>
      </c>
      <c r="AK373" s="14" t="s">
        <v>11</v>
      </c>
      <c r="AL373" s="14" t="str">
        <f t="shared" si="200"/>
        <v>T</v>
      </c>
      <c r="AM373" s="14" t="str">
        <f t="shared" si="201"/>
        <v>T</v>
      </c>
      <c r="AN373" s="14" t="str">
        <f t="shared" si="202"/>
        <v/>
      </c>
      <c r="AO373" s="14" t="str">
        <f t="shared" si="203"/>
        <v/>
      </c>
      <c r="AP373" s="14" t="str">
        <f t="shared" si="204"/>
        <v/>
      </c>
      <c r="AQ373" s="14" t="str">
        <f t="shared" si="185"/>
        <v/>
      </c>
      <c r="AR373" s="15">
        <f t="shared" si="205"/>
        <v>0</v>
      </c>
    </row>
    <row r="374" spans="2:44" x14ac:dyDescent="0.2">
      <c r="B374" s="16"/>
      <c r="C374" s="15" t="s">
        <v>53</v>
      </c>
      <c r="D374" s="30" t="str">
        <f t="shared" si="186"/>
        <v/>
      </c>
      <c r="E374" s="14" t="str">
        <f t="shared" si="187"/>
        <v/>
      </c>
      <c r="F374" s="14" t="str">
        <f t="shared" si="188"/>
        <v/>
      </c>
      <c r="G374" s="14" t="str">
        <f t="shared" si="189"/>
        <v/>
      </c>
      <c r="H374" s="14" t="str">
        <f t="shared" si="190"/>
        <v/>
      </c>
      <c r="I374" s="14" t="str">
        <f t="shared" si="191"/>
        <v/>
      </c>
      <c r="J374" s="14" t="str">
        <f t="shared" si="192"/>
        <v/>
      </c>
      <c r="K374" s="14" t="str">
        <f t="shared" si="193"/>
        <v/>
      </c>
      <c r="L374" s="14" t="str">
        <f t="shared" si="194"/>
        <v/>
      </c>
      <c r="M374" s="14" t="str">
        <f t="shared" si="195"/>
        <v/>
      </c>
      <c r="N374" s="14" t="str">
        <f t="shared" si="196"/>
        <v/>
      </c>
      <c r="O374" s="14" t="s">
        <v>11</v>
      </c>
      <c r="P374" s="14" t="s">
        <v>11</v>
      </c>
      <c r="Q374" s="14" t="s">
        <v>11</v>
      </c>
      <c r="R374" s="14" t="s">
        <v>13</v>
      </c>
      <c r="S374" s="14" t="s">
        <v>11</v>
      </c>
      <c r="T374" s="14" t="s">
        <v>11</v>
      </c>
      <c r="U374" s="14" t="s">
        <v>11</v>
      </c>
      <c r="V374" s="14" t="s">
        <v>11</v>
      </c>
      <c r="W374" s="14" t="s">
        <v>11</v>
      </c>
      <c r="X374" s="14" t="s">
        <v>11</v>
      </c>
      <c r="Y374" s="14" t="str">
        <f t="shared" si="197"/>
        <v/>
      </c>
      <c r="Z374" s="14" t="str">
        <f t="shared" si="198"/>
        <v/>
      </c>
      <c r="AA374" s="15">
        <f t="shared" si="199"/>
        <v>0</v>
      </c>
      <c r="AB374" s="14" t="s">
        <v>11</v>
      </c>
      <c r="AC374" s="14" t="s">
        <v>11</v>
      </c>
      <c r="AD374" s="14" t="s">
        <v>11</v>
      </c>
      <c r="AE374" s="14" t="s">
        <v>11</v>
      </c>
      <c r="AF374" s="14" t="s">
        <v>13</v>
      </c>
      <c r="AG374" s="14" t="s">
        <v>11</v>
      </c>
      <c r="AH374" s="14" t="s">
        <v>11</v>
      </c>
      <c r="AI374" s="14" t="s">
        <v>11</v>
      </c>
      <c r="AJ374" s="14" t="s">
        <v>11</v>
      </c>
      <c r="AK374" s="14" t="s">
        <v>11</v>
      </c>
      <c r="AL374" s="14" t="str">
        <f t="shared" si="200"/>
        <v>T</v>
      </c>
      <c r="AM374" s="14" t="str">
        <f t="shared" si="201"/>
        <v>T</v>
      </c>
      <c r="AN374" s="14" t="str">
        <f t="shared" si="202"/>
        <v/>
      </c>
      <c r="AO374" s="14" t="str">
        <f t="shared" si="203"/>
        <v/>
      </c>
      <c r="AP374" s="14" t="str">
        <f t="shared" si="204"/>
        <v/>
      </c>
      <c r="AQ374" s="14" t="str">
        <f t="shared" si="185"/>
        <v/>
      </c>
      <c r="AR374" s="15">
        <f t="shared" si="205"/>
        <v>0</v>
      </c>
    </row>
    <row r="375" spans="2:44" x14ac:dyDescent="0.2">
      <c r="B375" s="16"/>
      <c r="C375" s="15" t="s">
        <v>53</v>
      </c>
      <c r="D375" s="30" t="str">
        <f t="shared" si="186"/>
        <v/>
      </c>
      <c r="E375" s="14" t="str">
        <f t="shared" si="187"/>
        <v/>
      </c>
      <c r="F375" s="14" t="str">
        <f t="shared" si="188"/>
        <v/>
      </c>
      <c r="G375" s="14" t="str">
        <f t="shared" si="189"/>
        <v/>
      </c>
      <c r="H375" s="14" t="str">
        <f t="shared" si="190"/>
        <v/>
      </c>
      <c r="I375" s="14" t="str">
        <f t="shared" si="191"/>
        <v/>
      </c>
      <c r="J375" s="14" t="str">
        <f t="shared" si="192"/>
        <v/>
      </c>
      <c r="K375" s="14" t="str">
        <f t="shared" si="193"/>
        <v/>
      </c>
      <c r="L375" s="14" t="str">
        <f t="shared" si="194"/>
        <v/>
      </c>
      <c r="M375" s="14" t="str">
        <f t="shared" si="195"/>
        <v/>
      </c>
      <c r="N375" s="14" t="str">
        <f t="shared" si="196"/>
        <v/>
      </c>
      <c r="O375" s="14" t="s">
        <v>11</v>
      </c>
      <c r="P375" s="14" t="s">
        <v>11</v>
      </c>
      <c r="Q375" s="14" t="s">
        <v>11</v>
      </c>
      <c r="R375" s="14" t="s">
        <v>13</v>
      </c>
      <c r="S375" s="14" t="s">
        <v>11</v>
      </c>
      <c r="T375" s="14" t="s">
        <v>11</v>
      </c>
      <c r="U375" s="14" t="s">
        <v>11</v>
      </c>
      <c r="V375" s="14" t="s">
        <v>11</v>
      </c>
      <c r="W375" s="14" t="s">
        <v>11</v>
      </c>
      <c r="X375" s="14" t="s">
        <v>11</v>
      </c>
      <c r="Y375" s="14" t="str">
        <f t="shared" si="197"/>
        <v/>
      </c>
      <c r="Z375" s="14" t="str">
        <f t="shared" si="198"/>
        <v/>
      </c>
      <c r="AA375" s="15">
        <f t="shared" si="199"/>
        <v>0</v>
      </c>
      <c r="AB375" s="14" t="s">
        <v>11</v>
      </c>
      <c r="AC375" s="14" t="s">
        <v>11</v>
      </c>
      <c r="AD375" s="14" t="s">
        <v>11</v>
      </c>
      <c r="AE375" s="14" t="s">
        <v>11</v>
      </c>
      <c r="AF375" s="14" t="s">
        <v>13</v>
      </c>
      <c r="AG375" s="14" t="s">
        <v>11</v>
      </c>
      <c r="AH375" s="14" t="s">
        <v>11</v>
      </c>
      <c r="AI375" s="14" t="s">
        <v>11</v>
      </c>
      <c r="AJ375" s="14" t="s">
        <v>11</v>
      </c>
      <c r="AK375" s="14" t="s">
        <v>11</v>
      </c>
      <c r="AL375" s="14" t="str">
        <f t="shared" si="200"/>
        <v>T</v>
      </c>
      <c r="AM375" s="14" t="str">
        <f t="shared" si="201"/>
        <v>T</v>
      </c>
      <c r="AN375" s="14" t="str">
        <f t="shared" si="202"/>
        <v/>
      </c>
      <c r="AO375" s="14" t="str">
        <f t="shared" si="203"/>
        <v/>
      </c>
      <c r="AP375" s="14" t="str">
        <f t="shared" si="204"/>
        <v/>
      </c>
      <c r="AQ375" s="14" t="str">
        <f t="shared" si="185"/>
        <v/>
      </c>
      <c r="AR375" s="15">
        <f t="shared" si="205"/>
        <v>0</v>
      </c>
    </row>
    <row r="376" spans="2:44" x14ac:dyDescent="0.2">
      <c r="B376" s="16"/>
      <c r="C376" s="15" t="s">
        <v>53</v>
      </c>
      <c r="D376" s="30" t="str">
        <f t="shared" si="186"/>
        <v/>
      </c>
      <c r="E376" s="14" t="str">
        <f t="shared" si="187"/>
        <v/>
      </c>
      <c r="F376" s="14" t="str">
        <f t="shared" si="188"/>
        <v/>
      </c>
      <c r="G376" s="14" t="str">
        <f t="shared" si="189"/>
        <v/>
      </c>
      <c r="H376" s="14" t="str">
        <f t="shared" si="190"/>
        <v/>
      </c>
      <c r="I376" s="14" t="str">
        <f t="shared" si="191"/>
        <v/>
      </c>
      <c r="J376" s="14" t="str">
        <f t="shared" si="192"/>
        <v/>
      </c>
      <c r="K376" s="14" t="str">
        <f t="shared" si="193"/>
        <v/>
      </c>
      <c r="L376" s="14" t="str">
        <f t="shared" si="194"/>
        <v/>
      </c>
      <c r="M376" s="14" t="str">
        <f t="shared" si="195"/>
        <v/>
      </c>
      <c r="N376" s="14" t="str">
        <f t="shared" si="196"/>
        <v/>
      </c>
      <c r="O376" s="14" t="s">
        <v>11</v>
      </c>
      <c r="P376" s="14" t="s">
        <v>11</v>
      </c>
      <c r="Q376" s="14" t="s">
        <v>11</v>
      </c>
      <c r="R376" s="14" t="s">
        <v>13</v>
      </c>
      <c r="S376" s="14" t="s">
        <v>11</v>
      </c>
      <c r="T376" s="14" t="s">
        <v>11</v>
      </c>
      <c r="U376" s="14" t="s">
        <v>11</v>
      </c>
      <c r="V376" s="14" t="s">
        <v>11</v>
      </c>
      <c r="W376" s="14" t="s">
        <v>11</v>
      </c>
      <c r="X376" s="14" t="s">
        <v>11</v>
      </c>
      <c r="Y376" s="14" t="str">
        <f t="shared" si="197"/>
        <v/>
      </c>
      <c r="Z376" s="14" t="str">
        <f t="shared" si="198"/>
        <v/>
      </c>
      <c r="AA376" s="15">
        <f t="shared" si="199"/>
        <v>0</v>
      </c>
      <c r="AB376" s="14" t="s">
        <v>11</v>
      </c>
      <c r="AC376" s="14" t="s">
        <v>11</v>
      </c>
      <c r="AD376" s="14" t="s">
        <v>11</v>
      </c>
      <c r="AE376" s="14" t="s">
        <v>11</v>
      </c>
      <c r="AF376" s="14" t="s">
        <v>13</v>
      </c>
      <c r="AG376" s="14" t="s">
        <v>11</v>
      </c>
      <c r="AH376" s="14" t="s">
        <v>11</v>
      </c>
      <c r="AI376" s="14" t="s">
        <v>11</v>
      </c>
      <c r="AJ376" s="14" t="s">
        <v>11</v>
      </c>
      <c r="AK376" s="14" t="s">
        <v>11</v>
      </c>
      <c r="AL376" s="14" t="str">
        <f t="shared" si="200"/>
        <v>T</v>
      </c>
      <c r="AM376" s="14" t="str">
        <f t="shared" si="201"/>
        <v>T</v>
      </c>
      <c r="AN376" s="14" t="str">
        <f t="shared" si="202"/>
        <v/>
      </c>
      <c r="AO376" s="14" t="str">
        <f t="shared" si="203"/>
        <v/>
      </c>
      <c r="AP376" s="14" t="str">
        <f t="shared" si="204"/>
        <v/>
      </c>
      <c r="AQ376" s="14" t="str">
        <f t="shared" si="185"/>
        <v/>
      </c>
      <c r="AR376" s="15">
        <f t="shared" si="205"/>
        <v>0</v>
      </c>
    </row>
    <row r="377" spans="2:44" x14ac:dyDescent="0.2">
      <c r="B377" s="16"/>
      <c r="C377" s="15" t="s">
        <v>53</v>
      </c>
      <c r="D377" s="30" t="str">
        <f t="shared" si="186"/>
        <v/>
      </c>
      <c r="E377" s="14" t="str">
        <f t="shared" si="187"/>
        <v/>
      </c>
      <c r="F377" s="14" t="str">
        <f t="shared" si="188"/>
        <v/>
      </c>
      <c r="G377" s="14" t="str">
        <f t="shared" si="189"/>
        <v/>
      </c>
      <c r="H377" s="14" t="str">
        <f t="shared" si="190"/>
        <v/>
      </c>
      <c r="I377" s="14" t="str">
        <f t="shared" si="191"/>
        <v/>
      </c>
      <c r="J377" s="14" t="str">
        <f t="shared" si="192"/>
        <v/>
      </c>
      <c r="K377" s="14" t="str">
        <f t="shared" si="193"/>
        <v/>
      </c>
      <c r="L377" s="14" t="str">
        <f t="shared" si="194"/>
        <v/>
      </c>
      <c r="M377" s="14" t="str">
        <f t="shared" si="195"/>
        <v/>
      </c>
      <c r="N377" s="14" t="str">
        <f t="shared" si="196"/>
        <v/>
      </c>
      <c r="O377" s="14" t="s">
        <v>11</v>
      </c>
      <c r="P377" s="14" t="s">
        <v>11</v>
      </c>
      <c r="Q377" s="14" t="s">
        <v>11</v>
      </c>
      <c r="R377" s="14" t="s">
        <v>13</v>
      </c>
      <c r="S377" s="14" t="s">
        <v>11</v>
      </c>
      <c r="T377" s="14" t="s">
        <v>11</v>
      </c>
      <c r="U377" s="14" t="s">
        <v>11</v>
      </c>
      <c r="V377" s="14" t="s">
        <v>11</v>
      </c>
      <c r="W377" s="14" t="s">
        <v>11</v>
      </c>
      <c r="X377" s="14" t="s">
        <v>11</v>
      </c>
      <c r="Y377" s="14" t="str">
        <f t="shared" si="197"/>
        <v/>
      </c>
      <c r="Z377" s="14" t="str">
        <f t="shared" si="198"/>
        <v/>
      </c>
      <c r="AA377" s="15">
        <f t="shared" si="199"/>
        <v>0</v>
      </c>
      <c r="AB377" s="14" t="s">
        <v>11</v>
      </c>
      <c r="AC377" s="14" t="s">
        <v>11</v>
      </c>
      <c r="AD377" s="14" t="s">
        <v>11</v>
      </c>
      <c r="AE377" s="14" t="s">
        <v>11</v>
      </c>
      <c r="AF377" s="14" t="s">
        <v>13</v>
      </c>
      <c r="AG377" s="14" t="s">
        <v>11</v>
      </c>
      <c r="AH377" s="14" t="s">
        <v>11</v>
      </c>
      <c r="AI377" s="14" t="s">
        <v>11</v>
      </c>
      <c r="AJ377" s="14" t="s">
        <v>11</v>
      </c>
      <c r="AK377" s="14" t="s">
        <v>11</v>
      </c>
      <c r="AL377" s="14" t="str">
        <f t="shared" si="200"/>
        <v>T</v>
      </c>
      <c r="AM377" s="14" t="str">
        <f t="shared" si="201"/>
        <v>T</v>
      </c>
      <c r="AN377" s="14" t="str">
        <f t="shared" si="202"/>
        <v/>
      </c>
      <c r="AO377" s="14" t="str">
        <f t="shared" si="203"/>
        <v/>
      </c>
      <c r="AP377" s="14" t="str">
        <f t="shared" si="204"/>
        <v/>
      </c>
      <c r="AQ377" s="14" t="str">
        <f t="shared" si="185"/>
        <v/>
      </c>
      <c r="AR377" s="15">
        <f t="shared" si="205"/>
        <v>0</v>
      </c>
    </row>
    <row r="378" spans="2:44" x14ac:dyDescent="0.2">
      <c r="B378" s="16"/>
      <c r="C378" s="15" t="s">
        <v>53</v>
      </c>
      <c r="D378" s="30" t="str">
        <f t="shared" si="186"/>
        <v/>
      </c>
      <c r="E378" s="14" t="str">
        <f t="shared" si="187"/>
        <v/>
      </c>
      <c r="F378" s="14" t="str">
        <f t="shared" si="188"/>
        <v/>
      </c>
      <c r="G378" s="14" t="str">
        <f t="shared" si="189"/>
        <v/>
      </c>
      <c r="H378" s="14" t="str">
        <f t="shared" si="190"/>
        <v/>
      </c>
      <c r="I378" s="14" t="str">
        <f t="shared" si="191"/>
        <v/>
      </c>
      <c r="J378" s="14" t="str">
        <f t="shared" si="192"/>
        <v/>
      </c>
      <c r="K378" s="14" t="str">
        <f t="shared" si="193"/>
        <v/>
      </c>
      <c r="L378" s="14" t="str">
        <f t="shared" si="194"/>
        <v/>
      </c>
      <c r="M378" s="14" t="str">
        <f t="shared" si="195"/>
        <v/>
      </c>
      <c r="N378" s="14" t="str">
        <f t="shared" si="196"/>
        <v/>
      </c>
      <c r="O378" s="14" t="s">
        <v>11</v>
      </c>
      <c r="P378" s="14" t="s">
        <v>11</v>
      </c>
      <c r="Q378" s="14" t="s">
        <v>11</v>
      </c>
      <c r="R378" s="14" t="s">
        <v>13</v>
      </c>
      <c r="S378" s="14" t="s">
        <v>11</v>
      </c>
      <c r="T378" s="14" t="s">
        <v>11</v>
      </c>
      <c r="U378" s="14" t="s">
        <v>11</v>
      </c>
      <c r="V378" s="14" t="s">
        <v>11</v>
      </c>
      <c r="W378" s="14" t="s">
        <v>11</v>
      </c>
      <c r="X378" s="14" t="s">
        <v>11</v>
      </c>
      <c r="Y378" s="14" t="str">
        <f t="shared" si="197"/>
        <v/>
      </c>
      <c r="Z378" s="14" t="str">
        <f t="shared" si="198"/>
        <v/>
      </c>
      <c r="AA378" s="15">
        <f t="shared" si="199"/>
        <v>0</v>
      </c>
      <c r="AB378" s="14" t="s">
        <v>11</v>
      </c>
      <c r="AC378" s="14" t="s">
        <v>11</v>
      </c>
      <c r="AD378" s="14" t="s">
        <v>11</v>
      </c>
      <c r="AE378" s="14" t="s">
        <v>11</v>
      </c>
      <c r="AF378" s="14" t="s">
        <v>13</v>
      </c>
      <c r="AG378" s="14" t="s">
        <v>11</v>
      </c>
      <c r="AH378" s="14" t="s">
        <v>11</v>
      </c>
      <c r="AI378" s="14" t="s">
        <v>11</v>
      </c>
      <c r="AJ378" s="14" t="s">
        <v>11</v>
      </c>
      <c r="AK378" s="14" t="s">
        <v>11</v>
      </c>
      <c r="AL378" s="14" t="str">
        <f t="shared" si="200"/>
        <v>T</v>
      </c>
      <c r="AM378" s="14" t="str">
        <f t="shared" si="201"/>
        <v>T</v>
      </c>
      <c r="AN378" s="14" t="str">
        <f t="shared" si="202"/>
        <v/>
      </c>
      <c r="AO378" s="14" t="str">
        <f t="shared" si="203"/>
        <v/>
      </c>
      <c r="AP378" s="14" t="str">
        <f t="shared" si="204"/>
        <v/>
      </c>
      <c r="AQ378" s="14" t="str">
        <f t="shared" si="185"/>
        <v/>
      </c>
      <c r="AR378" s="15">
        <f t="shared" si="205"/>
        <v>0</v>
      </c>
    </row>
    <row r="379" spans="2:44" x14ac:dyDescent="0.2">
      <c r="B379" s="16"/>
      <c r="C379" s="15" t="s">
        <v>53</v>
      </c>
      <c r="D379" s="30" t="str">
        <f t="shared" si="186"/>
        <v/>
      </c>
      <c r="E379" s="14" t="str">
        <f t="shared" si="187"/>
        <v/>
      </c>
      <c r="F379" s="14" t="str">
        <f t="shared" si="188"/>
        <v/>
      </c>
      <c r="G379" s="14" t="str">
        <f t="shared" si="189"/>
        <v/>
      </c>
      <c r="H379" s="14" t="str">
        <f t="shared" si="190"/>
        <v/>
      </c>
      <c r="I379" s="14" t="str">
        <f t="shared" si="191"/>
        <v/>
      </c>
      <c r="J379" s="14" t="str">
        <f t="shared" si="192"/>
        <v/>
      </c>
      <c r="K379" s="14" t="str">
        <f t="shared" si="193"/>
        <v/>
      </c>
      <c r="L379" s="14" t="str">
        <f t="shared" si="194"/>
        <v/>
      </c>
      <c r="M379" s="14" t="str">
        <f t="shared" si="195"/>
        <v/>
      </c>
      <c r="N379" s="14" t="str">
        <f t="shared" si="196"/>
        <v/>
      </c>
      <c r="O379" s="14" t="s">
        <v>11</v>
      </c>
      <c r="P379" s="14" t="s">
        <v>11</v>
      </c>
      <c r="Q379" s="14" t="s">
        <v>11</v>
      </c>
      <c r="R379" s="14" t="s">
        <v>13</v>
      </c>
      <c r="S379" s="14" t="s">
        <v>11</v>
      </c>
      <c r="T379" s="14" t="s">
        <v>11</v>
      </c>
      <c r="U379" s="14" t="s">
        <v>11</v>
      </c>
      <c r="V379" s="14" t="s">
        <v>11</v>
      </c>
      <c r="W379" s="14" t="s">
        <v>11</v>
      </c>
      <c r="X379" s="14" t="s">
        <v>11</v>
      </c>
      <c r="Y379" s="14" t="str">
        <f t="shared" si="197"/>
        <v/>
      </c>
      <c r="Z379" s="14" t="str">
        <f t="shared" si="198"/>
        <v/>
      </c>
      <c r="AA379" s="15">
        <f t="shared" si="199"/>
        <v>0</v>
      </c>
      <c r="AB379" s="14" t="s">
        <v>11</v>
      </c>
      <c r="AC379" s="14" t="s">
        <v>11</v>
      </c>
      <c r="AD379" s="14" t="s">
        <v>11</v>
      </c>
      <c r="AE379" s="14" t="s">
        <v>11</v>
      </c>
      <c r="AF379" s="14" t="s">
        <v>13</v>
      </c>
      <c r="AG379" s="14" t="s">
        <v>11</v>
      </c>
      <c r="AH379" s="14" t="s">
        <v>11</v>
      </c>
      <c r="AI379" s="14" t="s">
        <v>11</v>
      </c>
      <c r="AJ379" s="14" t="s">
        <v>11</v>
      </c>
      <c r="AK379" s="14" t="s">
        <v>11</v>
      </c>
      <c r="AL379" s="14" t="str">
        <f t="shared" si="200"/>
        <v>T</v>
      </c>
      <c r="AM379" s="14" t="str">
        <f t="shared" si="201"/>
        <v>T</v>
      </c>
      <c r="AN379" s="14" t="str">
        <f t="shared" si="202"/>
        <v/>
      </c>
      <c r="AO379" s="14" t="str">
        <f t="shared" si="203"/>
        <v/>
      </c>
      <c r="AP379" s="14" t="str">
        <f t="shared" si="204"/>
        <v/>
      </c>
      <c r="AQ379" s="14" t="str">
        <f t="shared" si="185"/>
        <v/>
      </c>
      <c r="AR379" s="15">
        <f t="shared" si="205"/>
        <v>0</v>
      </c>
    </row>
    <row r="380" spans="2:44" x14ac:dyDescent="0.2">
      <c r="B380" s="16"/>
      <c r="C380" s="15" t="s">
        <v>53</v>
      </c>
      <c r="D380" s="30" t="str">
        <f t="shared" si="186"/>
        <v/>
      </c>
      <c r="E380" s="14" t="str">
        <f t="shared" si="187"/>
        <v/>
      </c>
      <c r="F380" s="14" t="str">
        <f t="shared" si="188"/>
        <v/>
      </c>
      <c r="G380" s="14" t="str">
        <f t="shared" si="189"/>
        <v/>
      </c>
      <c r="H380" s="14" t="str">
        <f t="shared" si="190"/>
        <v/>
      </c>
      <c r="I380" s="14" t="str">
        <f t="shared" si="191"/>
        <v/>
      </c>
      <c r="J380" s="14" t="str">
        <f t="shared" si="192"/>
        <v/>
      </c>
      <c r="K380" s="14" t="str">
        <f t="shared" si="193"/>
        <v/>
      </c>
      <c r="L380" s="14" t="str">
        <f t="shared" si="194"/>
        <v/>
      </c>
      <c r="M380" s="14" t="str">
        <f t="shared" si="195"/>
        <v/>
      </c>
      <c r="N380" s="14" t="str">
        <f t="shared" si="196"/>
        <v/>
      </c>
      <c r="O380" s="14" t="s">
        <v>11</v>
      </c>
      <c r="P380" s="14" t="s">
        <v>11</v>
      </c>
      <c r="Q380" s="14" t="s">
        <v>11</v>
      </c>
      <c r="R380" s="14" t="s">
        <v>13</v>
      </c>
      <c r="S380" s="14" t="s">
        <v>11</v>
      </c>
      <c r="T380" s="14" t="s">
        <v>11</v>
      </c>
      <c r="U380" s="14" t="s">
        <v>11</v>
      </c>
      <c r="V380" s="14" t="s">
        <v>11</v>
      </c>
      <c r="W380" s="14" t="s">
        <v>11</v>
      </c>
      <c r="X380" s="14" t="s">
        <v>11</v>
      </c>
      <c r="Y380" s="14" t="str">
        <f t="shared" si="197"/>
        <v/>
      </c>
      <c r="Z380" s="14" t="str">
        <f t="shared" si="198"/>
        <v/>
      </c>
      <c r="AA380" s="15">
        <f t="shared" si="199"/>
        <v>0</v>
      </c>
      <c r="AB380" s="14" t="s">
        <v>11</v>
      </c>
      <c r="AC380" s="14" t="s">
        <v>11</v>
      </c>
      <c r="AD380" s="14" t="s">
        <v>11</v>
      </c>
      <c r="AE380" s="14" t="s">
        <v>11</v>
      </c>
      <c r="AF380" s="14" t="s">
        <v>13</v>
      </c>
      <c r="AG380" s="14" t="s">
        <v>11</v>
      </c>
      <c r="AH380" s="14" t="s">
        <v>11</v>
      </c>
      <c r="AI380" s="14" t="s">
        <v>11</v>
      </c>
      <c r="AJ380" s="14" t="s">
        <v>11</v>
      </c>
      <c r="AK380" s="14" t="s">
        <v>11</v>
      </c>
      <c r="AL380" s="14" t="str">
        <f t="shared" si="200"/>
        <v>T</v>
      </c>
      <c r="AM380" s="14" t="str">
        <f t="shared" si="201"/>
        <v>T</v>
      </c>
      <c r="AN380" s="14" t="str">
        <f t="shared" si="202"/>
        <v/>
      </c>
      <c r="AO380" s="14" t="str">
        <f t="shared" si="203"/>
        <v/>
      </c>
      <c r="AP380" s="14" t="str">
        <f t="shared" si="204"/>
        <v/>
      </c>
      <c r="AQ380" s="14" t="str">
        <f t="shared" si="185"/>
        <v/>
      </c>
      <c r="AR380" s="15">
        <f t="shared" si="205"/>
        <v>0</v>
      </c>
    </row>
    <row r="381" spans="2:44" x14ac:dyDescent="0.2">
      <c r="B381" s="16"/>
      <c r="C381" s="15" t="s">
        <v>53</v>
      </c>
      <c r="D381" s="30" t="str">
        <f t="shared" si="186"/>
        <v/>
      </c>
      <c r="E381" s="14" t="str">
        <f t="shared" si="187"/>
        <v/>
      </c>
      <c r="F381" s="14" t="str">
        <f t="shared" si="188"/>
        <v/>
      </c>
      <c r="G381" s="14" t="str">
        <f t="shared" si="189"/>
        <v/>
      </c>
      <c r="H381" s="14" t="str">
        <f t="shared" si="190"/>
        <v/>
      </c>
      <c r="I381" s="14" t="str">
        <f t="shared" si="191"/>
        <v/>
      </c>
      <c r="J381" s="14" t="str">
        <f t="shared" si="192"/>
        <v/>
      </c>
      <c r="K381" s="14" t="str">
        <f t="shared" si="193"/>
        <v/>
      </c>
      <c r="L381" s="14" t="str">
        <f t="shared" si="194"/>
        <v/>
      </c>
      <c r="M381" s="14" t="str">
        <f t="shared" si="195"/>
        <v/>
      </c>
      <c r="N381" s="14" t="str">
        <f t="shared" si="196"/>
        <v/>
      </c>
      <c r="O381" s="14" t="s">
        <v>11</v>
      </c>
      <c r="P381" s="14" t="s">
        <v>11</v>
      </c>
      <c r="Q381" s="14" t="s">
        <v>11</v>
      </c>
      <c r="R381" s="14" t="s">
        <v>13</v>
      </c>
      <c r="S381" s="14" t="s">
        <v>11</v>
      </c>
      <c r="T381" s="14" t="s">
        <v>11</v>
      </c>
      <c r="U381" s="14" t="s">
        <v>11</v>
      </c>
      <c r="V381" s="14" t="s">
        <v>11</v>
      </c>
      <c r="W381" s="14" t="s">
        <v>11</v>
      </c>
      <c r="X381" s="14" t="s">
        <v>11</v>
      </c>
      <c r="Y381" s="14" t="str">
        <f t="shared" si="197"/>
        <v/>
      </c>
      <c r="Z381" s="14" t="str">
        <f t="shared" si="198"/>
        <v/>
      </c>
      <c r="AA381" s="15">
        <f t="shared" si="199"/>
        <v>0</v>
      </c>
      <c r="AB381" s="14" t="s">
        <v>11</v>
      </c>
      <c r="AC381" s="14" t="s">
        <v>11</v>
      </c>
      <c r="AD381" s="14" t="s">
        <v>11</v>
      </c>
      <c r="AE381" s="14" t="s">
        <v>11</v>
      </c>
      <c r="AF381" s="14" t="s">
        <v>13</v>
      </c>
      <c r="AG381" s="14" t="s">
        <v>11</v>
      </c>
      <c r="AH381" s="14" t="s">
        <v>11</v>
      </c>
      <c r="AI381" s="14" t="s">
        <v>11</v>
      </c>
      <c r="AJ381" s="14" t="s">
        <v>11</v>
      </c>
      <c r="AK381" s="14" t="s">
        <v>11</v>
      </c>
      <c r="AL381" s="14" t="str">
        <f t="shared" si="200"/>
        <v>T</v>
      </c>
      <c r="AM381" s="14" t="str">
        <f t="shared" si="201"/>
        <v>T</v>
      </c>
      <c r="AN381" s="14" t="str">
        <f t="shared" si="202"/>
        <v/>
      </c>
      <c r="AO381" s="14" t="str">
        <f t="shared" si="203"/>
        <v/>
      </c>
      <c r="AP381" s="14" t="str">
        <f t="shared" si="204"/>
        <v/>
      </c>
      <c r="AQ381" s="14" t="str">
        <f t="shared" si="185"/>
        <v/>
      </c>
      <c r="AR381" s="15">
        <f t="shared" si="205"/>
        <v>0</v>
      </c>
    </row>
    <row r="382" spans="2:44" x14ac:dyDescent="0.2">
      <c r="B382" s="16"/>
      <c r="C382" s="15" t="s">
        <v>53</v>
      </c>
      <c r="D382" s="30" t="str">
        <f t="shared" si="186"/>
        <v/>
      </c>
      <c r="E382" s="14" t="str">
        <f t="shared" si="187"/>
        <v/>
      </c>
      <c r="F382" s="14" t="str">
        <f t="shared" si="188"/>
        <v/>
      </c>
      <c r="G382" s="14" t="str">
        <f t="shared" si="189"/>
        <v/>
      </c>
      <c r="H382" s="14" t="str">
        <f t="shared" si="190"/>
        <v/>
      </c>
      <c r="I382" s="14" t="str">
        <f t="shared" si="191"/>
        <v/>
      </c>
      <c r="J382" s="14" t="str">
        <f t="shared" si="192"/>
        <v/>
      </c>
      <c r="K382" s="14" t="str">
        <f t="shared" si="193"/>
        <v/>
      </c>
      <c r="L382" s="14" t="str">
        <f t="shared" si="194"/>
        <v/>
      </c>
      <c r="M382" s="14" t="str">
        <f t="shared" si="195"/>
        <v/>
      </c>
      <c r="N382" s="14" t="str">
        <f t="shared" si="196"/>
        <v/>
      </c>
      <c r="O382" s="14" t="s">
        <v>11</v>
      </c>
      <c r="P382" s="14" t="s">
        <v>11</v>
      </c>
      <c r="Q382" s="14" t="s">
        <v>11</v>
      </c>
      <c r="R382" s="14" t="s">
        <v>13</v>
      </c>
      <c r="S382" s="14" t="s">
        <v>11</v>
      </c>
      <c r="T382" s="14" t="s">
        <v>11</v>
      </c>
      <c r="U382" s="14" t="s">
        <v>11</v>
      </c>
      <c r="V382" s="14" t="s">
        <v>11</v>
      </c>
      <c r="W382" s="14" t="s">
        <v>11</v>
      </c>
      <c r="X382" s="14" t="s">
        <v>11</v>
      </c>
      <c r="Y382" s="14" t="str">
        <f t="shared" si="197"/>
        <v/>
      </c>
      <c r="Z382" s="14" t="str">
        <f t="shared" si="198"/>
        <v/>
      </c>
      <c r="AA382" s="15">
        <f t="shared" si="199"/>
        <v>0</v>
      </c>
      <c r="AB382" s="14" t="s">
        <v>11</v>
      </c>
      <c r="AC382" s="14" t="s">
        <v>11</v>
      </c>
      <c r="AD382" s="14" t="s">
        <v>11</v>
      </c>
      <c r="AE382" s="14" t="s">
        <v>11</v>
      </c>
      <c r="AF382" s="14" t="s">
        <v>13</v>
      </c>
      <c r="AG382" s="14" t="s">
        <v>11</v>
      </c>
      <c r="AH382" s="14" t="s">
        <v>11</v>
      </c>
      <c r="AI382" s="14" t="s">
        <v>11</v>
      </c>
      <c r="AJ382" s="14" t="s">
        <v>11</v>
      </c>
      <c r="AK382" s="14" t="s">
        <v>11</v>
      </c>
      <c r="AL382" s="14" t="str">
        <f t="shared" si="200"/>
        <v>T</v>
      </c>
      <c r="AM382" s="14" t="str">
        <f t="shared" si="201"/>
        <v>T</v>
      </c>
      <c r="AN382" s="14" t="str">
        <f t="shared" si="202"/>
        <v/>
      </c>
      <c r="AO382" s="14" t="str">
        <f t="shared" si="203"/>
        <v/>
      </c>
      <c r="AP382" s="14" t="str">
        <f t="shared" si="204"/>
        <v/>
      </c>
      <c r="AQ382" s="14" t="str">
        <f t="shared" si="185"/>
        <v/>
      </c>
      <c r="AR382" s="15">
        <f t="shared" si="205"/>
        <v>0</v>
      </c>
    </row>
    <row r="383" spans="2:44" x14ac:dyDescent="0.2">
      <c r="B383" s="16"/>
      <c r="C383" s="15" t="s">
        <v>53</v>
      </c>
      <c r="D383" s="30" t="str">
        <f t="shared" si="186"/>
        <v/>
      </c>
      <c r="E383" s="14" t="str">
        <f t="shared" si="187"/>
        <v/>
      </c>
      <c r="F383" s="14" t="str">
        <f t="shared" si="188"/>
        <v/>
      </c>
      <c r="G383" s="14" t="str">
        <f t="shared" si="189"/>
        <v/>
      </c>
      <c r="H383" s="14" t="str">
        <f t="shared" si="190"/>
        <v/>
      </c>
      <c r="I383" s="14" t="str">
        <f t="shared" si="191"/>
        <v/>
      </c>
      <c r="J383" s="14" t="str">
        <f t="shared" si="192"/>
        <v/>
      </c>
      <c r="K383" s="14" t="str">
        <f t="shared" si="193"/>
        <v/>
      </c>
      <c r="L383" s="14" t="str">
        <f t="shared" si="194"/>
        <v/>
      </c>
      <c r="M383" s="14" t="str">
        <f t="shared" si="195"/>
        <v/>
      </c>
      <c r="N383" s="14" t="str">
        <f t="shared" si="196"/>
        <v/>
      </c>
      <c r="O383" s="14" t="s">
        <v>11</v>
      </c>
      <c r="P383" s="14" t="s">
        <v>11</v>
      </c>
      <c r="Q383" s="14" t="s">
        <v>11</v>
      </c>
      <c r="R383" s="14" t="s">
        <v>13</v>
      </c>
      <c r="S383" s="14" t="s">
        <v>11</v>
      </c>
      <c r="T383" s="14" t="s">
        <v>11</v>
      </c>
      <c r="U383" s="14" t="s">
        <v>11</v>
      </c>
      <c r="V383" s="14" t="s">
        <v>11</v>
      </c>
      <c r="W383" s="14" t="s">
        <v>11</v>
      </c>
      <c r="X383" s="14" t="s">
        <v>11</v>
      </c>
      <c r="Y383" s="14" t="str">
        <f t="shared" si="197"/>
        <v/>
      </c>
      <c r="Z383" s="14" t="str">
        <f t="shared" si="198"/>
        <v/>
      </c>
      <c r="AA383" s="15">
        <f t="shared" si="199"/>
        <v>0</v>
      </c>
      <c r="AB383" s="14" t="s">
        <v>11</v>
      </c>
      <c r="AC383" s="14" t="s">
        <v>11</v>
      </c>
      <c r="AD383" s="14" t="s">
        <v>11</v>
      </c>
      <c r="AE383" s="14" t="s">
        <v>11</v>
      </c>
      <c r="AF383" s="14" t="s">
        <v>13</v>
      </c>
      <c r="AG383" s="14" t="s">
        <v>11</v>
      </c>
      <c r="AH383" s="14" t="s">
        <v>11</v>
      </c>
      <c r="AI383" s="14" t="s">
        <v>11</v>
      </c>
      <c r="AJ383" s="14" t="s">
        <v>11</v>
      </c>
      <c r="AK383" s="14" t="s">
        <v>11</v>
      </c>
      <c r="AL383" s="14" t="str">
        <f t="shared" si="200"/>
        <v>T</v>
      </c>
      <c r="AM383" s="14" t="str">
        <f t="shared" si="201"/>
        <v>T</v>
      </c>
      <c r="AN383" s="14" t="str">
        <f t="shared" si="202"/>
        <v/>
      </c>
      <c r="AO383" s="14" t="str">
        <f t="shared" si="203"/>
        <v/>
      </c>
      <c r="AP383" s="14" t="str">
        <f t="shared" si="204"/>
        <v/>
      </c>
      <c r="AQ383" s="14" t="str">
        <f t="shared" si="185"/>
        <v/>
      </c>
      <c r="AR383" s="15">
        <f t="shared" si="205"/>
        <v>0</v>
      </c>
    </row>
    <row r="384" spans="2:44" x14ac:dyDescent="0.2">
      <c r="B384" s="16"/>
      <c r="C384" s="15" t="s">
        <v>53</v>
      </c>
      <c r="D384" s="30" t="str">
        <f t="shared" si="186"/>
        <v/>
      </c>
      <c r="E384" s="14" t="str">
        <f t="shared" si="187"/>
        <v/>
      </c>
      <c r="F384" s="14" t="str">
        <f t="shared" si="188"/>
        <v/>
      </c>
      <c r="G384" s="14" t="str">
        <f t="shared" si="189"/>
        <v/>
      </c>
      <c r="H384" s="14" t="str">
        <f t="shared" si="190"/>
        <v/>
      </c>
      <c r="I384" s="14" t="str">
        <f t="shared" si="191"/>
        <v/>
      </c>
      <c r="J384" s="14" t="str">
        <f t="shared" si="192"/>
        <v/>
      </c>
      <c r="K384" s="14" t="str">
        <f t="shared" si="193"/>
        <v/>
      </c>
      <c r="L384" s="14" t="str">
        <f t="shared" si="194"/>
        <v/>
      </c>
      <c r="M384" s="14" t="str">
        <f t="shared" si="195"/>
        <v/>
      </c>
      <c r="N384" s="14" t="str">
        <f t="shared" si="196"/>
        <v/>
      </c>
      <c r="O384" s="14" t="s">
        <v>11</v>
      </c>
      <c r="P384" s="14" t="s">
        <v>11</v>
      </c>
      <c r="Q384" s="14" t="s">
        <v>11</v>
      </c>
      <c r="R384" s="14" t="s">
        <v>13</v>
      </c>
      <c r="S384" s="14" t="s">
        <v>11</v>
      </c>
      <c r="T384" s="14" t="s">
        <v>11</v>
      </c>
      <c r="U384" s="14" t="s">
        <v>11</v>
      </c>
      <c r="V384" s="14" t="s">
        <v>11</v>
      </c>
      <c r="W384" s="14" t="s">
        <v>11</v>
      </c>
      <c r="X384" s="14" t="s">
        <v>11</v>
      </c>
      <c r="Y384" s="14" t="str">
        <f t="shared" si="197"/>
        <v/>
      </c>
      <c r="Z384" s="14" t="str">
        <f t="shared" si="198"/>
        <v/>
      </c>
      <c r="AA384" s="15">
        <f t="shared" si="199"/>
        <v>0</v>
      </c>
      <c r="AB384" s="14" t="s">
        <v>11</v>
      </c>
      <c r="AC384" s="14" t="s">
        <v>11</v>
      </c>
      <c r="AD384" s="14" t="s">
        <v>11</v>
      </c>
      <c r="AE384" s="14" t="s">
        <v>11</v>
      </c>
      <c r="AF384" s="14" t="s">
        <v>13</v>
      </c>
      <c r="AG384" s="14" t="s">
        <v>11</v>
      </c>
      <c r="AH384" s="14" t="s">
        <v>11</v>
      </c>
      <c r="AI384" s="14" t="s">
        <v>11</v>
      </c>
      <c r="AJ384" s="14" t="s">
        <v>11</v>
      </c>
      <c r="AK384" s="14" t="s">
        <v>11</v>
      </c>
      <c r="AL384" s="14" t="str">
        <f t="shared" si="200"/>
        <v>T</v>
      </c>
      <c r="AM384" s="14" t="str">
        <f t="shared" si="201"/>
        <v>T</v>
      </c>
      <c r="AN384" s="14" t="str">
        <f t="shared" si="202"/>
        <v/>
      </c>
      <c r="AO384" s="14" t="str">
        <f t="shared" si="203"/>
        <v/>
      </c>
      <c r="AP384" s="14" t="str">
        <f t="shared" si="204"/>
        <v/>
      </c>
      <c r="AQ384" s="14" t="str">
        <f t="shared" si="185"/>
        <v/>
      </c>
      <c r="AR384" s="15">
        <f t="shared" si="205"/>
        <v>0</v>
      </c>
    </row>
    <row r="385" spans="2:44" x14ac:dyDescent="0.2">
      <c r="B385" s="16"/>
      <c r="C385" s="15" t="s">
        <v>53</v>
      </c>
      <c r="D385" s="30" t="str">
        <f t="shared" si="186"/>
        <v/>
      </c>
      <c r="E385" s="14" t="str">
        <f t="shared" si="187"/>
        <v/>
      </c>
      <c r="F385" s="14" t="str">
        <f t="shared" si="188"/>
        <v/>
      </c>
      <c r="G385" s="14" t="str">
        <f t="shared" si="189"/>
        <v/>
      </c>
      <c r="H385" s="14" t="str">
        <f t="shared" si="190"/>
        <v/>
      </c>
      <c r="I385" s="14" t="str">
        <f t="shared" si="191"/>
        <v/>
      </c>
      <c r="J385" s="14" t="str">
        <f t="shared" si="192"/>
        <v/>
      </c>
      <c r="K385" s="14" t="str">
        <f t="shared" si="193"/>
        <v/>
      </c>
      <c r="L385" s="14" t="str">
        <f t="shared" si="194"/>
        <v/>
      </c>
      <c r="M385" s="14" t="str">
        <f t="shared" si="195"/>
        <v/>
      </c>
      <c r="N385" s="14" t="str">
        <f t="shared" si="196"/>
        <v/>
      </c>
      <c r="O385" s="14" t="s">
        <v>11</v>
      </c>
      <c r="P385" s="14" t="s">
        <v>11</v>
      </c>
      <c r="Q385" s="14" t="s">
        <v>11</v>
      </c>
      <c r="R385" s="14" t="s">
        <v>13</v>
      </c>
      <c r="S385" s="14" t="s">
        <v>11</v>
      </c>
      <c r="T385" s="14" t="s">
        <v>11</v>
      </c>
      <c r="U385" s="14" t="s">
        <v>11</v>
      </c>
      <c r="V385" s="14" t="s">
        <v>11</v>
      </c>
      <c r="W385" s="14" t="s">
        <v>11</v>
      </c>
      <c r="X385" s="14" t="s">
        <v>11</v>
      </c>
      <c r="Y385" s="14" t="str">
        <f t="shared" si="197"/>
        <v/>
      </c>
      <c r="Z385" s="14" t="str">
        <f t="shared" si="198"/>
        <v/>
      </c>
      <c r="AA385" s="15">
        <f t="shared" si="199"/>
        <v>0</v>
      </c>
      <c r="AB385" s="14" t="s">
        <v>11</v>
      </c>
      <c r="AC385" s="14" t="s">
        <v>11</v>
      </c>
      <c r="AD385" s="14" t="s">
        <v>11</v>
      </c>
      <c r="AE385" s="14" t="s">
        <v>11</v>
      </c>
      <c r="AF385" s="14" t="s">
        <v>13</v>
      </c>
      <c r="AG385" s="14" t="s">
        <v>11</v>
      </c>
      <c r="AH385" s="14" t="s">
        <v>11</v>
      </c>
      <c r="AI385" s="14" t="s">
        <v>11</v>
      </c>
      <c r="AJ385" s="14" t="s">
        <v>11</v>
      </c>
      <c r="AK385" s="14" t="s">
        <v>11</v>
      </c>
      <c r="AL385" s="14" t="str">
        <f t="shared" si="200"/>
        <v>T</v>
      </c>
      <c r="AM385" s="14" t="str">
        <f t="shared" si="201"/>
        <v>T</v>
      </c>
      <c r="AN385" s="14" t="str">
        <f t="shared" si="202"/>
        <v/>
      </c>
      <c r="AO385" s="14" t="str">
        <f t="shared" si="203"/>
        <v/>
      </c>
      <c r="AP385" s="14" t="str">
        <f t="shared" si="204"/>
        <v/>
      </c>
      <c r="AQ385" s="14" t="str">
        <f t="shared" si="185"/>
        <v/>
      </c>
      <c r="AR385" s="15">
        <f t="shared" si="205"/>
        <v>0</v>
      </c>
    </row>
    <row r="386" spans="2:44" x14ac:dyDescent="0.2">
      <c r="B386" s="16"/>
      <c r="C386" s="15" t="s">
        <v>53</v>
      </c>
      <c r="D386" s="30" t="str">
        <f t="shared" si="186"/>
        <v/>
      </c>
      <c r="E386" s="14" t="str">
        <f t="shared" si="187"/>
        <v/>
      </c>
      <c r="F386" s="14" t="str">
        <f t="shared" si="188"/>
        <v/>
      </c>
      <c r="G386" s="14" t="str">
        <f t="shared" si="189"/>
        <v/>
      </c>
      <c r="H386" s="14" t="str">
        <f t="shared" si="190"/>
        <v/>
      </c>
      <c r="I386" s="14" t="str">
        <f t="shared" si="191"/>
        <v/>
      </c>
      <c r="J386" s="14" t="str">
        <f t="shared" si="192"/>
        <v/>
      </c>
      <c r="K386" s="14" t="str">
        <f t="shared" si="193"/>
        <v/>
      </c>
      <c r="L386" s="14" t="str">
        <f t="shared" si="194"/>
        <v/>
      </c>
      <c r="M386" s="14" t="str">
        <f t="shared" si="195"/>
        <v/>
      </c>
      <c r="N386" s="14" t="str">
        <f t="shared" si="196"/>
        <v/>
      </c>
      <c r="O386" s="14" t="s">
        <v>11</v>
      </c>
      <c r="P386" s="14" t="s">
        <v>11</v>
      </c>
      <c r="Q386" s="14" t="s">
        <v>11</v>
      </c>
      <c r="R386" s="14" t="s">
        <v>13</v>
      </c>
      <c r="S386" s="14" t="s">
        <v>11</v>
      </c>
      <c r="T386" s="14" t="s">
        <v>11</v>
      </c>
      <c r="U386" s="14" t="s">
        <v>11</v>
      </c>
      <c r="V386" s="14" t="s">
        <v>11</v>
      </c>
      <c r="W386" s="14" t="s">
        <v>11</v>
      </c>
      <c r="X386" s="14" t="s">
        <v>11</v>
      </c>
      <c r="Y386" s="14" t="str">
        <f t="shared" si="197"/>
        <v/>
      </c>
      <c r="Z386" s="14" t="str">
        <f t="shared" si="198"/>
        <v/>
      </c>
      <c r="AA386" s="15">
        <f t="shared" si="199"/>
        <v>0</v>
      </c>
      <c r="AB386" s="14" t="s">
        <v>11</v>
      </c>
      <c r="AC386" s="14" t="s">
        <v>11</v>
      </c>
      <c r="AD386" s="14" t="s">
        <v>11</v>
      </c>
      <c r="AE386" s="14" t="s">
        <v>11</v>
      </c>
      <c r="AF386" s="14" t="s">
        <v>13</v>
      </c>
      <c r="AG386" s="14" t="s">
        <v>11</v>
      </c>
      <c r="AH386" s="14" t="s">
        <v>11</v>
      </c>
      <c r="AI386" s="14" t="s">
        <v>11</v>
      </c>
      <c r="AJ386" s="14" t="s">
        <v>11</v>
      </c>
      <c r="AK386" s="14" t="s">
        <v>11</v>
      </c>
      <c r="AL386" s="14" t="str">
        <f t="shared" si="200"/>
        <v>T</v>
      </c>
      <c r="AM386" s="14" t="str">
        <f t="shared" si="201"/>
        <v>T</v>
      </c>
      <c r="AN386" s="14" t="str">
        <f t="shared" si="202"/>
        <v/>
      </c>
      <c r="AO386" s="14" t="str">
        <f t="shared" si="203"/>
        <v/>
      </c>
      <c r="AP386" s="14" t="str">
        <f t="shared" si="204"/>
        <v/>
      </c>
      <c r="AQ386" s="14" t="str">
        <f t="shared" si="185"/>
        <v/>
      </c>
      <c r="AR386" s="15">
        <f t="shared" si="205"/>
        <v>0</v>
      </c>
    </row>
    <row r="387" spans="2:44" x14ac:dyDescent="0.2">
      <c r="B387" s="16"/>
      <c r="C387" s="15" t="s">
        <v>53</v>
      </c>
      <c r="D387" s="30" t="str">
        <f t="shared" si="186"/>
        <v/>
      </c>
      <c r="E387" s="14" t="str">
        <f t="shared" si="187"/>
        <v/>
      </c>
      <c r="F387" s="14" t="str">
        <f t="shared" si="188"/>
        <v/>
      </c>
      <c r="G387" s="14" t="str">
        <f t="shared" si="189"/>
        <v/>
      </c>
      <c r="H387" s="14" t="str">
        <f t="shared" si="190"/>
        <v/>
      </c>
      <c r="I387" s="14" t="str">
        <f t="shared" si="191"/>
        <v/>
      </c>
      <c r="J387" s="14" t="str">
        <f t="shared" si="192"/>
        <v/>
      </c>
      <c r="K387" s="14" t="str">
        <f t="shared" si="193"/>
        <v/>
      </c>
      <c r="L387" s="14" t="str">
        <f t="shared" si="194"/>
        <v/>
      </c>
      <c r="M387" s="14" t="str">
        <f t="shared" si="195"/>
        <v/>
      </c>
      <c r="N387" s="14" t="str">
        <f t="shared" si="196"/>
        <v/>
      </c>
      <c r="O387" s="14" t="s">
        <v>11</v>
      </c>
      <c r="P387" s="14" t="s">
        <v>11</v>
      </c>
      <c r="Q387" s="14" t="s">
        <v>11</v>
      </c>
      <c r="R387" s="14" t="s">
        <v>13</v>
      </c>
      <c r="S387" s="14" t="s">
        <v>11</v>
      </c>
      <c r="T387" s="14" t="s">
        <v>11</v>
      </c>
      <c r="U387" s="14" t="s">
        <v>11</v>
      </c>
      <c r="V387" s="14" t="s">
        <v>11</v>
      </c>
      <c r="W387" s="14" t="s">
        <v>11</v>
      </c>
      <c r="X387" s="14" t="s">
        <v>11</v>
      </c>
      <c r="Y387" s="14" t="str">
        <f t="shared" si="197"/>
        <v/>
      </c>
      <c r="Z387" s="14" t="str">
        <f t="shared" si="198"/>
        <v/>
      </c>
      <c r="AA387" s="15">
        <f t="shared" si="199"/>
        <v>0</v>
      </c>
      <c r="AB387" s="14" t="s">
        <v>11</v>
      </c>
      <c r="AC387" s="14" t="s">
        <v>11</v>
      </c>
      <c r="AD387" s="14" t="s">
        <v>11</v>
      </c>
      <c r="AE387" s="14" t="s">
        <v>11</v>
      </c>
      <c r="AF387" s="14" t="s">
        <v>13</v>
      </c>
      <c r="AG387" s="14" t="s">
        <v>11</v>
      </c>
      <c r="AH387" s="14" t="s">
        <v>11</v>
      </c>
      <c r="AI387" s="14" t="s">
        <v>11</v>
      </c>
      <c r="AJ387" s="14" t="s">
        <v>11</v>
      </c>
      <c r="AK387" s="14" t="s">
        <v>11</v>
      </c>
      <c r="AL387" s="14" t="str">
        <f t="shared" si="200"/>
        <v>T</v>
      </c>
      <c r="AM387" s="14" t="str">
        <f t="shared" si="201"/>
        <v>T</v>
      </c>
      <c r="AN387" s="14" t="str">
        <f t="shared" si="202"/>
        <v/>
      </c>
      <c r="AO387" s="14" t="str">
        <f t="shared" si="203"/>
        <v/>
      </c>
      <c r="AP387" s="14" t="str">
        <f t="shared" si="204"/>
        <v/>
      </c>
      <c r="AQ387" s="14" t="str">
        <f t="shared" si="185"/>
        <v/>
      </c>
      <c r="AR387" s="15">
        <f t="shared" si="205"/>
        <v>0</v>
      </c>
    </row>
    <row r="388" spans="2:44" x14ac:dyDescent="0.2">
      <c r="B388" s="16"/>
      <c r="C388" s="15" t="s">
        <v>53</v>
      </c>
      <c r="D388" s="30" t="str">
        <f t="shared" si="186"/>
        <v/>
      </c>
      <c r="E388" s="14" t="str">
        <f t="shared" si="187"/>
        <v/>
      </c>
      <c r="F388" s="14" t="str">
        <f t="shared" si="188"/>
        <v/>
      </c>
      <c r="G388" s="14" t="str">
        <f t="shared" si="189"/>
        <v/>
      </c>
      <c r="H388" s="14" t="str">
        <f t="shared" si="190"/>
        <v/>
      </c>
      <c r="I388" s="14" t="str">
        <f t="shared" si="191"/>
        <v/>
      </c>
      <c r="J388" s="14" t="str">
        <f t="shared" si="192"/>
        <v/>
      </c>
      <c r="K388" s="14" t="str">
        <f t="shared" si="193"/>
        <v/>
      </c>
      <c r="L388" s="14" t="str">
        <f t="shared" si="194"/>
        <v/>
      </c>
      <c r="M388" s="14" t="str">
        <f t="shared" si="195"/>
        <v/>
      </c>
      <c r="N388" s="14" t="str">
        <f t="shared" si="196"/>
        <v/>
      </c>
      <c r="O388" s="14" t="s">
        <v>11</v>
      </c>
      <c r="P388" s="14" t="s">
        <v>11</v>
      </c>
      <c r="Q388" s="14" t="s">
        <v>11</v>
      </c>
      <c r="R388" s="14" t="s">
        <v>13</v>
      </c>
      <c r="S388" s="14" t="s">
        <v>11</v>
      </c>
      <c r="T388" s="14" t="s">
        <v>11</v>
      </c>
      <c r="U388" s="14" t="s">
        <v>11</v>
      </c>
      <c r="V388" s="14" t="s">
        <v>11</v>
      </c>
      <c r="W388" s="14" t="s">
        <v>11</v>
      </c>
      <c r="X388" s="14" t="s">
        <v>11</v>
      </c>
      <c r="Y388" s="14" t="str">
        <f t="shared" si="197"/>
        <v/>
      </c>
      <c r="Z388" s="14" t="str">
        <f t="shared" si="198"/>
        <v/>
      </c>
      <c r="AA388" s="15">
        <f t="shared" si="199"/>
        <v>0</v>
      </c>
      <c r="AB388" s="14" t="s">
        <v>11</v>
      </c>
      <c r="AC388" s="14" t="s">
        <v>11</v>
      </c>
      <c r="AD388" s="14" t="s">
        <v>11</v>
      </c>
      <c r="AE388" s="14" t="s">
        <v>11</v>
      </c>
      <c r="AF388" s="14" t="s">
        <v>13</v>
      </c>
      <c r="AG388" s="14" t="s">
        <v>11</v>
      </c>
      <c r="AH388" s="14" t="s">
        <v>11</v>
      </c>
      <c r="AI388" s="14" t="s">
        <v>11</v>
      </c>
      <c r="AJ388" s="14" t="s">
        <v>11</v>
      </c>
      <c r="AK388" s="14" t="s">
        <v>11</v>
      </c>
      <c r="AL388" s="14" t="str">
        <f t="shared" si="200"/>
        <v>T</v>
      </c>
      <c r="AM388" s="14" t="str">
        <f t="shared" si="201"/>
        <v>T</v>
      </c>
      <c r="AN388" s="14" t="str">
        <f t="shared" si="202"/>
        <v/>
      </c>
      <c r="AO388" s="14" t="str">
        <f t="shared" si="203"/>
        <v/>
      </c>
      <c r="AP388" s="14" t="str">
        <f t="shared" si="204"/>
        <v/>
      </c>
      <c r="AQ388" s="14" t="str">
        <f t="shared" si="185"/>
        <v/>
      </c>
      <c r="AR388" s="15">
        <f t="shared" si="205"/>
        <v>0</v>
      </c>
    </row>
    <row r="389" spans="2:44" x14ac:dyDescent="0.2">
      <c r="B389" s="16"/>
      <c r="C389" s="15" t="s">
        <v>53</v>
      </c>
      <c r="D389" s="30" t="str">
        <f t="shared" si="186"/>
        <v/>
      </c>
      <c r="E389" s="14" t="str">
        <f t="shared" si="187"/>
        <v/>
      </c>
      <c r="F389" s="14" t="str">
        <f t="shared" si="188"/>
        <v/>
      </c>
      <c r="G389" s="14" t="str">
        <f t="shared" si="189"/>
        <v/>
      </c>
      <c r="H389" s="14" t="str">
        <f t="shared" si="190"/>
        <v/>
      </c>
      <c r="I389" s="14" t="str">
        <f t="shared" si="191"/>
        <v/>
      </c>
      <c r="J389" s="14" t="str">
        <f t="shared" si="192"/>
        <v/>
      </c>
      <c r="K389" s="14" t="str">
        <f t="shared" si="193"/>
        <v/>
      </c>
      <c r="L389" s="14" t="str">
        <f t="shared" si="194"/>
        <v/>
      </c>
      <c r="M389" s="14" t="str">
        <f t="shared" si="195"/>
        <v/>
      </c>
      <c r="N389" s="14" t="str">
        <f t="shared" si="196"/>
        <v/>
      </c>
      <c r="O389" s="14" t="s">
        <v>11</v>
      </c>
      <c r="P389" s="14" t="s">
        <v>11</v>
      </c>
      <c r="Q389" s="14" t="s">
        <v>11</v>
      </c>
      <c r="R389" s="14" t="s">
        <v>13</v>
      </c>
      <c r="S389" s="14" t="s">
        <v>11</v>
      </c>
      <c r="T389" s="14" t="s">
        <v>11</v>
      </c>
      <c r="U389" s="14" t="s">
        <v>11</v>
      </c>
      <c r="V389" s="14" t="s">
        <v>11</v>
      </c>
      <c r="W389" s="14" t="s">
        <v>11</v>
      </c>
      <c r="X389" s="14" t="s">
        <v>11</v>
      </c>
      <c r="Y389" s="14" t="str">
        <f t="shared" si="197"/>
        <v/>
      </c>
      <c r="Z389" s="14" t="str">
        <f t="shared" si="198"/>
        <v/>
      </c>
      <c r="AA389" s="15">
        <f t="shared" si="199"/>
        <v>0</v>
      </c>
      <c r="AB389" s="14" t="s">
        <v>11</v>
      </c>
      <c r="AC389" s="14" t="s">
        <v>11</v>
      </c>
      <c r="AD389" s="14" t="s">
        <v>11</v>
      </c>
      <c r="AE389" s="14" t="s">
        <v>11</v>
      </c>
      <c r="AF389" s="14" t="s">
        <v>13</v>
      </c>
      <c r="AG389" s="14" t="s">
        <v>11</v>
      </c>
      <c r="AH389" s="14" t="s">
        <v>11</v>
      </c>
      <c r="AI389" s="14" t="s">
        <v>11</v>
      </c>
      <c r="AJ389" s="14" t="s">
        <v>11</v>
      </c>
      <c r="AK389" s="14" t="s">
        <v>11</v>
      </c>
      <c r="AL389" s="14" t="str">
        <f t="shared" si="200"/>
        <v>T</v>
      </c>
      <c r="AM389" s="14" t="str">
        <f t="shared" si="201"/>
        <v>T</v>
      </c>
      <c r="AN389" s="14" t="str">
        <f t="shared" si="202"/>
        <v/>
      </c>
      <c r="AO389" s="14" t="str">
        <f t="shared" si="203"/>
        <v/>
      </c>
      <c r="AP389" s="14" t="str">
        <f t="shared" si="204"/>
        <v/>
      </c>
      <c r="AQ389" s="14" t="str">
        <f t="shared" si="185"/>
        <v/>
      </c>
      <c r="AR389" s="15">
        <f t="shared" si="205"/>
        <v>0</v>
      </c>
    </row>
    <row r="390" spans="2:44" x14ac:dyDescent="0.2">
      <c r="B390" s="16"/>
      <c r="C390" s="15" t="s">
        <v>53</v>
      </c>
      <c r="D390" s="30" t="str">
        <f t="shared" si="186"/>
        <v/>
      </c>
      <c r="E390" s="14" t="str">
        <f t="shared" si="187"/>
        <v/>
      </c>
      <c r="F390" s="14" t="str">
        <f t="shared" si="188"/>
        <v/>
      </c>
      <c r="G390" s="14" t="str">
        <f t="shared" si="189"/>
        <v/>
      </c>
      <c r="H390" s="14" t="str">
        <f t="shared" si="190"/>
        <v/>
      </c>
      <c r="I390" s="14" t="str">
        <f t="shared" si="191"/>
        <v/>
      </c>
      <c r="J390" s="14" t="str">
        <f t="shared" si="192"/>
        <v/>
      </c>
      <c r="K390" s="14" t="str">
        <f t="shared" si="193"/>
        <v/>
      </c>
      <c r="L390" s="14" t="str">
        <f t="shared" si="194"/>
        <v/>
      </c>
      <c r="M390" s="14" t="str">
        <f t="shared" si="195"/>
        <v/>
      </c>
      <c r="N390" s="14" t="str">
        <f t="shared" si="196"/>
        <v/>
      </c>
      <c r="O390" s="14" t="s">
        <v>11</v>
      </c>
      <c r="P390" s="14" t="s">
        <v>11</v>
      </c>
      <c r="Q390" s="14" t="s">
        <v>11</v>
      </c>
      <c r="R390" s="14" t="s">
        <v>13</v>
      </c>
      <c r="S390" s="14" t="s">
        <v>11</v>
      </c>
      <c r="T390" s="14" t="s">
        <v>11</v>
      </c>
      <c r="U390" s="14" t="s">
        <v>11</v>
      </c>
      <c r="V390" s="14" t="s">
        <v>11</v>
      </c>
      <c r="W390" s="14" t="s">
        <v>11</v>
      </c>
      <c r="X390" s="14" t="s">
        <v>11</v>
      </c>
      <c r="Y390" s="14" t="str">
        <f t="shared" si="197"/>
        <v/>
      </c>
      <c r="Z390" s="14" t="str">
        <f t="shared" si="198"/>
        <v/>
      </c>
      <c r="AA390" s="15">
        <f t="shared" si="199"/>
        <v>0</v>
      </c>
      <c r="AB390" s="14" t="s">
        <v>11</v>
      </c>
      <c r="AC390" s="14" t="s">
        <v>11</v>
      </c>
      <c r="AD390" s="14" t="s">
        <v>11</v>
      </c>
      <c r="AE390" s="14" t="s">
        <v>11</v>
      </c>
      <c r="AF390" s="14" t="s">
        <v>13</v>
      </c>
      <c r="AG390" s="14" t="s">
        <v>11</v>
      </c>
      <c r="AH390" s="14" t="s">
        <v>11</v>
      </c>
      <c r="AI390" s="14" t="s">
        <v>11</v>
      </c>
      <c r="AJ390" s="14" t="s">
        <v>11</v>
      </c>
      <c r="AK390" s="14" t="s">
        <v>11</v>
      </c>
      <c r="AL390" s="14" t="str">
        <f t="shared" si="200"/>
        <v>T</v>
      </c>
      <c r="AM390" s="14" t="str">
        <f t="shared" si="201"/>
        <v>T</v>
      </c>
      <c r="AN390" s="14" t="str">
        <f t="shared" si="202"/>
        <v/>
      </c>
      <c r="AO390" s="14" t="str">
        <f t="shared" si="203"/>
        <v/>
      </c>
      <c r="AP390" s="14" t="str">
        <f t="shared" si="204"/>
        <v/>
      </c>
      <c r="AQ390" s="14" t="str">
        <f t="shared" si="185"/>
        <v/>
      </c>
      <c r="AR390" s="15">
        <f t="shared" si="205"/>
        <v>0</v>
      </c>
    </row>
    <row r="391" spans="2:44" x14ac:dyDescent="0.2">
      <c r="B391" s="16"/>
      <c r="C391" s="15" t="s">
        <v>53</v>
      </c>
      <c r="D391" s="30" t="str">
        <f t="shared" si="186"/>
        <v/>
      </c>
      <c r="E391" s="14" t="str">
        <f t="shared" si="187"/>
        <v/>
      </c>
      <c r="F391" s="14" t="str">
        <f t="shared" si="188"/>
        <v/>
      </c>
      <c r="G391" s="14" t="str">
        <f t="shared" si="189"/>
        <v/>
      </c>
      <c r="H391" s="14" t="str">
        <f t="shared" si="190"/>
        <v/>
      </c>
      <c r="I391" s="14" t="str">
        <f t="shared" si="191"/>
        <v/>
      </c>
      <c r="J391" s="14" t="str">
        <f t="shared" si="192"/>
        <v/>
      </c>
      <c r="K391" s="14" t="str">
        <f t="shared" si="193"/>
        <v/>
      </c>
      <c r="L391" s="14" t="str">
        <f t="shared" si="194"/>
        <v/>
      </c>
      <c r="M391" s="14" t="str">
        <f t="shared" si="195"/>
        <v/>
      </c>
      <c r="N391" s="14" t="str">
        <f t="shared" si="196"/>
        <v/>
      </c>
      <c r="O391" s="14" t="s">
        <v>11</v>
      </c>
      <c r="P391" s="14" t="s">
        <v>11</v>
      </c>
      <c r="Q391" s="14" t="s">
        <v>11</v>
      </c>
      <c r="R391" s="14" t="s">
        <v>13</v>
      </c>
      <c r="S391" s="14" t="s">
        <v>11</v>
      </c>
      <c r="T391" s="14" t="s">
        <v>11</v>
      </c>
      <c r="U391" s="14" t="s">
        <v>11</v>
      </c>
      <c r="V391" s="14" t="s">
        <v>11</v>
      </c>
      <c r="W391" s="14" t="s">
        <v>11</v>
      </c>
      <c r="X391" s="14" t="s">
        <v>11</v>
      </c>
      <c r="Y391" s="14" t="str">
        <f t="shared" si="197"/>
        <v/>
      </c>
      <c r="Z391" s="14" t="str">
        <f t="shared" si="198"/>
        <v/>
      </c>
      <c r="AA391" s="15">
        <f t="shared" si="199"/>
        <v>0</v>
      </c>
      <c r="AB391" s="14" t="s">
        <v>11</v>
      </c>
      <c r="AC391" s="14" t="s">
        <v>11</v>
      </c>
      <c r="AD391" s="14" t="s">
        <v>11</v>
      </c>
      <c r="AE391" s="14" t="s">
        <v>11</v>
      </c>
      <c r="AF391" s="14" t="s">
        <v>13</v>
      </c>
      <c r="AG391" s="14" t="s">
        <v>11</v>
      </c>
      <c r="AH391" s="14" t="s">
        <v>11</v>
      </c>
      <c r="AI391" s="14" t="s">
        <v>11</v>
      </c>
      <c r="AJ391" s="14" t="s">
        <v>11</v>
      </c>
      <c r="AK391" s="14" t="s">
        <v>11</v>
      </c>
      <c r="AL391" s="14" t="str">
        <f t="shared" si="200"/>
        <v>T</v>
      </c>
      <c r="AM391" s="14" t="str">
        <f t="shared" si="201"/>
        <v>T</v>
      </c>
      <c r="AN391" s="14" t="str">
        <f t="shared" si="202"/>
        <v/>
      </c>
      <c r="AO391" s="14" t="str">
        <f t="shared" si="203"/>
        <v/>
      </c>
      <c r="AP391" s="14" t="str">
        <f t="shared" si="204"/>
        <v/>
      </c>
      <c r="AQ391" s="14" t="str">
        <f t="shared" si="185"/>
        <v/>
      </c>
      <c r="AR391" s="15">
        <f t="shared" si="205"/>
        <v>0</v>
      </c>
    </row>
    <row r="392" spans="2:44" x14ac:dyDescent="0.2">
      <c r="B392" s="16"/>
      <c r="C392" s="15" t="s">
        <v>53</v>
      </c>
      <c r="D392" s="30" t="str">
        <f t="shared" si="186"/>
        <v/>
      </c>
      <c r="E392" s="14" t="str">
        <f t="shared" si="187"/>
        <v/>
      </c>
      <c r="F392" s="14" t="str">
        <f t="shared" si="188"/>
        <v/>
      </c>
      <c r="G392" s="14" t="str">
        <f t="shared" si="189"/>
        <v/>
      </c>
      <c r="H392" s="14" t="str">
        <f t="shared" si="190"/>
        <v/>
      </c>
      <c r="I392" s="14" t="str">
        <f t="shared" si="191"/>
        <v/>
      </c>
      <c r="J392" s="14" t="str">
        <f t="shared" si="192"/>
        <v/>
      </c>
      <c r="K392" s="14" t="str">
        <f t="shared" si="193"/>
        <v/>
      </c>
      <c r="L392" s="14" t="str">
        <f t="shared" si="194"/>
        <v/>
      </c>
      <c r="M392" s="14" t="str">
        <f t="shared" si="195"/>
        <v/>
      </c>
      <c r="N392" s="14" t="str">
        <f t="shared" si="196"/>
        <v/>
      </c>
      <c r="O392" s="14" t="s">
        <v>11</v>
      </c>
      <c r="P392" s="14" t="s">
        <v>11</v>
      </c>
      <c r="Q392" s="14" t="s">
        <v>11</v>
      </c>
      <c r="R392" s="14" t="s">
        <v>13</v>
      </c>
      <c r="S392" s="14" t="s">
        <v>11</v>
      </c>
      <c r="T392" s="14" t="s">
        <v>11</v>
      </c>
      <c r="U392" s="14" t="s">
        <v>11</v>
      </c>
      <c r="V392" s="14" t="s">
        <v>11</v>
      </c>
      <c r="W392" s="14" t="s">
        <v>11</v>
      </c>
      <c r="X392" s="14" t="s">
        <v>11</v>
      </c>
      <c r="Y392" s="14" t="str">
        <f t="shared" si="197"/>
        <v/>
      </c>
      <c r="Z392" s="14" t="str">
        <f t="shared" si="198"/>
        <v/>
      </c>
      <c r="AA392" s="15">
        <f t="shared" si="199"/>
        <v>0</v>
      </c>
      <c r="AB392" s="14" t="s">
        <v>11</v>
      </c>
      <c r="AC392" s="14" t="s">
        <v>11</v>
      </c>
      <c r="AD392" s="14" t="s">
        <v>11</v>
      </c>
      <c r="AE392" s="14" t="s">
        <v>11</v>
      </c>
      <c r="AF392" s="14" t="s">
        <v>13</v>
      </c>
      <c r="AG392" s="14" t="s">
        <v>11</v>
      </c>
      <c r="AH392" s="14" t="s">
        <v>11</v>
      </c>
      <c r="AI392" s="14" t="s">
        <v>11</v>
      </c>
      <c r="AJ392" s="14" t="s">
        <v>11</v>
      </c>
      <c r="AK392" s="14" t="s">
        <v>11</v>
      </c>
      <c r="AL392" s="14" t="str">
        <f t="shared" si="200"/>
        <v>T</v>
      </c>
      <c r="AM392" s="14" t="str">
        <f t="shared" si="201"/>
        <v>T</v>
      </c>
      <c r="AN392" s="14" t="str">
        <f t="shared" si="202"/>
        <v/>
      </c>
      <c r="AO392" s="14" t="str">
        <f t="shared" si="203"/>
        <v/>
      </c>
      <c r="AP392" s="14" t="str">
        <f t="shared" si="204"/>
        <v/>
      </c>
      <c r="AQ392" s="14" t="str">
        <f t="shared" ref="AQ392:AQ415" si="206">LOWER(AP392)</f>
        <v/>
      </c>
      <c r="AR392" s="15">
        <f t="shared" si="205"/>
        <v>0</v>
      </c>
    </row>
    <row r="393" spans="2:44" x14ac:dyDescent="0.2">
      <c r="B393" s="16"/>
      <c r="C393" s="15" t="s">
        <v>53</v>
      </c>
      <c r="D393" s="30" t="str">
        <f t="shared" si="186"/>
        <v/>
      </c>
      <c r="E393" s="14" t="str">
        <f t="shared" si="187"/>
        <v/>
      </c>
      <c r="F393" s="14" t="str">
        <f t="shared" si="188"/>
        <v/>
      </c>
      <c r="G393" s="14" t="str">
        <f t="shared" si="189"/>
        <v/>
      </c>
      <c r="H393" s="14" t="str">
        <f t="shared" si="190"/>
        <v/>
      </c>
      <c r="I393" s="14" t="str">
        <f t="shared" si="191"/>
        <v/>
      </c>
      <c r="J393" s="14" t="str">
        <f t="shared" si="192"/>
        <v/>
      </c>
      <c r="K393" s="14" t="str">
        <f t="shared" si="193"/>
        <v/>
      </c>
      <c r="L393" s="14" t="str">
        <f t="shared" si="194"/>
        <v/>
      </c>
      <c r="M393" s="14" t="str">
        <f t="shared" si="195"/>
        <v/>
      </c>
      <c r="N393" s="14" t="str">
        <f t="shared" si="196"/>
        <v/>
      </c>
      <c r="O393" s="14" t="s">
        <v>11</v>
      </c>
      <c r="P393" s="14" t="s">
        <v>11</v>
      </c>
      <c r="Q393" s="14" t="s">
        <v>11</v>
      </c>
      <c r="R393" s="14" t="s">
        <v>13</v>
      </c>
      <c r="S393" s="14" t="s">
        <v>11</v>
      </c>
      <c r="T393" s="14" t="s">
        <v>11</v>
      </c>
      <c r="U393" s="14" t="s">
        <v>11</v>
      </c>
      <c r="V393" s="14" t="s">
        <v>11</v>
      </c>
      <c r="W393" s="14" t="s">
        <v>11</v>
      </c>
      <c r="X393" s="14" t="s">
        <v>11</v>
      </c>
      <c r="Y393" s="14" t="str">
        <f t="shared" si="197"/>
        <v/>
      </c>
      <c r="Z393" s="14" t="str">
        <f t="shared" si="198"/>
        <v/>
      </c>
      <c r="AA393" s="15">
        <f t="shared" si="199"/>
        <v>0</v>
      </c>
      <c r="AB393" s="14" t="s">
        <v>11</v>
      </c>
      <c r="AC393" s="14" t="s">
        <v>11</v>
      </c>
      <c r="AD393" s="14" t="s">
        <v>11</v>
      </c>
      <c r="AE393" s="14" t="s">
        <v>11</v>
      </c>
      <c r="AF393" s="14" t="s">
        <v>13</v>
      </c>
      <c r="AG393" s="14" t="s">
        <v>11</v>
      </c>
      <c r="AH393" s="14" t="s">
        <v>11</v>
      </c>
      <c r="AI393" s="14" t="s">
        <v>11</v>
      </c>
      <c r="AJ393" s="14" t="s">
        <v>11</v>
      </c>
      <c r="AK393" s="14" t="s">
        <v>11</v>
      </c>
      <c r="AL393" s="14" t="str">
        <f t="shared" si="200"/>
        <v>T</v>
      </c>
      <c r="AM393" s="14" t="str">
        <f t="shared" si="201"/>
        <v>T</v>
      </c>
      <c r="AN393" s="14" t="str">
        <f t="shared" si="202"/>
        <v/>
      </c>
      <c r="AO393" s="14" t="str">
        <f t="shared" si="203"/>
        <v/>
      </c>
      <c r="AP393" s="14" t="str">
        <f t="shared" si="204"/>
        <v/>
      </c>
      <c r="AQ393" s="14" t="str">
        <f t="shared" si="206"/>
        <v/>
      </c>
      <c r="AR393" s="15">
        <f t="shared" si="205"/>
        <v>0</v>
      </c>
    </row>
    <row r="394" spans="2:44" x14ac:dyDescent="0.2">
      <c r="B394" s="16"/>
      <c r="C394" s="15" t="s">
        <v>53</v>
      </c>
      <c r="D394" s="30" t="str">
        <f t="shared" si="186"/>
        <v/>
      </c>
      <c r="E394" s="14" t="str">
        <f t="shared" si="187"/>
        <v/>
      </c>
      <c r="F394" s="14" t="str">
        <f t="shared" si="188"/>
        <v/>
      </c>
      <c r="G394" s="14" t="str">
        <f t="shared" si="189"/>
        <v/>
      </c>
      <c r="H394" s="14" t="str">
        <f t="shared" si="190"/>
        <v/>
      </c>
      <c r="I394" s="14" t="str">
        <f t="shared" si="191"/>
        <v/>
      </c>
      <c r="J394" s="14" t="str">
        <f t="shared" si="192"/>
        <v/>
      </c>
      <c r="K394" s="14" t="str">
        <f t="shared" si="193"/>
        <v/>
      </c>
      <c r="L394" s="14" t="str">
        <f t="shared" si="194"/>
        <v/>
      </c>
      <c r="M394" s="14" t="str">
        <f t="shared" si="195"/>
        <v/>
      </c>
      <c r="N394" s="14" t="str">
        <f t="shared" si="196"/>
        <v/>
      </c>
      <c r="O394" s="14" t="s">
        <v>11</v>
      </c>
      <c r="P394" s="14" t="s">
        <v>11</v>
      </c>
      <c r="Q394" s="14" t="s">
        <v>11</v>
      </c>
      <c r="R394" s="14" t="s">
        <v>13</v>
      </c>
      <c r="S394" s="14" t="s">
        <v>11</v>
      </c>
      <c r="T394" s="14" t="s">
        <v>11</v>
      </c>
      <c r="U394" s="14" t="s">
        <v>11</v>
      </c>
      <c r="V394" s="14" t="s">
        <v>11</v>
      </c>
      <c r="W394" s="14" t="s">
        <v>11</v>
      </c>
      <c r="X394" s="14" t="s">
        <v>11</v>
      </c>
      <c r="Y394" s="14" t="str">
        <f t="shared" si="197"/>
        <v/>
      </c>
      <c r="Z394" s="14" t="str">
        <f t="shared" si="198"/>
        <v/>
      </c>
      <c r="AA394" s="15">
        <f t="shared" si="199"/>
        <v>0</v>
      </c>
      <c r="AB394" s="14" t="s">
        <v>11</v>
      </c>
      <c r="AC394" s="14" t="s">
        <v>11</v>
      </c>
      <c r="AD394" s="14" t="s">
        <v>11</v>
      </c>
      <c r="AE394" s="14" t="s">
        <v>11</v>
      </c>
      <c r="AF394" s="14" t="s">
        <v>13</v>
      </c>
      <c r="AG394" s="14" t="s">
        <v>11</v>
      </c>
      <c r="AH394" s="14" t="s">
        <v>11</v>
      </c>
      <c r="AI394" s="14" t="s">
        <v>11</v>
      </c>
      <c r="AJ394" s="14" t="s">
        <v>11</v>
      </c>
      <c r="AK394" s="14" t="s">
        <v>11</v>
      </c>
      <c r="AL394" s="14" t="str">
        <f t="shared" si="200"/>
        <v>T</v>
      </c>
      <c r="AM394" s="14" t="str">
        <f t="shared" si="201"/>
        <v>T</v>
      </c>
      <c r="AN394" s="14" t="str">
        <f t="shared" si="202"/>
        <v/>
      </c>
      <c r="AO394" s="14" t="str">
        <f t="shared" si="203"/>
        <v/>
      </c>
      <c r="AP394" s="14" t="str">
        <f t="shared" si="204"/>
        <v/>
      </c>
      <c r="AQ394" s="14" t="str">
        <f t="shared" si="206"/>
        <v/>
      </c>
      <c r="AR394" s="15">
        <f t="shared" si="205"/>
        <v>0</v>
      </c>
    </row>
    <row r="395" spans="2:44" x14ac:dyDescent="0.2">
      <c r="B395" s="16"/>
      <c r="C395" s="15" t="s">
        <v>53</v>
      </c>
      <c r="D395" s="30" t="str">
        <f t="shared" si="186"/>
        <v/>
      </c>
      <c r="E395" s="14" t="str">
        <f t="shared" si="187"/>
        <v/>
      </c>
      <c r="F395" s="14" t="str">
        <f t="shared" si="188"/>
        <v/>
      </c>
      <c r="G395" s="14" t="str">
        <f t="shared" si="189"/>
        <v/>
      </c>
      <c r="H395" s="14" t="str">
        <f t="shared" si="190"/>
        <v/>
      </c>
      <c r="I395" s="14" t="str">
        <f t="shared" si="191"/>
        <v/>
      </c>
      <c r="J395" s="14" t="str">
        <f t="shared" si="192"/>
        <v/>
      </c>
      <c r="K395" s="14" t="str">
        <f t="shared" si="193"/>
        <v/>
      </c>
      <c r="L395" s="14" t="str">
        <f t="shared" si="194"/>
        <v/>
      </c>
      <c r="M395" s="14" t="str">
        <f t="shared" si="195"/>
        <v/>
      </c>
      <c r="N395" s="14" t="str">
        <f t="shared" si="196"/>
        <v/>
      </c>
      <c r="O395" s="14" t="s">
        <v>11</v>
      </c>
      <c r="P395" s="14" t="s">
        <v>11</v>
      </c>
      <c r="Q395" s="14" t="s">
        <v>11</v>
      </c>
      <c r="R395" s="14" t="s">
        <v>13</v>
      </c>
      <c r="S395" s="14" t="s">
        <v>11</v>
      </c>
      <c r="T395" s="14" t="s">
        <v>11</v>
      </c>
      <c r="U395" s="14" t="s">
        <v>11</v>
      </c>
      <c r="V395" s="14" t="s">
        <v>11</v>
      </c>
      <c r="W395" s="14" t="s">
        <v>11</v>
      </c>
      <c r="X395" s="14" t="s">
        <v>11</v>
      </c>
      <c r="Y395" s="14" t="str">
        <f t="shared" si="197"/>
        <v/>
      </c>
      <c r="Z395" s="14" t="str">
        <f t="shared" si="198"/>
        <v/>
      </c>
      <c r="AA395" s="15">
        <f t="shared" si="199"/>
        <v>0</v>
      </c>
      <c r="AB395" s="14" t="s">
        <v>11</v>
      </c>
      <c r="AC395" s="14" t="s">
        <v>11</v>
      </c>
      <c r="AD395" s="14" t="s">
        <v>11</v>
      </c>
      <c r="AE395" s="14" t="s">
        <v>11</v>
      </c>
      <c r="AF395" s="14" t="s">
        <v>13</v>
      </c>
      <c r="AG395" s="14" t="s">
        <v>11</v>
      </c>
      <c r="AH395" s="14" t="s">
        <v>11</v>
      </c>
      <c r="AI395" s="14" t="s">
        <v>11</v>
      </c>
      <c r="AJ395" s="14" t="s">
        <v>11</v>
      </c>
      <c r="AK395" s="14" t="s">
        <v>11</v>
      </c>
      <c r="AL395" s="14" t="str">
        <f t="shared" si="200"/>
        <v>T</v>
      </c>
      <c r="AM395" s="14" t="str">
        <f t="shared" si="201"/>
        <v>T</v>
      </c>
      <c r="AN395" s="14" t="str">
        <f t="shared" si="202"/>
        <v/>
      </c>
      <c r="AO395" s="14" t="str">
        <f t="shared" si="203"/>
        <v/>
      </c>
      <c r="AP395" s="14" t="str">
        <f t="shared" si="204"/>
        <v/>
      </c>
      <c r="AQ395" s="14" t="str">
        <f t="shared" si="206"/>
        <v/>
      </c>
      <c r="AR395" s="15">
        <f t="shared" si="205"/>
        <v>0</v>
      </c>
    </row>
    <row r="396" spans="2:44" x14ac:dyDescent="0.2">
      <c r="B396" s="16"/>
      <c r="C396" s="15" t="s">
        <v>53</v>
      </c>
      <c r="D396" s="30" t="str">
        <f t="shared" si="186"/>
        <v/>
      </c>
      <c r="E396" s="14" t="str">
        <f t="shared" si="187"/>
        <v/>
      </c>
      <c r="F396" s="14" t="str">
        <f t="shared" si="188"/>
        <v/>
      </c>
      <c r="G396" s="14" t="str">
        <f t="shared" si="189"/>
        <v/>
      </c>
      <c r="H396" s="14" t="str">
        <f t="shared" si="190"/>
        <v/>
      </c>
      <c r="I396" s="14" t="str">
        <f t="shared" si="191"/>
        <v/>
      </c>
      <c r="J396" s="14" t="str">
        <f t="shared" si="192"/>
        <v/>
      </c>
      <c r="K396" s="14" t="str">
        <f t="shared" si="193"/>
        <v/>
      </c>
      <c r="L396" s="14" t="str">
        <f t="shared" si="194"/>
        <v/>
      </c>
      <c r="M396" s="14" t="str">
        <f t="shared" si="195"/>
        <v/>
      </c>
      <c r="N396" s="14" t="str">
        <f t="shared" si="196"/>
        <v/>
      </c>
      <c r="O396" s="14" t="s">
        <v>11</v>
      </c>
      <c r="P396" s="14" t="s">
        <v>11</v>
      </c>
      <c r="Q396" s="14" t="s">
        <v>11</v>
      </c>
      <c r="R396" s="14" t="s">
        <v>13</v>
      </c>
      <c r="S396" s="14" t="s">
        <v>11</v>
      </c>
      <c r="T396" s="14" t="s">
        <v>11</v>
      </c>
      <c r="U396" s="14" t="s">
        <v>11</v>
      </c>
      <c r="V396" s="14" t="s">
        <v>11</v>
      </c>
      <c r="W396" s="14" t="s">
        <v>11</v>
      </c>
      <c r="X396" s="14" t="s">
        <v>11</v>
      </c>
      <c r="Y396" s="14" t="str">
        <f t="shared" si="197"/>
        <v/>
      </c>
      <c r="Z396" s="14" t="str">
        <f t="shared" si="198"/>
        <v/>
      </c>
      <c r="AA396" s="15">
        <f t="shared" si="199"/>
        <v>0</v>
      </c>
      <c r="AB396" s="14" t="s">
        <v>11</v>
      </c>
      <c r="AC396" s="14" t="s">
        <v>11</v>
      </c>
      <c r="AD396" s="14" t="s">
        <v>11</v>
      </c>
      <c r="AE396" s="14" t="s">
        <v>11</v>
      </c>
      <c r="AF396" s="14" t="s">
        <v>13</v>
      </c>
      <c r="AG396" s="14" t="s">
        <v>11</v>
      </c>
      <c r="AH396" s="14" t="s">
        <v>11</v>
      </c>
      <c r="AI396" s="14" t="s">
        <v>11</v>
      </c>
      <c r="AJ396" s="14" t="s">
        <v>11</v>
      </c>
      <c r="AK396" s="14" t="s">
        <v>11</v>
      </c>
      <c r="AL396" s="14" t="str">
        <f t="shared" si="200"/>
        <v>T</v>
      </c>
      <c r="AM396" s="14" t="str">
        <f t="shared" si="201"/>
        <v>T</v>
      </c>
      <c r="AN396" s="14" t="str">
        <f t="shared" si="202"/>
        <v/>
      </c>
      <c r="AO396" s="14" t="str">
        <f t="shared" si="203"/>
        <v/>
      </c>
      <c r="AP396" s="14" t="str">
        <f t="shared" si="204"/>
        <v/>
      </c>
      <c r="AQ396" s="14" t="str">
        <f t="shared" si="206"/>
        <v/>
      </c>
      <c r="AR396" s="15">
        <f t="shared" si="205"/>
        <v>0</v>
      </c>
    </row>
    <row r="397" spans="2:44" x14ac:dyDescent="0.2">
      <c r="B397" s="16"/>
      <c r="C397" s="15" t="s">
        <v>53</v>
      </c>
      <c r="D397" s="30" t="str">
        <f t="shared" si="186"/>
        <v/>
      </c>
      <c r="E397" s="14" t="str">
        <f t="shared" si="187"/>
        <v/>
      </c>
      <c r="F397" s="14" t="str">
        <f t="shared" si="188"/>
        <v/>
      </c>
      <c r="G397" s="14" t="str">
        <f t="shared" si="189"/>
        <v/>
      </c>
      <c r="H397" s="14" t="str">
        <f t="shared" si="190"/>
        <v/>
      </c>
      <c r="I397" s="14" t="str">
        <f t="shared" si="191"/>
        <v/>
      </c>
      <c r="J397" s="14" t="str">
        <f t="shared" si="192"/>
        <v/>
      </c>
      <c r="K397" s="14" t="str">
        <f t="shared" si="193"/>
        <v/>
      </c>
      <c r="L397" s="14" t="str">
        <f t="shared" si="194"/>
        <v/>
      </c>
      <c r="M397" s="14" t="str">
        <f t="shared" si="195"/>
        <v/>
      </c>
      <c r="N397" s="14" t="str">
        <f t="shared" si="196"/>
        <v/>
      </c>
      <c r="O397" s="14" t="s">
        <v>11</v>
      </c>
      <c r="P397" s="14" t="s">
        <v>11</v>
      </c>
      <c r="Q397" s="14" t="s">
        <v>11</v>
      </c>
      <c r="R397" s="14" t="s">
        <v>13</v>
      </c>
      <c r="S397" s="14" t="s">
        <v>11</v>
      </c>
      <c r="T397" s="14" t="s">
        <v>11</v>
      </c>
      <c r="U397" s="14" t="s">
        <v>11</v>
      </c>
      <c r="V397" s="14" t="s">
        <v>11</v>
      </c>
      <c r="W397" s="14" t="s">
        <v>11</v>
      </c>
      <c r="X397" s="14" t="s">
        <v>11</v>
      </c>
      <c r="Y397" s="14" t="str">
        <f t="shared" si="197"/>
        <v/>
      </c>
      <c r="Z397" s="14" t="str">
        <f t="shared" si="198"/>
        <v/>
      </c>
      <c r="AA397" s="15">
        <f t="shared" si="199"/>
        <v>0</v>
      </c>
      <c r="AB397" s="14" t="s">
        <v>11</v>
      </c>
      <c r="AC397" s="14" t="s">
        <v>11</v>
      </c>
      <c r="AD397" s="14" t="s">
        <v>11</v>
      </c>
      <c r="AE397" s="14" t="s">
        <v>11</v>
      </c>
      <c r="AF397" s="14" t="s">
        <v>13</v>
      </c>
      <c r="AG397" s="14" t="s">
        <v>11</v>
      </c>
      <c r="AH397" s="14" t="s">
        <v>11</v>
      </c>
      <c r="AI397" s="14" t="s">
        <v>11</v>
      </c>
      <c r="AJ397" s="14" t="s">
        <v>11</v>
      </c>
      <c r="AK397" s="14" t="s">
        <v>11</v>
      </c>
      <c r="AL397" s="14" t="str">
        <f t="shared" si="200"/>
        <v>T</v>
      </c>
      <c r="AM397" s="14" t="str">
        <f t="shared" si="201"/>
        <v>T</v>
      </c>
      <c r="AN397" s="14" t="str">
        <f t="shared" si="202"/>
        <v/>
      </c>
      <c r="AO397" s="14" t="str">
        <f t="shared" si="203"/>
        <v/>
      </c>
      <c r="AP397" s="14" t="str">
        <f t="shared" si="204"/>
        <v/>
      </c>
      <c r="AQ397" s="14" t="str">
        <f t="shared" si="206"/>
        <v/>
      </c>
      <c r="AR397" s="15">
        <f t="shared" si="205"/>
        <v>0</v>
      </c>
    </row>
    <row r="398" spans="2:44" x14ac:dyDescent="0.2">
      <c r="B398" s="16"/>
      <c r="C398" s="15" t="s">
        <v>53</v>
      </c>
      <c r="D398" s="30" t="str">
        <f t="shared" si="186"/>
        <v/>
      </c>
      <c r="E398" s="14" t="str">
        <f t="shared" si="187"/>
        <v/>
      </c>
      <c r="F398" s="14" t="str">
        <f t="shared" si="188"/>
        <v/>
      </c>
      <c r="G398" s="14" t="str">
        <f t="shared" si="189"/>
        <v/>
      </c>
      <c r="H398" s="14" t="str">
        <f t="shared" si="190"/>
        <v/>
      </c>
      <c r="I398" s="14" t="str">
        <f t="shared" si="191"/>
        <v/>
      </c>
      <c r="J398" s="14" t="str">
        <f t="shared" si="192"/>
        <v/>
      </c>
      <c r="K398" s="14" t="str">
        <f t="shared" si="193"/>
        <v/>
      </c>
      <c r="L398" s="14" t="str">
        <f t="shared" si="194"/>
        <v/>
      </c>
      <c r="M398" s="14" t="str">
        <f t="shared" si="195"/>
        <v/>
      </c>
      <c r="N398" s="14" t="str">
        <f t="shared" si="196"/>
        <v/>
      </c>
      <c r="O398" s="14" t="s">
        <v>11</v>
      </c>
      <c r="P398" s="14" t="s">
        <v>11</v>
      </c>
      <c r="Q398" s="14" t="s">
        <v>11</v>
      </c>
      <c r="R398" s="14" t="s">
        <v>13</v>
      </c>
      <c r="S398" s="14" t="s">
        <v>11</v>
      </c>
      <c r="T398" s="14" t="s">
        <v>11</v>
      </c>
      <c r="U398" s="14" t="s">
        <v>11</v>
      </c>
      <c r="V398" s="14" t="s">
        <v>11</v>
      </c>
      <c r="W398" s="14" t="s">
        <v>11</v>
      </c>
      <c r="X398" s="14" t="s">
        <v>11</v>
      </c>
      <c r="Y398" s="14" t="str">
        <f t="shared" si="197"/>
        <v/>
      </c>
      <c r="Z398" s="14" t="str">
        <f t="shared" si="198"/>
        <v/>
      </c>
      <c r="AA398" s="15">
        <f t="shared" si="199"/>
        <v>0</v>
      </c>
      <c r="AB398" s="14" t="s">
        <v>11</v>
      </c>
      <c r="AC398" s="14" t="s">
        <v>11</v>
      </c>
      <c r="AD398" s="14" t="s">
        <v>11</v>
      </c>
      <c r="AE398" s="14" t="s">
        <v>11</v>
      </c>
      <c r="AF398" s="14" t="s">
        <v>13</v>
      </c>
      <c r="AG398" s="14" t="s">
        <v>11</v>
      </c>
      <c r="AH398" s="14" t="s">
        <v>11</v>
      </c>
      <c r="AI398" s="14" t="s">
        <v>11</v>
      </c>
      <c r="AJ398" s="14" t="s">
        <v>11</v>
      </c>
      <c r="AK398" s="14" t="s">
        <v>11</v>
      </c>
      <c r="AL398" s="14" t="str">
        <f t="shared" si="200"/>
        <v>T</v>
      </c>
      <c r="AM398" s="14" t="str">
        <f t="shared" si="201"/>
        <v>T</v>
      </c>
      <c r="AN398" s="14" t="str">
        <f t="shared" si="202"/>
        <v/>
      </c>
      <c r="AO398" s="14" t="str">
        <f t="shared" si="203"/>
        <v/>
      </c>
      <c r="AP398" s="14" t="str">
        <f t="shared" si="204"/>
        <v/>
      </c>
      <c r="AQ398" s="14" t="str">
        <f t="shared" si="206"/>
        <v/>
      </c>
      <c r="AR398" s="15">
        <f t="shared" si="205"/>
        <v>0</v>
      </c>
    </row>
    <row r="399" spans="2:44" x14ac:dyDescent="0.2">
      <c r="B399" s="16"/>
      <c r="C399" s="15" t="s">
        <v>53</v>
      </c>
      <c r="D399" s="30" t="str">
        <f t="shared" si="186"/>
        <v/>
      </c>
      <c r="E399" s="14" t="str">
        <f t="shared" si="187"/>
        <v/>
      </c>
      <c r="F399" s="14" t="str">
        <f t="shared" si="188"/>
        <v/>
      </c>
      <c r="G399" s="14" t="str">
        <f t="shared" si="189"/>
        <v/>
      </c>
      <c r="H399" s="14" t="str">
        <f t="shared" si="190"/>
        <v/>
      </c>
      <c r="I399" s="14" t="str">
        <f t="shared" si="191"/>
        <v/>
      </c>
      <c r="J399" s="14" t="str">
        <f t="shared" si="192"/>
        <v/>
      </c>
      <c r="K399" s="14" t="str">
        <f t="shared" si="193"/>
        <v/>
      </c>
      <c r="L399" s="14" t="str">
        <f t="shared" si="194"/>
        <v/>
      </c>
      <c r="M399" s="14" t="str">
        <f t="shared" si="195"/>
        <v/>
      </c>
      <c r="N399" s="14" t="str">
        <f t="shared" si="196"/>
        <v/>
      </c>
      <c r="O399" s="14" t="s">
        <v>11</v>
      </c>
      <c r="P399" s="14" t="s">
        <v>11</v>
      </c>
      <c r="Q399" s="14" t="s">
        <v>11</v>
      </c>
      <c r="R399" s="14" t="s">
        <v>13</v>
      </c>
      <c r="S399" s="14" t="s">
        <v>11</v>
      </c>
      <c r="T399" s="14" t="s">
        <v>11</v>
      </c>
      <c r="U399" s="14" t="s">
        <v>11</v>
      </c>
      <c r="V399" s="14" t="s">
        <v>11</v>
      </c>
      <c r="W399" s="14" t="s">
        <v>11</v>
      </c>
      <c r="X399" s="14" t="s">
        <v>11</v>
      </c>
      <c r="Y399" s="14" t="str">
        <f t="shared" si="197"/>
        <v/>
      </c>
      <c r="Z399" s="14" t="str">
        <f t="shared" si="198"/>
        <v/>
      </c>
      <c r="AA399" s="15">
        <f t="shared" si="199"/>
        <v>0</v>
      </c>
      <c r="AB399" s="14" t="s">
        <v>11</v>
      </c>
      <c r="AC399" s="14" t="s">
        <v>11</v>
      </c>
      <c r="AD399" s="14" t="s">
        <v>11</v>
      </c>
      <c r="AE399" s="14" t="s">
        <v>11</v>
      </c>
      <c r="AF399" s="14" t="s">
        <v>13</v>
      </c>
      <c r="AG399" s="14" t="s">
        <v>11</v>
      </c>
      <c r="AH399" s="14" t="s">
        <v>11</v>
      </c>
      <c r="AI399" s="14" t="s">
        <v>11</v>
      </c>
      <c r="AJ399" s="14" t="s">
        <v>11</v>
      </c>
      <c r="AK399" s="14" t="s">
        <v>11</v>
      </c>
      <c r="AL399" s="14" t="str">
        <f t="shared" si="200"/>
        <v>T</v>
      </c>
      <c r="AM399" s="14" t="str">
        <f t="shared" si="201"/>
        <v>T</v>
      </c>
      <c r="AN399" s="14" t="str">
        <f t="shared" si="202"/>
        <v/>
      </c>
      <c r="AO399" s="14" t="str">
        <f t="shared" si="203"/>
        <v/>
      </c>
      <c r="AP399" s="14" t="str">
        <f t="shared" si="204"/>
        <v/>
      </c>
      <c r="AQ399" s="14" t="str">
        <f t="shared" si="206"/>
        <v/>
      </c>
      <c r="AR399" s="15">
        <f t="shared" si="205"/>
        <v>0</v>
      </c>
    </row>
    <row r="400" spans="2:44" x14ac:dyDescent="0.2">
      <c r="B400" s="16"/>
      <c r="C400" s="15" t="s">
        <v>53</v>
      </c>
      <c r="D400" s="30" t="str">
        <f t="shared" ref="D400:D416" si="207">SuprimePreposições(SubstituirTildes(B400))</f>
        <v/>
      </c>
      <c r="E400" s="14" t="str">
        <f t="shared" ref="E400:E416" si="208">MID(D400,E$3,IF(ISERR(SEARCH(" ",D400,E$3)),1000,SEARCH(" ",D400,E$3))-E$3)</f>
        <v/>
      </c>
      <c r="F400" s="14" t="str">
        <f t="shared" ref="F400:F416" si="209">MID(D400,LEN(E400)+F$3,IF(ISERR(SEARCH(" ",D400,LEN(E400)+F$3)),1000,SEARCH(" ",D400,LEN(E400)+F$3)-LEN(E400)-F$3))</f>
        <v/>
      </c>
      <c r="G400" s="14" t="str">
        <f t="shared" ref="G400:G416" si="210">MID(D400,LEN(E400&amp;F400)+G$3,IF(ISERR(SEARCH(" ",D400,LEN(E400&amp;F400)+G$3)),1000,SEARCH(" ",D400,LEN(E400&amp;F400)+G$3)-LEN(E400&amp;F400)-G$3))</f>
        <v/>
      </c>
      <c r="H400" s="14" t="str">
        <f t="shared" ref="H400:H416" si="211">MID(D400,LEN(E400&amp;F400&amp;G400)+H$3,IF(ISERR(SEARCH(" ",D400,LEN(E400&amp;F400&amp;G400)+H$3)),1000,SEARCH(" ",D400,LEN(E400&amp;F400&amp;G400)+H$3)-LEN(E400&amp;F400&amp;G400)-H$3))</f>
        <v/>
      </c>
      <c r="I400" s="14" t="str">
        <f t="shared" ref="I400:I416" si="212">MID(D400,LEN(E400&amp;F400&amp;G400&amp;H400)+I$3,IF(ISERR(SEARCH(" ",D400,LEN(E400&amp;F400&amp;G400&amp;H400)+I$3)),1000,SEARCH(" ",D400,LEN(E400&amp;F400&amp;G400&amp;H400)+I$3)-LEN(E400&amp;F400&amp;G400&amp;H400)-I$3))</f>
        <v/>
      </c>
      <c r="J400" s="14" t="str">
        <f t="shared" ref="J400:J416" si="213">MID(D400,LEN(E400&amp;F400&amp;G400&amp;H400&amp;I400)+J$3,IF(ISERR(SEARCH(" ",D400,LEN(E400&amp;F400&amp;G400&amp;H400&amp;I400)+J$3)),1000,SEARCH(" ",D400,LEN(E400&amp;F400&amp;G400&amp;H400&amp;I400)+J$3)-LEN(E400&amp;F400&amp;G400&amp;H400&amp;I400)-J$3))</f>
        <v/>
      </c>
      <c r="K400" s="14" t="str">
        <f t="shared" ref="K400:K416" si="214">MID(D400,LEN(E400&amp;F400&amp;G400&amp;H400&amp;I400&amp;J400)+K$3,IF(ISERR(SEARCH(" ",D400,LEN(E400&amp;F400&amp;G400&amp;H400&amp;I400&amp;J400)+K$3)),1000,SEARCH(" ",D400,LEN(E400&amp;F400&amp;G400&amp;H400&amp;I400&amp;J400)+K$3)-LEN(E400&amp;F400&amp;G400&amp;H400&amp;I400&amp;J400)-K$3))</f>
        <v/>
      </c>
      <c r="L400" s="14" t="str">
        <f t="shared" ref="L400:L416" si="215">MID(D400,LEN(E400&amp;F400&amp;G400&amp;H400&amp;I400&amp;J400&amp;K400)+L$3,IF(ISERR(SEARCH(" ",D400,LEN(E400&amp;F400&amp;G400&amp;H400&amp;I400&amp;J400&amp;K400)+L$3)),1000,SEARCH(" ",D400,LEN(E400&amp;F400&amp;G400&amp;H400&amp;I400&amp;J400&amp;K400)+L$3)-LEN(E400&amp;F400&amp;G400&amp;H400&amp;I400&amp;J400&amp;K400)-L$3))</f>
        <v/>
      </c>
      <c r="M400" s="14" t="str">
        <f t="shared" ref="M400:M416" si="216">MID(D400,LEN(E400&amp;F400&amp;G400&amp;H400&amp;I400&amp;J400&amp;K400&amp;L400)+M$3,IF(ISERR(SEARCH(" ",D400,LEN(E400&amp;F400&amp;G400&amp;H400&amp;I400&amp;J400&amp;K400&amp;L400)+M$3)),1000,SEARCH(" ",D400,LEN(E400&amp;F400&amp;G400&amp;H400&amp;I400&amp;J400&amp;K400&amp;L400)+M$3)-LEN(E400&amp;F400&amp;G400&amp;H400&amp;I400&amp;J400&amp;K400&amp;L400)-M$3))</f>
        <v/>
      </c>
      <c r="N400" s="14" t="str">
        <f t="shared" ref="N400:N416" si="217">MID(D400,LEN(E400&amp;F400&amp;G400&amp;H400&amp;I400&amp;J400&amp;K400&amp;L400&amp;M400)+N$3,IF(ISERR(SEARCH(" ",D400,LEN(E400&amp;F400&amp;G400&amp;H400&amp;I400&amp;J400&amp;K400&amp;L400&amp;M400)+N$3)),1000,SEARCH(" ",D400,LEN(E400&amp;F400&amp;G400&amp;H400&amp;I400&amp;J400&amp;K400&amp;L400&amp;M400)+N$3)-LEN(E400&amp;F400&amp;G400&amp;H400&amp;I400&amp;J400&amp;K400&amp;L400&amp;M400)-N$3))</f>
        <v/>
      </c>
      <c r="O400" s="14" t="s">
        <v>11</v>
      </c>
      <c r="P400" s="14" t="s">
        <v>11</v>
      </c>
      <c r="Q400" s="14" t="s">
        <v>11</v>
      </c>
      <c r="R400" s="14" t="s">
        <v>13</v>
      </c>
      <c r="S400" s="14" t="s">
        <v>11</v>
      </c>
      <c r="T400" s="14" t="s">
        <v>11</v>
      </c>
      <c r="U400" s="14" t="s">
        <v>11</v>
      </c>
      <c r="V400" s="14" t="s">
        <v>11</v>
      </c>
      <c r="W400" s="14" t="s">
        <v>11</v>
      </c>
      <c r="X400" s="14" t="s">
        <v>11</v>
      </c>
      <c r="Y400" s="14" t="str">
        <f t="shared" ref="Y400:Y416" si="218">IF(C400="E",IF(O400="X",IF(E400&lt;&gt;"",IF(ISERROR(VLOOKUP(E400,ListaThesaurus,2,FALSE)),"***",E400),""),""),IF(C400="A",IF(O400="X",IF(E400&lt;&gt;"",IF(ISERROR(VLOOKUP(E400,ListaNaturezas,2,FALSE)),"***",LOWER(VLOOKUP(E400,ListaNaturezas,2,FALSE))),""),""),"***"))&amp;IF(P400="X",IF(F400&lt;&gt;"",IF(ISERROR(VLOOKUP(F400,ListaThesaurus,2,FALSE)),"***",F400),""),"")&amp;IF(Q400="X",IF(G400&lt;&gt;"",IF(ISERROR(VLOOKUP(G400,ListaThesaurus,2,FALSE)),"***",G400),""),"")&amp;IF(R400="X",IF(H400&lt;&gt;"",IF(ISERROR(VLOOKUP(H400,ListaThesaurus,2,FALSE)),"***",H400),""),"")&amp;IF(S400="X",IF(I400&lt;&gt;"",IF(ISERROR(VLOOKUP(I400,ListaThesaurus,2,FALSE)),"***",I400),""),"")</f>
        <v/>
      </c>
      <c r="Z400" s="14" t="str">
        <f t="shared" ref="Z400:Z416" si="219">IF(OR(C400="E",C400="A"),Y400&amp;IF(T400="X",IF(J400&lt;&gt;"",IF(ISERROR(VLOOKUP(J400,ListaThesaurus,2,FALSE)),"***",J400),""),"")&amp;IF(U400="X",IF(K400&lt;&gt;"",IF(ISERROR(VLOOKUP(K400,ListaThesaurus,2,FALSE)),"***",K400),""),"")&amp;IF(V400="X",IF(L400&lt;&gt;"",IF(ISERROR(VLOOKUP(L400,ListaThesaurus,2,FALSE)),"***",L400),""),"")&amp;IF(W400="X",IF(M400&lt;&gt;"",IF(ISERROR(VLOOKUP(M400,ListaThesaurus,2,FALSE)),"***",M400),""),"")&amp;IF(X400="X",IF(N400&lt;&gt;"",IF(ISERROR(VLOOKUP(N400,ListaThesaurus,2,FALSE)),"***",N400),""),""),"")</f>
        <v/>
      </c>
      <c r="AA400" s="15">
        <f t="shared" ref="AA400:AA416" si="220">LEN(Z400)</f>
        <v>0</v>
      </c>
      <c r="AB400" s="14" t="s">
        <v>11</v>
      </c>
      <c r="AC400" s="14" t="s">
        <v>11</v>
      </c>
      <c r="AD400" s="14" t="s">
        <v>11</v>
      </c>
      <c r="AE400" s="14" t="s">
        <v>11</v>
      </c>
      <c r="AF400" s="14" t="s">
        <v>13</v>
      </c>
      <c r="AG400" s="14" t="s">
        <v>11</v>
      </c>
      <c r="AH400" s="14" t="s">
        <v>11</v>
      </c>
      <c r="AI400" s="14" t="s">
        <v>11</v>
      </c>
      <c r="AJ400" s="14" t="s">
        <v>11</v>
      </c>
      <c r="AK400" s="14" t="s">
        <v>11</v>
      </c>
      <c r="AL400" s="14" t="str">
        <f t="shared" ref="AL400:AL416" si="221">"T"&amp;IF(AB400="X",IF(E400&lt;&gt;"",IF(ISERROR(VLOOKUP(E400,ListaThesaurus,2,FALSE)),"***",VLOOKUP(E400,ListaThesaurus,2,FALSE)),""),"")&amp;IF(AC400="X",IF(F400&lt;&gt;"",IF(AB400="X","_","")&amp;IF(ISERROR(VLOOKUP(F400,ListaThesaurus,2,FALSE)),"***",VLOOKUP(F400,ListaThesaurus,2,FALSE)),""),"")&amp;IF(AD400="X",IF(G400&lt;&gt;"",IF(OR(AB400="X",AC400="X"),"_","")&amp;IF(ISERROR(VLOOKUP(G400,ListaThesaurus,2,FALSE)),"***",VLOOKUP(G400,ListaThesaurus,2,FALSE)),""),"")&amp;IF(AE400="X",IF(H400&lt;&gt;"",IF(OR(AB400="X",AC400="X",AD400="X"),"_","")&amp;IF(ISERROR(VLOOKUP(H400,ListaThesaurus,2,FALSE)),"***",VLOOKUP(H400,ListaThesaurus,2,FALSE)),""),"")&amp;IF(AF400="X",IF(I400&lt;&gt;"",IF(OR(AB400="X",AC400="X",AD400="X",AE400="X"),"_","")&amp;IF(ISERROR(VLOOKUP(I400,ListaThesaurus,2,FALSE)),"***",VLOOKUP(I400,ListaThesaurus,2,FALSE)),""),"")</f>
        <v>T</v>
      </c>
      <c r="AM400" s="14" t="str">
        <f t="shared" ref="AM400:AM416" si="222">AL400&amp;IF(AG400="X",IF(J400&lt;&gt;"",IF(OR(AB400="X",AC400="X",AD400="X",AE400="X",AF400="X"),"_","")&amp;IF(ISERROR(VLOOKUP(J400,ListaThesaurus,2,FALSE)),"***",VLOOKUP(J400,ListaThesaurus,2,FALSE)),""),"")&amp;IF(AH400="X",IF(K400&lt;&gt;"",IF(OR(AB400="X",AC400="X",AD400="X",AE400="X",AF400="X",AG400="X"),"_","")&amp;IF(ISERROR(VLOOKUP(K400,ListaThesaurus,2,FALSE)),"***",VLOOKUP(K400,ListaThesaurus,2,FALSE)),""),"")&amp;IF(AI400="X",IF(L400&lt;&gt;"",IF(OR(AB400="X",AC400="X",AD400="X",AE400="X",AF400="X",AG400="X",AH400="X"),"_","")&amp;IF(ISERROR(VLOOKUP(L400,ListaThesaurus,2,FALSE)),"***",VLOOKUP(L400,ListaThesaurus,2,FALSE)),""),"")&amp;IF(AJ400="X",IF(M400&lt;&gt;"",IF(OR(AB400="X",AC400="X",AD400="X",AE400="X",AF400="X",AG400="X",AH400="X",AI400="X"),"_","")&amp;IF(ISERROR(VLOOKUP(M400,ListaThesaurus,2,FALSE)),"***",VLOOKUP(M400,ListaThesaurus,2,FALSE)),""),"")&amp;IF(AK400="X",IF(N400&lt;&gt;"",IF(OR(AB400="X",AC400="X",AD400="X",AE400="X",AF400="X",AG400="X",AH400="X",AI400="X",AJ400="X"),"_","")&amp;IF(ISERROR(VLOOKUP(N400,ListaThesaurus,2,FALSE)),"***",VLOOKUP(N400,ListaThesaurus,2,FALSE)),""),"")</f>
        <v>T</v>
      </c>
      <c r="AN400" s="14" t="str">
        <f t="shared" ref="AN400:AN416" si="223">IF(AB400="X",IF(E400&lt;&gt;"",IF(ISERROR(VLOOKUP(E400,ListaNaturezas,3,FALSE)),"***",VLOOKUP(E400,ListaNaturezas,3,FALSE)),""),"")&amp;IF(AC400="X",IF(F400&lt;&gt;"",IF(ISERROR(VLOOKUP(F400,ListaThesaurus,2,FALSE)),"***",VLOOKUP(F400,ListaThesaurus,2,FALSE)),""),"")&amp;IF(AD400="X",IF(G400&lt;&gt;"",IF(AC400="X","_","")&amp;IF(ISERROR(VLOOKUP(G400,ListaThesaurus,2,FALSE)),"***",VLOOKUP(G400,ListaThesaurus,2,FALSE)),""),"")&amp;IF(AE400="X",IF(H400&lt;&gt;"",IF(OR(AC400="X",AD400="X"),"_","")&amp;IF(ISERROR(VLOOKUP(H400,ListaThesaurus,2,FALSE)),"***",VLOOKUP(H400,ListaThesaurus,2,FALSE)),""),"")&amp;IF(AF400="X",IF(I400&lt;&gt;"",IF(OR(AC400="X",AD400="X",AE400="X"),"_","")&amp;IF(ISERROR(VLOOKUP(I400,ListaThesaurus,2,FALSE)),"***",VLOOKUP(I400,ListaThesaurus,2,FALSE)),""),"")</f>
        <v/>
      </c>
      <c r="AO400" s="14" t="str">
        <f t="shared" ref="AO400:AO416" si="224">AN400&amp;IF(AG400="X",IF(J400&lt;&gt;"",IF(OR(AC400="X",AD400="X",AE400="X",AF400="X"),"_","")&amp;IF(ISERROR(VLOOKUP(J400,ListaThesaurus,2,FALSE)),"***",VLOOKUP(J400,ListaThesaurus,2,FALSE)),""),"")&amp;IF(AH400="X",IF(K400&lt;&gt;"",IF(OR(AC400="X",AD400="X",AE400="X",AF400="X",AG400="X"),"_","")&amp;IF(ISERROR(VLOOKUP(K400,ListaThesaurus,2,FALSE)),"***",VLOOKUP(K400,ListaThesaurus,2,FALSE)),""),"")&amp;IF(AI400="X",IF(L400&lt;&gt;"",IF(OR(AC400="X",AD400="X",AE400="X",AF400="X",AG400="X",AH400="X"),"_","")&amp;IF(ISERROR(VLOOKUP(L400,ListaThesaurus,2,FALSE)),"***",VLOOKUP(L400,ListaThesaurus,2,FALSE)),""),"")&amp;IF(AJ400="X",IF(M400&lt;&gt;"",IF(OR(AC400="X",AD400="X",AE400="X",AF400="X",AG400="X",AH400="X",AI400="X"),"_","")&amp;IF(ISERROR(VLOOKUP(M400,ListaThesaurus,2,FALSE)),"***",VLOOKUP(M400,ListaThesaurus,2,FALSE)),""),"")&amp;IF(AK400="X",IF(N400&lt;&gt;"",IF(OR(AC400="X",AD400="X",AE400="X",AF400="X",AG400="X",AH400="X",AI400="X",AJ400="X"),"_","")&amp;IF(ISERROR(VLOOKUP(N400,ListaThesaurus,2,FALSE)),"***",VLOOKUP(N400,ListaThesaurus,2,FALSE)),""),"")</f>
        <v/>
      </c>
      <c r="AP400" s="14" t="str">
        <f t="shared" ref="AP400:AP416" si="225">IF(C400="A",AO400,IF(C400="E",AM400,""))</f>
        <v/>
      </c>
      <c r="AQ400" s="14" t="str">
        <f t="shared" si="206"/>
        <v/>
      </c>
      <c r="AR400" s="15">
        <f t="shared" ref="AR400:AR416" si="226">LEN(AP400)</f>
        <v>0</v>
      </c>
    </row>
    <row r="401" spans="2:44" x14ac:dyDescent="0.2">
      <c r="B401" s="16"/>
      <c r="C401" s="15" t="s">
        <v>53</v>
      </c>
      <c r="D401" s="30" t="str">
        <f t="shared" si="207"/>
        <v/>
      </c>
      <c r="E401" s="14" t="str">
        <f t="shared" si="208"/>
        <v/>
      </c>
      <c r="F401" s="14" t="str">
        <f t="shared" si="209"/>
        <v/>
      </c>
      <c r="G401" s="14" t="str">
        <f t="shared" si="210"/>
        <v/>
      </c>
      <c r="H401" s="14" t="str">
        <f t="shared" si="211"/>
        <v/>
      </c>
      <c r="I401" s="14" t="str">
        <f t="shared" si="212"/>
        <v/>
      </c>
      <c r="J401" s="14" t="str">
        <f t="shared" si="213"/>
        <v/>
      </c>
      <c r="K401" s="14" t="str">
        <f t="shared" si="214"/>
        <v/>
      </c>
      <c r="L401" s="14" t="str">
        <f t="shared" si="215"/>
        <v/>
      </c>
      <c r="M401" s="14" t="str">
        <f t="shared" si="216"/>
        <v/>
      </c>
      <c r="N401" s="14" t="str">
        <f t="shared" si="217"/>
        <v/>
      </c>
      <c r="O401" s="14" t="s">
        <v>11</v>
      </c>
      <c r="P401" s="14" t="s">
        <v>11</v>
      </c>
      <c r="Q401" s="14" t="s">
        <v>11</v>
      </c>
      <c r="R401" s="14" t="s">
        <v>13</v>
      </c>
      <c r="S401" s="14" t="s">
        <v>11</v>
      </c>
      <c r="T401" s="14" t="s">
        <v>11</v>
      </c>
      <c r="U401" s="14" t="s">
        <v>11</v>
      </c>
      <c r="V401" s="14" t="s">
        <v>11</v>
      </c>
      <c r="W401" s="14" t="s">
        <v>11</v>
      </c>
      <c r="X401" s="14" t="s">
        <v>11</v>
      </c>
      <c r="Y401" s="14" t="str">
        <f t="shared" si="218"/>
        <v/>
      </c>
      <c r="Z401" s="14" t="str">
        <f t="shared" si="219"/>
        <v/>
      </c>
      <c r="AA401" s="15">
        <f t="shared" si="220"/>
        <v>0</v>
      </c>
      <c r="AB401" s="14" t="s">
        <v>11</v>
      </c>
      <c r="AC401" s="14" t="s">
        <v>11</v>
      </c>
      <c r="AD401" s="14" t="s">
        <v>11</v>
      </c>
      <c r="AE401" s="14" t="s">
        <v>11</v>
      </c>
      <c r="AF401" s="14" t="s">
        <v>13</v>
      </c>
      <c r="AG401" s="14" t="s">
        <v>11</v>
      </c>
      <c r="AH401" s="14" t="s">
        <v>11</v>
      </c>
      <c r="AI401" s="14" t="s">
        <v>11</v>
      </c>
      <c r="AJ401" s="14" t="s">
        <v>11</v>
      </c>
      <c r="AK401" s="14" t="s">
        <v>11</v>
      </c>
      <c r="AL401" s="14" t="str">
        <f t="shared" si="221"/>
        <v>T</v>
      </c>
      <c r="AM401" s="14" t="str">
        <f t="shared" si="222"/>
        <v>T</v>
      </c>
      <c r="AN401" s="14" t="str">
        <f t="shared" si="223"/>
        <v/>
      </c>
      <c r="AO401" s="14" t="str">
        <f t="shared" si="224"/>
        <v/>
      </c>
      <c r="AP401" s="14" t="str">
        <f t="shared" si="225"/>
        <v/>
      </c>
      <c r="AQ401" s="14" t="str">
        <f t="shared" si="206"/>
        <v/>
      </c>
      <c r="AR401" s="15">
        <f t="shared" si="226"/>
        <v>0</v>
      </c>
    </row>
    <row r="402" spans="2:44" x14ac:dyDescent="0.2">
      <c r="B402" s="16"/>
      <c r="C402" s="15" t="s">
        <v>53</v>
      </c>
      <c r="D402" s="30" t="str">
        <f t="shared" si="207"/>
        <v/>
      </c>
      <c r="E402" s="14" t="str">
        <f t="shared" si="208"/>
        <v/>
      </c>
      <c r="F402" s="14" t="str">
        <f t="shared" si="209"/>
        <v/>
      </c>
      <c r="G402" s="14" t="str">
        <f t="shared" si="210"/>
        <v/>
      </c>
      <c r="H402" s="14" t="str">
        <f t="shared" si="211"/>
        <v/>
      </c>
      <c r="I402" s="14" t="str">
        <f t="shared" si="212"/>
        <v/>
      </c>
      <c r="J402" s="14" t="str">
        <f t="shared" si="213"/>
        <v/>
      </c>
      <c r="K402" s="14" t="str">
        <f t="shared" si="214"/>
        <v/>
      </c>
      <c r="L402" s="14" t="str">
        <f t="shared" si="215"/>
        <v/>
      </c>
      <c r="M402" s="14" t="str">
        <f t="shared" si="216"/>
        <v/>
      </c>
      <c r="N402" s="14" t="str">
        <f t="shared" si="217"/>
        <v/>
      </c>
      <c r="O402" s="14" t="s">
        <v>11</v>
      </c>
      <c r="P402" s="14" t="s">
        <v>11</v>
      </c>
      <c r="Q402" s="14" t="s">
        <v>11</v>
      </c>
      <c r="R402" s="14" t="s">
        <v>13</v>
      </c>
      <c r="S402" s="14" t="s">
        <v>11</v>
      </c>
      <c r="T402" s="14" t="s">
        <v>11</v>
      </c>
      <c r="U402" s="14" t="s">
        <v>11</v>
      </c>
      <c r="V402" s="14" t="s">
        <v>11</v>
      </c>
      <c r="W402" s="14" t="s">
        <v>11</v>
      </c>
      <c r="X402" s="14" t="s">
        <v>11</v>
      </c>
      <c r="Y402" s="14" t="str">
        <f t="shared" si="218"/>
        <v/>
      </c>
      <c r="Z402" s="14" t="str">
        <f t="shared" si="219"/>
        <v/>
      </c>
      <c r="AA402" s="15">
        <f t="shared" si="220"/>
        <v>0</v>
      </c>
      <c r="AB402" s="14" t="s">
        <v>11</v>
      </c>
      <c r="AC402" s="14" t="s">
        <v>11</v>
      </c>
      <c r="AD402" s="14" t="s">
        <v>11</v>
      </c>
      <c r="AE402" s="14" t="s">
        <v>11</v>
      </c>
      <c r="AF402" s="14" t="s">
        <v>13</v>
      </c>
      <c r="AG402" s="14" t="s">
        <v>11</v>
      </c>
      <c r="AH402" s="14" t="s">
        <v>11</v>
      </c>
      <c r="AI402" s="14" t="s">
        <v>11</v>
      </c>
      <c r="AJ402" s="14" t="s">
        <v>11</v>
      </c>
      <c r="AK402" s="14" t="s">
        <v>11</v>
      </c>
      <c r="AL402" s="14" t="str">
        <f t="shared" si="221"/>
        <v>T</v>
      </c>
      <c r="AM402" s="14" t="str">
        <f t="shared" si="222"/>
        <v>T</v>
      </c>
      <c r="AN402" s="14" t="str">
        <f t="shared" si="223"/>
        <v/>
      </c>
      <c r="AO402" s="14" t="str">
        <f t="shared" si="224"/>
        <v/>
      </c>
      <c r="AP402" s="14" t="str">
        <f t="shared" si="225"/>
        <v/>
      </c>
      <c r="AQ402" s="14" t="str">
        <f t="shared" si="206"/>
        <v/>
      </c>
      <c r="AR402" s="15">
        <f t="shared" si="226"/>
        <v>0</v>
      </c>
    </row>
    <row r="403" spans="2:44" x14ac:dyDescent="0.2">
      <c r="B403" s="16"/>
      <c r="C403" s="15" t="s">
        <v>53</v>
      </c>
      <c r="D403" s="30" t="str">
        <f t="shared" si="207"/>
        <v/>
      </c>
      <c r="E403" s="14" t="str">
        <f t="shared" si="208"/>
        <v/>
      </c>
      <c r="F403" s="14" t="str">
        <f t="shared" si="209"/>
        <v/>
      </c>
      <c r="G403" s="14" t="str">
        <f t="shared" si="210"/>
        <v/>
      </c>
      <c r="H403" s="14" t="str">
        <f t="shared" si="211"/>
        <v/>
      </c>
      <c r="I403" s="14" t="str">
        <f t="shared" si="212"/>
        <v/>
      </c>
      <c r="J403" s="14" t="str">
        <f t="shared" si="213"/>
        <v/>
      </c>
      <c r="K403" s="14" t="str">
        <f t="shared" si="214"/>
        <v/>
      </c>
      <c r="L403" s="14" t="str">
        <f t="shared" si="215"/>
        <v/>
      </c>
      <c r="M403" s="14" t="str">
        <f t="shared" si="216"/>
        <v/>
      </c>
      <c r="N403" s="14" t="str">
        <f t="shared" si="217"/>
        <v/>
      </c>
      <c r="O403" s="14" t="s">
        <v>11</v>
      </c>
      <c r="P403" s="14" t="s">
        <v>11</v>
      </c>
      <c r="Q403" s="14" t="s">
        <v>11</v>
      </c>
      <c r="R403" s="14" t="s">
        <v>13</v>
      </c>
      <c r="S403" s="14" t="s">
        <v>11</v>
      </c>
      <c r="T403" s="14" t="s">
        <v>11</v>
      </c>
      <c r="U403" s="14" t="s">
        <v>11</v>
      </c>
      <c r="V403" s="14" t="s">
        <v>11</v>
      </c>
      <c r="W403" s="14" t="s">
        <v>11</v>
      </c>
      <c r="X403" s="14" t="s">
        <v>11</v>
      </c>
      <c r="Y403" s="14" t="str">
        <f t="shared" si="218"/>
        <v/>
      </c>
      <c r="Z403" s="14" t="str">
        <f t="shared" si="219"/>
        <v/>
      </c>
      <c r="AA403" s="15">
        <f t="shared" si="220"/>
        <v>0</v>
      </c>
      <c r="AB403" s="14" t="s">
        <v>11</v>
      </c>
      <c r="AC403" s="14" t="s">
        <v>11</v>
      </c>
      <c r="AD403" s="14" t="s">
        <v>11</v>
      </c>
      <c r="AE403" s="14" t="s">
        <v>11</v>
      </c>
      <c r="AF403" s="14" t="s">
        <v>13</v>
      </c>
      <c r="AG403" s="14" t="s">
        <v>11</v>
      </c>
      <c r="AH403" s="14" t="s">
        <v>11</v>
      </c>
      <c r="AI403" s="14" t="s">
        <v>11</v>
      </c>
      <c r="AJ403" s="14" t="s">
        <v>11</v>
      </c>
      <c r="AK403" s="14" t="s">
        <v>11</v>
      </c>
      <c r="AL403" s="14" t="str">
        <f t="shared" si="221"/>
        <v>T</v>
      </c>
      <c r="AM403" s="14" t="str">
        <f t="shared" si="222"/>
        <v>T</v>
      </c>
      <c r="AN403" s="14" t="str">
        <f t="shared" si="223"/>
        <v/>
      </c>
      <c r="AO403" s="14" t="str">
        <f t="shared" si="224"/>
        <v/>
      </c>
      <c r="AP403" s="14" t="str">
        <f t="shared" si="225"/>
        <v/>
      </c>
      <c r="AQ403" s="14" t="str">
        <f t="shared" si="206"/>
        <v/>
      </c>
      <c r="AR403" s="15">
        <f t="shared" si="226"/>
        <v>0</v>
      </c>
    </row>
    <row r="404" spans="2:44" x14ac:dyDescent="0.2">
      <c r="B404" s="16"/>
      <c r="C404" s="15" t="s">
        <v>53</v>
      </c>
      <c r="D404" s="30" t="str">
        <f t="shared" si="207"/>
        <v/>
      </c>
      <c r="E404" s="14" t="str">
        <f t="shared" si="208"/>
        <v/>
      </c>
      <c r="F404" s="14" t="str">
        <f t="shared" si="209"/>
        <v/>
      </c>
      <c r="G404" s="14" t="str">
        <f t="shared" si="210"/>
        <v/>
      </c>
      <c r="H404" s="14" t="str">
        <f t="shared" si="211"/>
        <v/>
      </c>
      <c r="I404" s="14" t="str">
        <f t="shared" si="212"/>
        <v/>
      </c>
      <c r="J404" s="14" t="str">
        <f t="shared" si="213"/>
        <v/>
      </c>
      <c r="K404" s="14" t="str">
        <f t="shared" si="214"/>
        <v/>
      </c>
      <c r="L404" s="14" t="str">
        <f t="shared" si="215"/>
        <v/>
      </c>
      <c r="M404" s="14" t="str">
        <f t="shared" si="216"/>
        <v/>
      </c>
      <c r="N404" s="14" t="str">
        <f t="shared" si="217"/>
        <v/>
      </c>
      <c r="O404" s="14" t="s">
        <v>11</v>
      </c>
      <c r="P404" s="14" t="s">
        <v>11</v>
      </c>
      <c r="Q404" s="14" t="s">
        <v>11</v>
      </c>
      <c r="R404" s="14" t="s">
        <v>13</v>
      </c>
      <c r="S404" s="14" t="s">
        <v>11</v>
      </c>
      <c r="T404" s="14" t="s">
        <v>11</v>
      </c>
      <c r="U404" s="14" t="s">
        <v>11</v>
      </c>
      <c r="V404" s="14" t="s">
        <v>11</v>
      </c>
      <c r="W404" s="14" t="s">
        <v>11</v>
      </c>
      <c r="X404" s="14" t="s">
        <v>11</v>
      </c>
      <c r="Y404" s="14" t="str">
        <f t="shared" si="218"/>
        <v/>
      </c>
      <c r="Z404" s="14" t="str">
        <f t="shared" si="219"/>
        <v/>
      </c>
      <c r="AA404" s="15">
        <f t="shared" si="220"/>
        <v>0</v>
      </c>
      <c r="AB404" s="14" t="s">
        <v>11</v>
      </c>
      <c r="AC404" s="14" t="s">
        <v>11</v>
      </c>
      <c r="AD404" s="14" t="s">
        <v>11</v>
      </c>
      <c r="AE404" s="14" t="s">
        <v>11</v>
      </c>
      <c r="AF404" s="14" t="s">
        <v>13</v>
      </c>
      <c r="AG404" s="14" t="s">
        <v>11</v>
      </c>
      <c r="AH404" s="14" t="s">
        <v>11</v>
      </c>
      <c r="AI404" s="14" t="s">
        <v>11</v>
      </c>
      <c r="AJ404" s="14" t="s">
        <v>11</v>
      </c>
      <c r="AK404" s="14" t="s">
        <v>11</v>
      </c>
      <c r="AL404" s="14" t="str">
        <f t="shared" si="221"/>
        <v>T</v>
      </c>
      <c r="AM404" s="14" t="str">
        <f t="shared" si="222"/>
        <v>T</v>
      </c>
      <c r="AN404" s="14" t="str">
        <f t="shared" si="223"/>
        <v/>
      </c>
      <c r="AO404" s="14" t="str">
        <f t="shared" si="224"/>
        <v/>
      </c>
      <c r="AP404" s="14" t="str">
        <f t="shared" si="225"/>
        <v/>
      </c>
      <c r="AQ404" s="14" t="str">
        <f t="shared" si="206"/>
        <v/>
      </c>
      <c r="AR404" s="15">
        <f t="shared" si="226"/>
        <v>0</v>
      </c>
    </row>
    <row r="405" spans="2:44" x14ac:dyDescent="0.2">
      <c r="B405" s="16"/>
      <c r="C405" s="15" t="s">
        <v>53</v>
      </c>
      <c r="D405" s="30" t="str">
        <f t="shared" si="207"/>
        <v/>
      </c>
      <c r="E405" s="14" t="str">
        <f t="shared" si="208"/>
        <v/>
      </c>
      <c r="F405" s="14" t="str">
        <f t="shared" si="209"/>
        <v/>
      </c>
      <c r="G405" s="14" t="str">
        <f t="shared" si="210"/>
        <v/>
      </c>
      <c r="H405" s="14" t="str">
        <f t="shared" si="211"/>
        <v/>
      </c>
      <c r="I405" s="14" t="str">
        <f t="shared" si="212"/>
        <v/>
      </c>
      <c r="J405" s="14" t="str">
        <f t="shared" si="213"/>
        <v/>
      </c>
      <c r="K405" s="14" t="str">
        <f t="shared" si="214"/>
        <v/>
      </c>
      <c r="L405" s="14" t="str">
        <f t="shared" si="215"/>
        <v/>
      </c>
      <c r="M405" s="14" t="str">
        <f t="shared" si="216"/>
        <v/>
      </c>
      <c r="N405" s="14" t="str">
        <f t="shared" si="217"/>
        <v/>
      </c>
      <c r="O405" s="14" t="s">
        <v>11</v>
      </c>
      <c r="P405" s="14" t="s">
        <v>11</v>
      </c>
      <c r="Q405" s="14" t="s">
        <v>11</v>
      </c>
      <c r="R405" s="14" t="s">
        <v>13</v>
      </c>
      <c r="S405" s="14" t="s">
        <v>11</v>
      </c>
      <c r="T405" s="14" t="s">
        <v>11</v>
      </c>
      <c r="U405" s="14" t="s">
        <v>11</v>
      </c>
      <c r="V405" s="14" t="s">
        <v>11</v>
      </c>
      <c r="W405" s="14" t="s">
        <v>11</v>
      </c>
      <c r="X405" s="14" t="s">
        <v>11</v>
      </c>
      <c r="Y405" s="14" t="str">
        <f t="shared" si="218"/>
        <v/>
      </c>
      <c r="Z405" s="14" t="str">
        <f t="shared" si="219"/>
        <v/>
      </c>
      <c r="AA405" s="15">
        <f t="shared" si="220"/>
        <v>0</v>
      </c>
      <c r="AB405" s="14" t="s">
        <v>11</v>
      </c>
      <c r="AC405" s="14" t="s">
        <v>11</v>
      </c>
      <c r="AD405" s="14" t="s">
        <v>11</v>
      </c>
      <c r="AE405" s="14" t="s">
        <v>11</v>
      </c>
      <c r="AF405" s="14" t="s">
        <v>13</v>
      </c>
      <c r="AG405" s="14" t="s">
        <v>11</v>
      </c>
      <c r="AH405" s="14" t="s">
        <v>11</v>
      </c>
      <c r="AI405" s="14" t="s">
        <v>11</v>
      </c>
      <c r="AJ405" s="14" t="s">
        <v>11</v>
      </c>
      <c r="AK405" s="14" t="s">
        <v>11</v>
      </c>
      <c r="AL405" s="14" t="str">
        <f t="shared" si="221"/>
        <v>T</v>
      </c>
      <c r="AM405" s="14" t="str">
        <f t="shared" si="222"/>
        <v>T</v>
      </c>
      <c r="AN405" s="14" t="str">
        <f t="shared" si="223"/>
        <v/>
      </c>
      <c r="AO405" s="14" t="str">
        <f t="shared" si="224"/>
        <v/>
      </c>
      <c r="AP405" s="14" t="str">
        <f t="shared" si="225"/>
        <v/>
      </c>
      <c r="AQ405" s="14" t="str">
        <f t="shared" si="206"/>
        <v/>
      </c>
      <c r="AR405" s="15">
        <f t="shared" si="226"/>
        <v>0</v>
      </c>
    </row>
    <row r="406" spans="2:44" x14ac:dyDescent="0.2">
      <c r="B406" s="16"/>
      <c r="C406" s="15" t="s">
        <v>53</v>
      </c>
      <c r="D406" s="30" t="str">
        <f t="shared" si="207"/>
        <v/>
      </c>
      <c r="E406" s="14" t="str">
        <f t="shared" si="208"/>
        <v/>
      </c>
      <c r="F406" s="14" t="str">
        <f t="shared" si="209"/>
        <v/>
      </c>
      <c r="G406" s="14" t="str">
        <f t="shared" si="210"/>
        <v/>
      </c>
      <c r="H406" s="14" t="str">
        <f t="shared" si="211"/>
        <v/>
      </c>
      <c r="I406" s="14" t="str">
        <f t="shared" si="212"/>
        <v/>
      </c>
      <c r="J406" s="14" t="str">
        <f t="shared" si="213"/>
        <v/>
      </c>
      <c r="K406" s="14" t="str">
        <f t="shared" si="214"/>
        <v/>
      </c>
      <c r="L406" s="14" t="str">
        <f t="shared" si="215"/>
        <v/>
      </c>
      <c r="M406" s="14" t="str">
        <f t="shared" si="216"/>
        <v/>
      </c>
      <c r="N406" s="14" t="str">
        <f t="shared" si="217"/>
        <v/>
      </c>
      <c r="O406" s="14" t="s">
        <v>11</v>
      </c>
      <c r="P406" s="14" t="s">
        <v>11</v>
      </c>
      <c r="Q406" s="14" t="s">
        <v>11</v>
      </c>
      <c r="R406" s="14" t="s">
        <v>13</v>
      </c>
      <c r="S406" s="14" t="s">
        <v>11</v>
      </c>
      <c r="T406" s="14" t="s">
        <v>11</v>
      </c>
      <c r="U406" s="14" t="s">
        <v>11</v>
      </c>
      <c r="V406" s="14" t="s">
        <v>11</v>
      </c>
      <c r="W406" s="14" t="s">
        <v>11</v>
      </c>
      <c r="X406" s="14" t="s">
        <v>11</v>
      </c>
      <c r="Y406" s="14" t="str">
        <f t="shared" si="218"/>
        <v/>
      </c>
      <c r="Z406" s="14" t="str">
        <f t="shared" si="219"/>
        <v/>
      </c>
      <c r="AA406" s="15">
        <f t="shared" si="220"/>
        <v>0</v>
      </c>
      <c r="AB406" s="14" t="s">
        <v>11</v>
      </c>
      <c r="AC406" s="14" t="s">
        <v>11</v>
      </c>
      <c r="AD406" s="14" t="s">
        <v>11</v>
      </c>
      <c r="AE406" s="14" t="s">
        <v>11</v>
      </c>
      <c r="AF406" s="14" t="s">
        <v>13</v>
      </c>
      <c r="AG406" s="14" t="s">
        <v>11</v>
      </c>
      <c r="AH406" s="14" t="s">
        <v>11</v>
      </c>
      <c r="AI406" s="14" t="s">
        <v>11</v>
      </c>
      <c r="AJ406" s="14" t="s">
        <v>11</v>
      </c>
      <c r="AK406" s="14" t="s">
        <v>11</v>
      </c>
      <c r="AL406" s="14" t="str">
        <f t="shared" si="221"/>
        <v>T</v>
      </c>
      <c r="AM406" s="14" t="str">
        <f t="shared" si="222"/>
        <v>T</v>
      </c>
      <c r="AN406" s="14" t="str">
        <f t="shared" si="223"/>
        <v/>
      </c>
      <c r="AO406" s="14" t="str">
        <f t="shared" si="224"/>
        <v/>
      </c>
      <c r="AP406" s="14" t="str">
        <f t="shared" si="225"/>
        <v/>
      </c>
      <c r="AQ406" s="14" t="str">
        <f t="shared" si="206"/>
        <v/>
      </c>
      <c r="AR406" s="15">
        <f t="shared" si="226"/>
        <v>0</v>
      </c>
    </row>
    <row r="407" spans="2:44" x14ac:dyDescent="0.2">
      <c r="B407" s="16"/>
      <c r="C407" s="15" t="s">
        <v>53</v>
      </c>
      <c r="D407" s="30" t="str">
        <f t="shared" si="207"/>
        <v/>
      </c>
      <c r="E407" s="14" t="str">
        <f t="shared" si="208"/>
        <v/>
      </c>
      <c r="F407" s="14" t="str">
        <f t="shared" si="209"/>
        <v/>
      </c>
      <c r="G407" s="14" t="str">
        <f t="shared" si="210"/>
        <v/>
      </c>
      <c r="H407" s="14" t="str">
        <f t="shared" si="211"/>
        <v/>
      </c>
      <c r="I407" s="14" t="str">
        <f t="shared" si="212"/>
        <v/>
      </c>
      <c r="J407" s="14" t="str">
        <f t="shared" si="213"/>
        <v/>
      </c>
      <c r="K407" s="14" t="str">
        <f t="shared" si="214"/>
        <v/>
      </c>
      <c r="L407" s="14" t="str">
        <f t="shared" si="215"/>
        <v/>
      </c>
      <c r="M407" s="14" t="str">
        <f t="shared" si="216"/>
        <v/>
      </c>
      <c r="N407" s="14" t="str">
        <f t="shared" si="217"/>
        <v/>
      </c>
      <c r="O407" s="14" t="s">
        <v>11</v>
      </c>
      <c r="P407" s="14" t="s">
        <v>11</v>
      </c>
      <c r="Q407" s="14" t="s">
        <v>11</v>
      </c>
      <c r="R407" s="14" t="s">
        <v>13</v>
      </c>
      <c r="S407" s="14" t="s">
        <v>11</v>
      </c>
      <c r="T407" s="14" t="s">
        <v>11</v>
      </c>
      <c r="U407" s="14" t="s">
        <v>11</v>
      </c>
      <c r="V407" s="14" t="s">
        <v>11</v>
      </c>
      <c r="W407" s="14" t="s">
        <v>11</v>
      </c>
      <c r="X407" s="14" t="s">
        <v>11</v>
      </c>
      <c r="Y407" s="14" t="str">
        <f t="shared" si="218"/>
        <v/>
      </c>
      <c r="Z407" s="14" t="str">
        <f t="shared" si="219"/>
        <v/>
      </c>
      <c r="AA407" s="15">
        <f t="shared" si="220"/>
        <v>0</v>
      </c>
      <c r="AB407" s="14" t="s">
        <v>11</v>
      </c>
      <c r="AC407" s="14" t="s">
        <v>11</v>
      </c>
      <c r="AD407" s="14" t="s">
        <v>11</v>
      </c>
      <c r="AE407" s="14" t="s">
        <v>11</v>
      </c>
      <c r="AF407" s="14" t="s">
        <v>13</v>
      </c>
      <c r="AG407" s="14" t="s">
        <v>11</v>
      </c>
      <c r="AH407" s="14" t="s">
        <v>11</v>
      </c>
      <c r="AI407" s="14" t="s">
        <v>11</v>
      </c>
      <c r="AJ407" s="14" t="s">
        <v>11</v>
      </c>
      <c r="AK407" s="14" t="s">
        <v>11</v>
      </c>
      <c r="AL407" s="14" t="str">
        <f t="shared" si="221"/>
        <v>T</v>
      </c>
      <c r="AM407" s="14" t="str">
        <f t="shared" si="222"/>
        <v>T</v>
      </c>
      <c r="AN407" s="14" t="str">
        <f t="shared" si="223"/>
        <v/>
      </c>
      <c r="AO407" s="14" t="str">
        <f t="shared" si="224"/>
        <v/>
      </c>
      <c r="AP407" s="14" t="str">
        <f t="shared" si="225"/>
        <v/>
      </c>
      <c r="AQ407" s="14" t="str">
        <f t="shared" si="206"/>
        <v/>
      </c>
      <c r="AR407" s="15">
        <f t="shared" si="226"/>
        <v>0</v>
      </c>
    </row>
    <row r="408" spans="2:44" x14ac:dyDescent="0.2">
      <c r="B408" s="16"/>
      <c r="C408" s="15" t="s">
        <v>53</v>
      </c>
      <c r="D408" s="30" t="str">
        <f t="shared" si="207"/>
        <v/>
      </c>
      <c r="E408" s="14" t="str">
        <f t="shared" si="208"/>
        <v/>
      </c>
      <c r="F408" s="14" t="str">
        <f t="shared" si="209"/>
        <v/>
      </c>
      <c r="G408" s="14" t="str">
        <f t="shared" si="210"/>
        <v/>
      </c>
      <c r="H408" s="14" t="str">
        <f t="shared" si="211"/>
        <v/>
      </c>
      <c r="I408" s="14" t="str">
        <f t="shared" si="212"/>
        <v/>
      </c>
      <c r="J408" s="14" t="str">
        <f t="shared" si="213"/>
        <v/>
      </c>
      <c r="K408" s="14" t="str">
        <f t="shared" si="214"/>
        <v/>
      </c>
      <c r="L408" s="14" t="str">
        <f t="shared" si="215"/>
        <v/>
      </c>
      <c r="M408" s="14" t="str">
        <f t="shared" si="216"/>
        <v/>
      </c>
      <c r="N408" s="14" t="str">
        <f t="shared" si="217"/>
        <v/>
      </c>
      <c r="O408" s="14" t="s">
        <v>11</v>
      </c>
      <c r="P408" s="14" t="s">
        <v>11</v>
      </c>
      <c r="Q408" s="14" t="s">
        <v>11</v>
      </c>
      <c r="R408" s="14" t="s">
        <v>13</v>
      </c>
      <c r="S408" s="14" t="s">
        <v>11</v>
      </c>
      <c r="T408" s="14" t="s">
        <v>11</v>
      </c>
      <c r="U408" s="14" t="s">
        <v>11</v>
      </c>
      <c r="V408" s="14" t="s">
        <v>11</v>
      </c>
      <c r="W408" s="14" t="s">
        <v>11</v>
      </c>
      <c r="X408" s="14" t="s">
        <v>11</v>
      </c>
      <c r="Y408" s="14" t="str">
        <f t="shared" si="218"/>
        <v/>
      </c>
      <c r="Z408" s="14" t="str">
        <f t="shared" si="219"/>
        <v/>
      </c>
      <c r="AA408" s="15">
        <f t="shared" si="220"/>
        <v>0</v>
      </c>
      <c r="AB408" s="14" t="s">
        <v>11</v>
      </c>
      <c r="AC408" s="14" t="s">
        <v>11</v>
      </c>
      <c r="AD408" s="14" t="s">
        <v>11</v>
      </c>
      <c r="AE408" s="14" t="s">
        <v>11</v>
      </c>
      <c r="AF408" s="14" t="s">
        <v>13</v>
      </c>
      <c r="AG408" s="14" t="s">
        <v>11</v>
      </c>
      <c r="AH408" s="14" t="s">
        <v>11</v>
      </c>
      <c r="AI408" s="14" t="s">
        <v>11</v>
      </c>
      <c r="AJ408" s="14" t="s">
        <v>11</v>
      </c>
      <c r="AK408" s="14" t="s">
        <v>11</v>
      </c>
      <c r="AL408" s="14" t="str">
        <f t="shared" si="221"/>
        <v>T</v>
      </c>
      <c r="AM408" s="14" t="str">
        <f t="shared" si="222"/>
        <v>T</v>
      </c>
      <c r="AN408" s="14" t="str">
        <f t="shared" si="223"/>
        <v/>
      </c>
      <c r="AO408" s="14" t="str">
        <f t="shared" si="224"/>
        <v/>
      </c>
      <c r="AP408" s="14" t="str">
        <f t="shared" si="225"/>
        <v/>
      </c>
      <c r="AQ408" s="14" t="str">
        <f t="shared" si="206"/>
        <v/>
      </c>
      <c r="AR408" s="15">
        <f t="shared" si="226"/>
        <v>0</v>
      </c>
    </row>
    <row r="409" spans="2:44" x14ac:dyDescent="0.2">
      <c r="B409" s="16"/>
      <c r="C409" s="15" t="s">
        <v>53</v>
      </c>
      <c r="D409" s="30" t="str">
        <f t="shared" si="207"/>
        <v/>
      </c>
      <c r="E409" s="14" t="str">
        <f t="shared" si="208"/>
        <v/>
      </c>
      <c r="F409" s="14" t="str">
        <f t="shared" si="209"/>
        <v/>
      </c>
      <c r="G409" s="14" t="str">
        <f t="shared" si="210"/>
        <v/>
      </c>
      <c r="H409" s="14" t="str">
        <f t="shared" si="211"/>
        <v/>
      </c>
      <c r="I409" s="14" t="str">
        <f t="shared" si="212"/>
        <v/>
      </c>
      <c r="J409" s="14" t="str">
        <f t="shared" si="213"/>
        <v/>
      </c>
      <c r="K409" s="14" t="str">
        <f t="shared" si="214"/>
        <v/>
      </c>
      <c r="L409" s="14" t="str">
        <f t="shared" si="215"/>
        <v/>
      </c>
      <c r="M409" s="14" t="str">
        <f t="shared" si="216"/>
        <v/>
      </c>
      <c r="N409" s="14" t="str">
        <f t="shared" si="217"/>
        <v/>
      </c>
      <c r="O409" s="14" t="s">
        <v>11</v>
      </c>
      <c r="P409" s="14" t="s">
        <v>11</v>
      </c>
      <c r="Q409" s="14" t="s">
        <v>11</v>
      </c>
      <c r="R409" s="14" t="s">
        <v>13</v>
      </c>
      <c r="S409" s="14" t="s">
        <v>11</v>
      </c>
      <c r="T409" s="14" t="s">
        <v>11</v>
      </c>
      <c r="U409" s="14" t="s">
        <v>11</v>
      </c>
      <c r="V409" s="14" t="s">
        <v>11</v>
      </c>
      <c r="W409" s="14" t="s">
        <v>11</v>
      </c>
      <c r="X409" s="14" t="s">
        <v>11</v>
      </c>
      <c r="Y409" s="14" t="str">
        <f t="shared" si="218"/>
        <v/>
      </c>
      <c r="Z409" s="14" t="str">
        <f t="shared" si="219"/>
        <v/>
      </c>
      <c r="AA409" s="15">
        <f t="shared" si="220"/>
        <v>0</v>
      </c>
      <c r="AB409" s="14" t="s">
        <v>11</v>
      </c>
      <c r="AC409" s="14" t="s">
        <v>11</v>
      </c>
      <c r="AD409" s="14" t="s">
        <v>11</v>
      </c>
      <c r="AE409" s="14" t="s">
        <v>11</v>
      </c>
      <c r="AF409" s="14" t="s">
        <v>13</v>
      </c>
      <c r="AG409" s="14" t="s">
        <v>11</v>
      </c>
      <c r="AH409" s="14" t="s">
        <v>11</v>
      </c>
      <c r="AI409" s="14" t="s">
        <v>11</v>
      </c>
      <c r="AJ409" s="14" t="s">
        <v>11</v>
      </c>
      <c r="AK409" s="14" t="s">
        <v>11</v>
      </c>
      <c r="AL409" s="14" t="str">
        <f t="shared" si="221"/>
        <v>T</v>
      </c>
      <c r="AM409" s="14" t="str">
        <f t="shared" si="222"/>
        <v>T</v>
      </c>
      <c r="AN409" s="14" t="str">
        <f t="shared" si="223"/>
        <v/>
      </c>
      <c r="AO409" s="14" t="str">
        <f t="shared" si="224"/>
        <v/>
      </c>
      <c r="AP409" s="14" t="str">
        <f t="shared" si="225"/>
        <v/>
      </c>
      <c r="AQ409" s="14" t="str">
        <f t="shared" si="206"/>
        <v/>
      </c>
      <c r="AR409" s="15">
        <f t="shared" si="226"/>
        <v>0</v>
      </c>
    </row>
    <row r="410" spans="2:44" x14ac:dyDescent="0.2">
      <c r="B410" s="16"/>
      <c r="C410" s="15" t="s">
        <v>53</v>
      </c>
      <c r="D410" s="30" t="str">
        <f t="shared" si="207"/>
        <v/>
      </c>
      <c r="E410" s="14" t="str">
        <f t="shared" si="208"/>
        <v/>
      </c>
      <c r="F410" s="14" t="str">
        <f t="shared" si="209"/>
        <v/>
      </c>
      <c r="G410" s="14" t="str">
        <f t="shared" si="210"/>
        <v/>
      </c>
      <c r="H410" s="14" t="str">
        <f t="shared" si="211"/>
        <v/>
      </c>
      <c r="I410" s="14" t="str">
        <f t="shared" si="212"/>
        <v/>
      </c>
      <c r="J410" s="14" t="str">
        <f t="shared" si="213"/>
        <v/>
      </c>
      <c r="K410" s="14" t="str">
        <f t="shared" si="214"/>
        <v/>
      </c>
      <c r="L410" s="14" t="str">
        <f t="shared" si="215"/>
        <v/>
      </c>
      <c r="M410" s="14" t="str">
        <f t="shared" si="216"/>
        <v/>
      </c>
      <c r="N410" s="14" t="str">
        <f t="shared" si="217"/>
        <v/>
      </c>
      <c r="O410" s="14" t="s">
        <v>11</v>
      </c>
      <c r="P410" s="14" t="s">
        <v>11</v>
      </c>
      <c r="Q410" s="14" t="s">
        <v>11</v>
      </c>
      <c r="R410" s="14" t="s">
        <v>13</v>
      </c>
      <c r="S410" s="14" t="s">
        <v>11</v>
      </c>
      <c r="T410" s="14" t="s">
        <v>11</v>
      </c>
      <c r="U410" s="14" t="s">
        <v>11</v>
      </c>
      <c r="V410" s="14" t="s">
        <v>11</v>
      </c>
      <c r="W410" s="14" t="s">
        <v>11</v>
      </c>
      <c r="X410" s="14" t="s">
        <v>11</v>
      </c>
      <c r="Y410" s="14" t="str">
        <f t="shared" si="218"/>
        <v/>
      </c>
      <c r="Z410" s="14" t="str">
        <f t="shared" si="219"/>
        <v/>
      </c>
      <c r="AA410" s="15">
        <f t="shared" si="220"/>
        <v>0</v>
      </c>
      <c r="AB410" s="14" t="s">
        <v>11</v>
      </c>
      <c r="AC410" s="14" t="s">
        <v>11</v>
      </c>
      <c r="AD410" s="14" t="s">
        <v>11</v>
      </c>
      <c r="AE410" s="14" t="s">
        <v>11</v>
      </c>
      <c r="AF410" s="14" t="s">
        <v>13</v>
      </c>
      <c r="AG410" s="14" t="s">
        <v>11</v>
      </c>
      <c r="AH410" s="14" t="s">
        <v>11</v>
      </c>
      <c r="AI410" s="14" t="s">
        <v>11</v>
      </c>
      <c r="AJ410" s="14" t="s">
        <v>11</v>
      </c>
      <c r="AK410" s="14" t="s">
        <v>11</v>
      </c>
      <c r="AL410" s="14" t="str">
        <f t="shared" si="221"/>
        <v>T</v>
      </c>
      <c r="AM410" s="14" t="str">
        <f t="shared" si="222"/>
        <v>T</v>
      </c>
      <c r="AN410" s="14" t="str">
        <f t="shared" si="223"/>
        <v/>
      </c>
      <c r="AO410" s="14" t="str">
        <f t="shared" si="224"/>
        <v/>
      </c>
      <c r="AP410" s="14" t="str">
        <f t="shared" si="225"/>
        <v/>
      </c>
      <c r="AQ410" s="14" t="str">
        <f t="shared" si="206"/>
        <v/>
      </c>
      <c r="AR410" s="15">
        <f t="shared" si="226"/>
        <v>0</v>
      </c>
    </row>
    <row r="411" spans="2:44" x14ac:dyDescent="0.2">
      <c r="B411" s="16"/>
      <c r="C411" s="15" t="s">
        <v>53</v>
      </c>
      <c r="D411" s="30" t="str">
        <f t="shared" si="207"/>
        <v/>
      </c>
      <c r="E411" s="14" t="str">
        <f t="shared" si="208"/>
        <v/>
      </c>
      <c r="F411" s="14" t="str">
        <f t="shared" si="209"/>
        <v/>
      </c>
      <c r="G411" s="14" t="str">
        <f t="shared" si="210"/>
        <v/>
      </c>
      <c r="H411" s="14" t="str">
        <f t="shared" si="211"/>
        <v/>
      </c>
      <c r="I411" s="14" t="str">
        <f t="shared" si="212"/>
        <v/>
      </c>
      <c r="J411" s="14" t="str">
        <f t="shared" si="213"/>
        <v/>
      </c>
      <c r="K411" s="14" t="str">
        <f t="shared" si="214"/>
        <v/>
      </c>
      <c r="L411" s="14" t="str">
        <f t="shared" si="215"/>
        <v/>
      </c>
      <c r="M411" s="14" t="str">
        <f t="shared" si="216"/>
        <v/>
      </c>
      <c r="N411" s="14" t="str">
        <f t="shared" si="217"/>
        <v/>
      </c>
      <c r="O411" s="14" t="s">
        <v>11</v>
      </c>
      <c r="P411" s="14" t="s">
        <v>11</v>
      </c>
      <c r="Q411" s="14" t="s">
        <v>11</v>
      </c>
      <c r="R411" s="14" t="s">
        <v>13</v>
      </c>
      <c r="S411" s="14" t="s">
        <v>11</v>
      </c>
      <c r="T411" s="14" t="s">
        <v>11</v>
      </c>
      <c r="U411" s="14" t="s">
        <v>11</v>
      </c>
      <c r="V411" s="14" t="s">
        <v>11</v>
      </c>
      <c r="W411" s="14" t="s">
        <v>11</v>
      </c>
      <c r="X411" s="14" t="s">
        <v>11</v>
      </c>
      <c r="Y411" s="14" t="str">
        <f t="shared" si="218"/>
        <v/>
      </c>
      <c r="Z411" s="14" t="str">
        <f t="shared" si="219"/>
        <v/>
      </c>
      <c r="AA411" s="15">
        <f t="shared" si="220"/>
        <v>0</v>
      </c>
      <c r="AB411" s="14" t="s">
        <v>11</v>
      </c>
      <c r="AC411" s="14" t="s">
        <v>11</v>
      </c>
      <c r="AD411" s="14" t="s">
        <v>11</v>
      </c>
      <c r="AE411" s="14" t="s">
        <v>11</v>
      </c>
      <c r="AF411" s="14" t="s">
        <v>13</v>
      </c>
      <c r="AG411" s="14" t="s">
        <v>11</v>
      </c>
      <c r="AH411" s="14" t="s">
        <v>11</v>
      </c>
      <c r="AI411" s="14" t="s">
        <v>11</v>
      </c>
      <c r="AJ411" s="14" t="s">
        <v>11</v>
      </c>
      <c r="AK411" s="14" t="s">
        <v>11</v>
      </c>
      <c r="AL411" s="14" t="str">
        <f t="shared" si="221"/>
        <v>T</v>
      </c>
      <c r="AM411" s="14" t="str">
        <f t="shared" si="222"/>
        <v>T</v>
      </c>
      <c r="AN411" s="14" t="str">
        <f t="shared" si="223"/>
        <v/>
      </c>
      <c r="AO411" s="14" t="str">
        <f t="shared" si="224"/>
        <v/>
      </c>
      <c r="AP411" s="14" t="str">
        <f t="shared" si="225"/>
        <v/>
      </c>
      <c r="AQ411" s="14" t="str">
        <f t="shared" si="206"/>
        <v/>
      </c>
      <c r="AR411" s="15">
        <f t="shared" si="226"/>
        <v>0</v>
      </c>
    </row>
    <row r="412" spans="2:44" x14ac:dyDescent="0.2">
      <c r="B412" s="16"/>
      <c r="C412" s="15" t="s">
        <v>53</v>
      </c>
      <c r="D412" s="30" t="str">
        <f t="shared" si="207"/>
        <v/>
      </c>
      <c r="E412" s="14" t="str">
        <f t="shared" si="208"/>
        <v/>
      </c>
      <c r="F412" s="14" t="str">
        <f t="shared" si="209"/>
        <v/>
      </c>
      <c r="G412" s="14" t="str">
        <f t="shared" si="210"/>
        <v/>
      </c>
      <c r="H412" s="14" t="str">
        <f t="shared" si="211"/>
        <v/>
      </c>
      <c r="I412" s="14" t="str">
        <f t="shared" si="212"/>
        <v/>
      </c>
      <c r="J412" s="14" t="str">
        <f t="shared" si="213"/>
        <v/>
      </c>
      <c r="K412" s="14" t="str">
        <f t="shared" si="214"/>
        <v/>
      </c>
      <c r="L412" s="14" t="str">
        <f t="shared" si="215"/>
        <v/>
      </c>
      <c r="M412" s="14" t="str">
        <f t="shared" si="216"/>
        <v/>
      </c>
      <c r="N412" s="14" t="str">
        <f t="shared" si="217"/>
        <v/>
      </c>
      <c r="O412" s="14" t="s">
        <v>11</v>
      </c>
      <c r="P412" s="14" t="s">
        <v>11</v>
      </c>
      <c r="Q412" s="14" t="s">
        <v>11</v>
      </c>
      <c r="R412" s="14" t="s">
        <v>13</v>
      </c>
      <c r="S412" s="14" t="s">
        <v>11</v>
      </c>
      <c r="T412" s="14" t="s">
        <v>11</v>
      </c>
      <c r="U412" s="14" t="s">
        <v>11</v>
      </c>
      <c r="V412" s="14" t="s">
        <v>11</v>
      </c>
      <c r="W412" s="14" t="s">
        <v>11</v>
      </c>
      <c r="X412" s="14" t="s">
        <v>11</v>
      </c>
      <c r="Y412" s="14" t="str">
        <f t="shared" si="218"/>
        <v/>
      </c>
      <c r="Z412" s="14" t="str">
        <f t="shared" si="219"/>
        <v/>
      </c>
      <c r="AA412" s="15">
        <f t="shared" si="220"/>
        <v>0</v>
      </c>
      <c r="AB412" s="14" t="s">
        <v>11</v>
      </c>
      <c r="AC412" s="14" t="s">
        <v>11</v>
      </c>
      <c r="AD412" s="14" t="s">
        <v>11</v>
      </c>
      <c r="AE412" s="14" t="s">
        <v>11</v>
      </c>
      <c r="AF412" s="14" t="s">
        <v>13</v>
      </c>
      <c r="AG412" s="14" t="s">
        <v>11</v>
      </c>
      <c r="AH412" s="14" t="s">
        <v>11</v>
      </c>
      <c r="AI412" s="14" t="s">
        <v>11</v>
      </c>
      <c r="AJ412" s="14" t="s">
        <v>11</v>
      </c>
      <c r="AK412" s="14" t="s">
        <v>11</v>
      </c>
      <c r="AL412" s="14" t="str">
        <f t="shared" si="221"/>
        <v>T</v>
      </c>
      <c r="AM412" s="14" t="str">
        <f t="shared" si="222"/>
        <v>T</v>
      </c>
      <c r="AN412" s="14" t="str">
        <f t="shared" si="223"/>
        <v/>
      </c>
      <c r="AO412" s="14" t="str">
        <f t="shared" si="224"/>
        <v/>
      </c>
      <c r="AP412" s="14" t="str">
        <f t="shared" si="225"/>
        <v/>
      </c>
      <c r="AQ412" s="14" t="str">
        <f t="shared" si="206"/>
        <v/>
      </c>
      <c r="AR412" s="15">
        <f t="shared" si="226"/>
        <v>0</v>
      </c>
    </row>
    <row r="413" spans="2:44" x14ac:dyDescent="0.2">
      <c r="B413" s="16"/>
      <c r="C413" s="15" t="s">
        <v>53</v>
      </c>
      <c r="D413" s="30" t="str">
        <f t="shared" si="207"/>
        <v/>
      </c>
      <c r="E413" s="14" t="str">
        <f t="shared" si="208"/>
        <v/>
      </c>
      <c r="F413" s="14" t="str">
        <f t="shared" si="209"/>
        <v/>
      </c>
      <c r="G413" s="14" t="str">
        <f t="shared" si="210"/>
        <v/>
      </c>
      <c r="H413" s="14" t="str">
        <f t="shared" si="211"/>
        <v/>
      </c>
      <c r="I413" s="14" t="str">
        <f t="shared" si="212"/>
        <v/>
      </c>
      <c r="J413" s="14" t="str">
        <f t="shared" si="213"/>
        <v/>
      </c>
      <c r="K413" s="14" t="str">
        <f t="shared" si="214"/>
        <v/>
      </c>
      <c r="L413" s="14" t="str">
        <f t="shared" si="215"/>
        <v/>
      </c>
      <c r="M413" s="14" t="str">
        <f t="shared" si="216"/>
        <v/>
      </c>
      <c r="N413" s="14" t="str">
        <f t="shared" si="217"/>
        <v/>
      </c>
      <c r="O413" s="14" t="s">
        <v>11</v>
      </c>
      <c r="P413" s="14" t="s">
        <v>11</v>
      </c>
      <c r="Q413" s="14" t="s">
        <v>11</v>
      </c>
      <c r="R413" s="14" t="s">
        <v>13</v>
      </c>
      <c r="S413" s="14" t="s">
        <v>11</v>
      </c>
      <c r="T413" s="14" t="s">
        <v>11</v>
      </c>
      <c r="U413" s="14" t="s">
        <v>11</v>
      </c>
      <c r="V413" s="14" t="s">
        <v>11</v>
      </c>
      <c r="W413" s="14" t="s">
        <v>11</v>
      </c>
      <c r="X413" s="14" t="s">
        <v>11</v>
      </c>
      <c r="Y413" s="14" t="str">
        <f t="shared" si="218"/>
        <v/>
      </c>
      <c r="Z413" s="14" t="str">
        <f t="shared" si="219"/>
        <v/>
      </c>
      <c r="AA413" s="15">
        <f t="shared" si="220"/>
        <v>0</v>
      </c>
      <c r="AB413" s="14" t="s">
        <v>11</v>
      </c>
      <c r="AC413" s="14" t="s">
        <v>11</v>
      </c>
      <c r="AD413" s="14" t="s">
        <v>11</v>
      </c>
      <c r="AE413" s="14" t="s">
        <v>11</v>
      </c>
      <c r="AF413" s="14" t="s">
        <v>13</v>
      </c>
      <c r="AG413" s="14" t="s">
        <v>11</v>
      </c>
      <c r="AH413" s="14" t="s">
        <v>11</v>
      </c>
      <c r="AI413" s="14" t="s">
        <v>11</v>
      </c>
      <c r="AJ413" s="14" t="s">
        <v>11</v>
      </c>
      <c r="AK413" s="14" t="s">
        <v>11</v>
      </c>
      <c r="AL413" s="14" t="str">
        <f t="shared" si="221"/>
        <v>T</v>
      </c>
      <c r="AM413" s="14" t="str">
        <f t="shared" si="222"/>
        <v>T</v>
      </c>
      <c r="AN413" s="14" t="str">
        <f t="shared" si="223"/>
        <v/>
      </c>
      <c r="AO413" s="14" t="str">
        <f t="shared" si="224"/>
        <v/>
      </c>
      <c r="AP413" s="14" t="str">
        <f t="shared" si="225"/>
        <v/>
      </c>
      <c r="AQ413" s="14" t="str">
        <f t="shared" si="206"/>
        <v/>
      </c>
      <c r="AR413" s="15">
        <f t="shared" si="226"/>
        <v>0</v>
      </c>
    </row>
    <row r="414" spans="2:44" x14ac:dyDescent="0.2">
      <c r="B414" s="16"/>
      <c r="C414" s="15" t="s">
        <v>53</v>
      </c>
      <c r="D414" s="30" t="str">
        <f t="shared" si="207"/>
        <v/>
      </c>
      <c r="E414" s="14" t="str">
        <f t="shared" si="208"/>
        <v/>
      </c>
      <c r="F414" s="14" t="str">
        <f t="shared" si="209"/>
        <v/>
      </c>
      <c r="G414" s="14" t="str">
        <f t="shared" si="210"/>
        <v/>
      </c>
      <c r="H414" s="14" t="str">
        <f t="shared" si="211"/>
        <v/>
      </c>
      <c r="I414" s="14" t="str">
        <f t="shared" si="212"/>
        <v/>
      </c>
      <c r="J414" s="14" t="str">
        <f t="shared" si="213"/>
        <v/>
      </c>
      <c r="K414" s="14" t="str">
        <f t="shared" si="214"/>
        <v/>
      </c>
      <c r="L414" s="14" t="str">
        <f t="shared" si="215"/>
        <v/>
      </c>
      <c r="M414" s="14" t="str">
        <f t="shared" si="216"/>
        <v/>
      </c>
      <c r="N414" s="14" t="str">
        <f t="shared" si="217"/>
        <v/>
      </c>
      <c r="O414" s="14" t="s">
        <v>11</v>
      </c>
      <c r="P414" s="14" t="s">
        <v>11</v>
      </c>
      <c r="Q414" s="14" t="s">
        <v>11</v>
      </c>
      <c r="R414" s="14" t="s">
        <v>13</v>
      </c>
      <c r="S414" s="14" t="s">
        <v>11</v>
      </c>
      <c r="T414" s="14" t="s">
        <v>11</v>
      </c>
      <c r="U414" s="14" t="s">
        <v>11</v>
      </c>
      <c r="V414" s="14" t="s">
        <v>11</v>
      </c>
      <c r="W414" s="14" t="s">
        <v>11</v>
      </c>
      <c r="X414" s="14" t="s">
        <v>11</v>
      </c>
      <c r="Y414" s="14" t="str">
        <f t="shared" si="218"/>
        <v/>
      </c>
      <c r="Z414" s="14" t="str">
        <f t="shared" si="219"/>
        <v/>
      </c>
      <c r="AA414" s="15">
        <f t="shared" si="220"/>
        <v>0</v>
      </c>
      <c r="AB414" s="14" t="s">
        <v>11</v>
      </c>
      <c r="AC414" s="14" t="s">
        <v>11</v>
      </c>
      <c r="AD414" s="14" t="s">
        <v>11</v>
      </c>
      <c r="AE414" s="14" t="s">
        <v>11</v>
      </c>
      <c r="AF414" s="14" t="s">
        <v>13</v>
      </c>
      <c r="AG414" s="14" t="s">
        <v>11</v>
      </c>
      <c r="AH414" s="14" t="s">
        <v>11</v>
      </c>
      <c r="AI414" s="14" t="s">
        <v>11</v>
      </c>
      <c r="AJ414" s="14" t="s">
        <v>11</v>
      </c>
      <c r="AK414" s="14" t="s">
        <v>11</v>
      </c>
      <c r="AL414" s="14" t="str">
        <f t="shared" si="221"/>
        <v>T</v>
      </c>
      <c r="AM414" s="14" t="str">
        <f t="shared" si="222"/>
        <v>T</v>
      </c>
      <c r="AN414" s="14" t="str">
        <f t="shared" si="223"/>
        <v/>
      </c>
      <c r="AO414" s="14" t="str">
        <f t="shared" si="224"/>
        <v/>
      </c>
      <c r="AP414" s="14" t="str">
        <f t="shared" si="225"/>
        <v/>
      </c>
      <c r="AQ414" s="14" t="str">
        <f t="shared" si="206"/>
        <v/>
      </c>
      <c r="AR414" s="15">
        <f t="shared" si="226"/>
        <v>0</v>
      </c>
    </row>
    <row r="415" spans="2:44" x14ac:dyDescent="0.2">
      <c r="B415" s="16"/>
      <c r="C415" s="15" t="s">
        <v>53</v>
      </c>
      <c r="D415" s="30" t="str">
        <f t="shared" si="207"/>
        <v/>
      </c>
      <c r="E415" s="14" t="str">
        <f t="shared" si="208"/>
        <v/>
      </c>
      <c r="F415" s="14" t="str">
        <f t="shared" si="209"/>
        <v/>
      </c>
      <c r="G415" s="14" t="str">
        <f t="shared" si="210"/>
        <v/>
      </c>
      <c r="H415" s="14" t="str">
        <f t="shared" si="211"/>
        <v/>
      </c>
      <c r="I415" s="14" t="str">
        <f t="shared" si="212"/>
        <v/>
      </c>
      <c r="J415" s="14" t="str">
        <f t="shared" si="213"/>
        <v/>
      </c>
      <c r="K415" s="14" t="str">
        <f t="shared" si="214"/>
        <v/>
      </c>
      <c r="L415" s="14" t="str">
        <f t="shared" si="215"/>
        <v/>
      </c>
      <c r="M415" s="14" t="str">
        <f t="shared" si="216"/>
        <v/>
      </c>
      <c r="N415" s="14" t="str">
        <f t="shared" si="217"/>
        <v/>
      </c>
      <c r="O415" s="14" t="s">
        <v>11</v>
      </c>
      <c r="P415" s="14" t="s">
        <v>11</v>
      </c>
      <c r="Q415" s="14" t="s">
        <v>11</v>
      </c>
      <c r="R415" s="14" t="s">
        <v>13</v>
      </c>
      <c r="S415" s="14" t="s">
        <v>11</v>
      </c>
      <c r="T415" s="14" t="s">
        <v>11</v>
      </c>
      <c r="U415" s="14" t="s">
        <v>11</v>
      </c>
      <c r="V415" s="14" t="s">
        <v>11</v>
      </c>
      <c r="W415" s="14" t="s">
        <v>11</v>
      </c>
      <c r="X415" s="14" t="s">
        <v>11</v>
      </c>
      <c r="Y415" s="14" t="str">
        <f t="shared" si="218"/>
        <v/>
      </c>
      <c r="Z415" s="14" t="str">
        <f t="shared" si="219"/>
        <v/>
      </c>
      <c r="AA415" s="15">
        <f t="shared" si="220"/>
        <v>0</v>
      </c>
      <c r="AB415" s="14" t="s">
        <v>11</v>
      </c>
      <c r="AC415" s="14" t="s">
        <v>11</v>
      </c>
      <c r="AD415" s="14" t="s">
        <v>11</v>
      </c>
      <c r="AE415" s="14" t="s">
        <v>11</v>
      </c>
      <c r="AF415" s="14" t="s">
        <v>13</v>
      </c>
      <c r="AG415" s="14" t="s">
        <v>11</v>
      </c>
      <c r="AH415" s="14" t="s">
        <v>11</v>
      </c>
      <c r="AI415" s="14" t="s">
        <v>11</v>
      </c>
      <c r="AJ415" s="14" t="s">
        <v>11</v>
      </c>
      <c r="AK415" s="14" t="s">
        <v>11</v>
      </c>
      <c r="AL415" s="14" t="str">
        <f t="shared" si="221"/>
        <v>T</v>
      </c>
      <c r="AM415" s="14" t="str">
        <f t="shared" si="222"/>
        <v>T</v>
      </c>
      <c r="AN415" s="14" t="str">
        <f t="shared" si="223"/>
        <v/>
      </c>
      <c r="AO415" s="14" t="str">
        <f t="shared" si="224"/>
        <v/>
      </c>
      <c r="AP415" s="14" t="str">
        <f t="shared" si="225"/>
        <v/>
      </c>
      <c r="AQ415" s="14" t="str">
        <f t="shared" si="206"/>
        <v/>
      </c>
      <c r="AR415" s="15">
        <f t="shared" si="226"/>
        <v>0</v>
      </c>
    </row>
    <row r="416" spans="2:44" x14ac:dyDescent="0.2">
      <c r="B416" s="16"/>
      <c r="C416" s="15" t="s">
        <v>53</v>
      </c>
      <c r="D416" s="30" t="str">
        <f t="shared" si="207"/>
        <v/>
      </c>
      <c r="E416" s="14" t="str">
        <f t="shared" si="208"/>
        <v/>
      </c>
      <c r="F416" s="14" t="str">
        <f t="shared" si="209"/>
        <v/>
      </c>
      <c r="G416" s="14" t="str">
        <f t="shared" si="210"/>
        <v/>
      </c>
      <c r="H416" s="14" t="str">
        <f t="shared" si="211"/>
        <v/>
      </c>
      <c r="I416" s="14" t="str">
        <f t="shared" si="212"/>
        <v/>
      </c>
      <c r="J416" s="14" t="str">
        <f t="shared" si="213"/>
        <v/>
      </c>
      <c r="K416" s="14" t="str">
        <f t="shared" si="214"/>
        <v/>
      </c>
      <c r="L416" s="14" t="str">
        <f t="shared" si="215"/>
        <v/>
      </c>
      <c r="M416" s="14" t="str">
        <f t="shared" si="216"/>
        <v/>
      </c>
      <c r="N416" s="14" t="str">
        <f t="shared" si="217"/>
        <v/>
      </c>
      <c r="O416" s="14" t="s">
        <v>11</v>
      </c>
      <c r="P416" s="14" t="s">
        <v>11</v>
      </c>
      <c r="Q416" s="14" t="s">
        <v>11</v>
      </c>
      <c r="R416" s="14" t="s">
        <v>13</v>
      </c>
      <c r="S416" s="14" t="s">
        <v>11</v>
      </c>
      <c r="T416" s="14" t="s">
        <v>11</v>
      </c>
      <c r="U416" s="14" t="s">
        <v>11</v>
      </c>
      <c r="V416" s="14" t="s">
        <v>11</v>
      </c>
      <c r="W416" s="14" t="s">
        <v>11</v>
      </c>
      <c r="X416" s="14" t="s">
        <v>11</v>
      </c>
      <c r="Y416" s="14" t="str">
        <f t="shared" si="218"/>
        <v/>
      </c>
      <c r="Z416" s="14" t="str">
        <f t="shared" si="219"/>
        <v/>
      </c>
      <c r="AA416" s="15">
        <f t="shared" si="220"/>
        <v>0</v>
      </c>
      <c r="AB416" s="14" t="s">
        <v>11</v>
      </c>
      <c r="AC416" s="14" t="s">
        <v>11</v>
      </c>
      <c r="AD416" s="14" t="s">
        <v>11</v>
      </c>
      <c r="AE416" s="14" t="s">
        <v>11</v>
      </c>
      <c r="AF416" s="14" t="s">
        <v>13</v>
      </c>
      <c r="AG416" s="14" t="s">
        <v>11</v>
      </c>
      <c r="AH416" s="14" t="s">
        <v>11</v>
      </c>
      <c r="AI416" s="14" t="s">
        <v>11</v>
      </c>
      <c r="AJ416" s="14" t="s">
        <v>11</v>
      </c>
      <c r="AK416" s="14" t="s">
        <v>11</v>
      </c>
      <c r="AL416" s="14" t="str">
        <f t="shared" si="221"/>
        <v>T</v>
      </c>
      <c r="AM416" s="14" t="str">
        <f t="shared" si="222"/>
        <v>T</v>
      </c>
      <c r="AN416" s="14" t="str">
        <f t="shared" si="223"/>
        <v/>
      </c>
      <c r="AO416" s="14" t="str">
        <f t="shared" si="224"/>
        <v/>
      </c>
      <c r="AP416" s="14" t="str">
        <f t="shared" si="225"/>
        <v/>
      </c>
      <c r="AQ416" s="14" t="str">
        <f>LOWER(AP416)</f>
        <v/>
      </c>
      <c r="AR416" s="15">
        <f t="shared" si="226"/>
        <v>0</v>
      </c>
    </row>
  </sheetData>
  <autoFilter ref="B2:B4" xr:uid="{00000000-0009-0000-0000-000002000000}"/>
  <mergeCells count="5">
    <mergeCell ref="AN2:AO2"/>
    <mergeCell ref="O2:U2"/>
    <mergeCell ref="E2:L2"/>
    <mergeCell ref="AB2:AH2"/>
    <mergeCell ref="AL2:AM2"/>
  </mergeCells>
  <phoneticPr fontId="0" type="noConversion"/>
  <conditionalFormatting sqref="O4:X6">
    <cfRule type="expression" dxfId="2952" priority="5895" stopIfTrue="1">
      <formula>E4&lt;&gt;""</formula>
    </cfRule>
    <cfRule type="expression" dxfId="2951" priority="5896" stopIfTrue="1">
      <formula>E4=""</formula>
    </cfRule>
  </conditionalFormatting>
  <conditionalFormatting sqref="AB4:AK416">
    <cfRule type="expression" dxfId="2950" priority="5897" stopIfTrue="1">
      <formula>AND(E4&lt;&gt;"",O4="X")</formula>
    </cfRule>
    <cfRule type="expression" dxfId="2949" priority="5898" stopIfTrue="1">
      <formula>AND(E4&lt;&gt;"",O4&lt;&gt;"X",OR(NOT(ISBLANK(AB4)),AB4="X"))</formula>
    </cfRule>
    <cfRule type="expression" dxfId="2948" priority="5899" stopIfTrue="1">
      <formula>E4=""</formula>
    </cfRule>
  </conditionalFormatting>
  <conditionalFormatting sqref="AP4:AQ4 AP16:AP18 AP5:AP6">
    <cfRule type="expression" dxfId="2947" priority="5900" stopIfTrue="1">
      <formula>LEN(AP4)&gt;AR$3</formula>
    </cfRule>
    <cfRule type="expression" dxfId="2946" priority="5901" stopIfTrue="1">
      <formula>AND(NOT(ISERROR(SEARCH("~*~*~*",AP4,1))),SEARCH("~*~*~*",AP4,1)&gt;0)</formula>
    </cfRule>
  </conditionalFormatting>
  <conditionalFormatting sqref="Z4:Z6">
    <cfRule type="expression" dxfId="2945" priority="5902" stopIfTrue="1">
      <formula>LEN(Z4)&gt;$AA$3</formula>
    </cfRule>
    <cfRule type="expression" dxfId="2944" priority="5903" stopIfTrue="1">
      <formula>AND(NOT(ISERROR(SEARCH("~*~*~*",Z4,1))),SEARCH("~*~*~*",Z4,1)&gt;0)</formula>
    </cfRule>
  </conditionalFormatting>
  <conditionalFormatting sqref="AN4:AN6">
    <cfRule type="expression" dxfId="2943" priority="5904" stopIfTrue="1">
      <formula>LEN(AN4)&gt;#REF!</formula>
    </cfRule>
    <cfRule type="expression" dxfId="2942" priority="5905" stopIfTrue="1">
      <formula>AND(NOT(ISERROR(SEARCH("~*~*~*",AN4,1))),SEARCH("~*~*~*",AN4,1)&gt;0)</formula>
    </cfRule>
  </conditionalFormatting>
  <conditionalFormatting sqref="AO4:AO6 AM4:AM6">
    <cfRule type="expression" dxfId="2941" priority="5906" stopIfTrue="1">
      <formula>LEN(AM4)&gt;32</formula>
    </cfRule>
    <cfRule type="expression" dxfId="2940" priority="5907" stopIfTrue="1">
      <formula>AND(NOT(ISERROR(SEARCH("~*~*~*",AM4,1))),SEARCH("~*~*~*",AM4,1)&gt;0)</formula>
    </cfRule>
  </conditionalFormatting>
  <conditionalFormatting sqref="AT4:AT6">
    <cfRule type="cellIs" dxfId="2939" priority="5908" stopIfTrue="1" operator="greaterThan">
      <formula>1</formula>
    </cfRule>
  </conditionalFormatting>
  <conditionalFormatting sqref="O7:X7">
    <cfRule type="expression" dxfId="2938" priority="5839" stopIfTrue="1">
      <formula>E7&lt;&gt;""</formula>
    </cfRule>
    <cfRule type="expression" dxfId="2937" priority="5840" stopIfTrue="1">
      <formula>E7=""</formula>
    </cfRule>
  </conditionalFormatting>
  <conditionalFormatting sqref="AP7">
    <cfRule type="expression" dxfId="2936" priority="5844" stopIfTrue="1">
      <formula>LEN(AP7)&gt;AR$3</formula>
    </cfRule>
    <cfRule type="expression" dxfId="2935" priority="5845" stopIfTrue="1">
      <formula>AND(NOT(ISERROR(SEARCH("~*~*~*",AP7,1))),SEARCH("~*~*~*",AP7,1)&gt;0)</formula>
    </cfRule>
  </conditionalFormatting>
  <conditionalFormatting sqref="Z7">
    <cfRule type="expression" dxfId="2934" priority="5846" stopIfTrue="1">
      <formula>LEN(Z7)&gt;$AA$3</formula>
    </cfRule>
    <cfRule type="expression" dxfId="2933" priority="5847" stopIfTrue="1">
      <formula>AND(NOT(ISERROR(SEARCH("~*~*~*",Z7,1))),SEARCH("~*~*~*",Z7,1)&gt;0)</formula>
    </cfRule>
  </conditionalFormatting>
  <conditionalFormatting sqref="AN7">
    <cfRule type="expression" dxfId="2932" priority="5848" stopIfTrue="1">
      <formula>LEN(AN7)&gt;#REF!</formula>
    </cfRule>
    <cfRule type="expression" dxfId="2931" priority="5849" stopIfTrue="1">
      <formula>AND(NOT(ISERROR(SEARCH("~*~*~*",AN7,1))),SEARCH("~*~*~*",AN7,1)&gt;0)</formula>
    </cfRule>
  </conditionalFormatting>
  <conditionalFormatting sqref="AO7 AM7">
    <cfRule type="expression" dxfId="2930" priority="5850" stopIfTrue="1">
      <formula>LEN(AM7)&gt;32</formula>
    </cfRule>
    <cfRule type="expression" dxfId="2929" priority="5851" stopIfTrue="1">
      <formula>AND(NOT(ISERROR(SEARCH("~*~*~*",AM7,1))),SEARCH("~*~*~*",AM7,1)&gt;0)</formula>
    </cfRule>
  </conditionalFormatting>
  <conditionalFormatting sqref="AT7">
    <cfRule type="cellIs" dxfId="2928" priority="5852" stopIfTrue="1" operator="greaterThan">
      <formula>1</formula>
    </cfRule>
  </conditionalFormatting>
  <conditionalFormatting sqref="O8:X8">
    <cfRule type="expression" dxfId="2927" priority="5825" stopIfTrue="1">
      <formula>E8&lt;&gt;""</formula>
    </cfRule>
    <cfRule type="expression" dxfId="2926" priority="5826" stopIfTrue="1">
      <formula>E8=""</formula>
    </cfRule>
  </conditionalFormatting>
  <conditionalFormatting sqref="AP8">
    <cfRule type="expression" dxfId="2925" priority="5830" stopIfTrue="1">
      <formula>LEN(AP8)&gt;AR$3</formula>
    </cfRule>
    <cfRule type="expression" dxfId="2924" priority="5831" stopIfTrue="1">
      <formula>AND(NOT(ISERROR(SEARCH("~*~*~*",AP8,1))),SEARCH("~*~*~*",AP8,1)&gt;0)</formula>
    </cfRule>
  </conditionalFormatting>
  <conditionalFormatting sqref="Z8">
    <cfRule type="expression" dxfId="2923" priority="5832" stopIfTrue="1">
      <formula>LEN(Z8)&gt;$AA$3</formula>
    </cfRule>
    <cfRule type="expression" dxfId="2922" priority="5833" stopIfTrue="1">
      <formula>AND(NOT(ISERROR(SEARCH("~*~*~*",Z8,1))),SEARCH("~*~*~*",Z8,1)&gt;0)</formula>
    </cfRule>
  </conditionalFormatting>
  <conditionalFormatting sqref="AN8">
    <cfRule type="expression" dxfId="2921" priority="5834" stopIfTrue="1">
      <formula>LEN(AN8)&gt;#REF!</formula>
    </cfRule>
    <cfRule type="expression" dxfId="2920" priority="5835" stopIfTrue="1">
      <formula>AND(NOT(ISERROR(SEARCH("~*~*~*",AN8,1))),SEARCH("~*~*~*",AN8,1)&gt;0)</formula>
    </cfRule>
  </conditionalFormatting>
  <conditionalFormatting sqref="AO8 AM8">
    <cfRule type="expression" dxfId="2919" priority="5836" stopIfTrue="1">
      <formula>LEN(AM8)&gt;32</formula>
    </cfRule>
    <cfRule type="expression" dxfId="2918" priority="5837" stopIfTrue="1">
      <formula>AND(NOT(ISERROR(SEARCH("~*~*~*",AM8,1))),SEARCH("~*~*~*",AM8,1)&gt;0)</formula>
    </cfRule>
  </conditionalFormatting>
  <conditionalFormatting sqref="AT8">
    <cfRule type="cellIs" dxfId="2917" priority="5838" stopIfTrue="1" operator="greaterThan">
      <formula>1</formula>
    </cfRule>
  </conditionalFormatting>
  <conditionalFormatting sqref="AT291">
    <cfRule type="cellIs" dxfId="2916" priority="5824" stopIfTrue="1" operator="greaterThan">
      <formula>1</formula>
    </cfRule>
  </conditionalFormatting>
  <conditionalFormatting sqref="AT292">
    <cfRule type="cellIs" dxfId="2915" priority="5810" stopIfTrue="1" operator="greaterThan">
      <formula>1</formula>
    </cfRule>
  </conditionalFormatting>
  <conditionalFormatting sqref="AT293">
    <cfRule type="cellIs" dxfId="2914" priority="5796" stopIfTrue="1" operator="greaterThan">
      <formula>1</formula>
    </cfRule>
  </conditionalFormatting>
  <conditionalFormatting sqref="AT294">
    <cfRule type="cellIs" dxfId="2913" priority="5782" stopIfTrue="1" operator="greaterThan">
      <formula>1</formula>
    </cfRule>
  </conditionalFormatting>
  <conditionalFormatting sqref="AT295">
    <cfRule type="cellIs" dxfId="2912" priority="5768" stopIfTrue="1" operator="greaterThan">
      <formula>1</formula>
    </cfRule>
  </conditionalFormatting>
  <conditionalFormatting sqref="AT296">
    <cfRule type="cellIs" dxfId="2911" priority="5754" stopIfTrue="1" operator="greaterThan">
      <formula>1</formula>
    </cfRule>
  </conditionalFormatting>
  <conditionalFormatting sqref="AT297">
    <cfRule type="cellIs" dxfId="2910" priority="5740" stopIfTrue="1" operator="greaterThan">
      <formula>1</formula>
    </cfRule>
  </conditionalFormatting>
  <conditionalFormatting sqref="AT298">
    <cfRule type="cellIs" dxfId="2909" priority="5726" stopIfTrue="1" operator="greaterThan">
      <formula>1</formula>
    </cfRule>
  </conditionalFormatting>
  <conditionalFormatting sqref="AT299">
    <cfRule type="cellIs" dxfId="2908" priority="5712" stopIfTrue="1" operator="greaterThan">
      <formula>1</formula>
    </cfRule>
  </conditionalFormatting>
  <conditionalFormatting sqref="AT300">
    <cfRule type="cellIs" dxfId="2907" priority="5698" stopIfTrue="1" operator="greaterThan">
      <formula>1</formula>
    </cfRule>
  </conditionalFormatting>
  <conditionalFormatting sqref="AT301">
    <cfRule type="cellIs" dxfId="2906" priority="5684" stopIfTrue="1" operator="greaterThan">
      <formula>1</formula>
    </cfRule>
  </conditionalFormatting>
  <conditionalFormatting sqref="AT302">
    <cfRule type="cellIs" dxfId="2905" priority="5670" stopIfTrue="1" operator="greaterThan">
      <formula>1</formula>
    </cfRule>
  </conditionalFormatting>
  <conditionalFormatting sqref="AT303">
    <cfRule type="cellIs" dxfId="2904" priority="5656" stopIfTrue="1" operator="greaterThan">
      <formula>1</formula>
    </cfRule>
  </conditionalFormatting>
  <conditionalFormatting sqref="AT278">
    <cfRule type="cellIs" dxfId="2903" priority="5642" stopIfTrue="1" operator="greaterThan">
      <formula>1</formula>
    </cfRule>
  </conditionalFormatting>
  <conditionalFormatting sqref="AT279">
    <cfRule type="cellIs" dxfId="2902" priority="5628" stopIfTrue="1" operator="greaterThan">
      <formula>1</formula>
    </cfRule>
  </conditionalFormatting>
  <conditionalFormatting sqref="AT280">
    <cfRule type="cellIs" dxfId="2901" priority="5614" stopIfTrue="1" operator="greaterThan">
      <formula>1</formula>
    </cfRule>
  </conditionalFormatting>
  <conditionalFormatting sqref="AT281">
    <cfRule type="cellIs" dxfId="2900" priority="5600" stopIfTrue="1" operator="greaterThan">
      <formula>1</formula>
    </cfRule>
  </conditionalFormatting>
  <conditionalFormatting sqref="AT282">
    <cfRule type="cellIs" dxfId="2899" priority="5586" stopIfTrue="1" operator="greaterThan">
      <formula>1</formula>
    </cfRule>
  </conditionalFormatting>
  <conditionalFormatting sqref="AT283">
    <cfRule type="cellIs" dxfId="2898" priority="5572" stopIfTrue="1" operator="greaterThan">
      <formula>1</formula>
    </cfRule>
  </conditionalFormatting>
  <conditionalFormatting sqref="AT284">
    <cfRule type="cellIs" dxfId="2897" priority="5558" stopIfTrue="1" operator="greaterThan">
      <formula>1</formula>
    </cfRule>
  </conditionalFormatting>
  <conditionalFormatting sqref="AT285">
    <cfRule type="cellIs" dxfId="2896" priority="5544" stopIfTrue="1" operator="greaterThan">
      <formula>1</formula>
    </cfRule>
  </conditionalFormatting>
  <conditionalFormatting sqref="AT286">
    <cfRule type="cellIs" dxfId="2895" priority="5530" stopIfTrue="1" operator="greaterThan">
      <formula>1</formula>
    </cfRule>
  </conditionalFormatting>
  <conditionalFormatting sqref="AT287">
    <cfRule type="cellIs" dxfId="2894" priority="5516" stopIfTrue="1" operator="greaterThan">
      <formula>1</formula>
    </cfRule>
  </conditionalFormatting>
  <conditionalFormatting sqref="AT288">
    <cfRule type="cellIs" dxfId="2893" priority="5502" stopIfTrue="1" operator="greaterThan">
      <formula>1</formula>
    </cfRule>
  </conditionalFormatting>
  <conditionalFormatting sqref="AT289">
    <cfRule type="cellIs" dxfId="2892" priority="5488" stopIfTrue="1" operator="greaterThan">
      <formula>1</formula>
    </cfRule>
  </conditionalFormatting>
  <conditionalFormatting sqref="AT290">
    <cfRule type="cellIs" dxfId="2891" priority="5474" stopIfTrue="1" operator="greaterThan">
      <formula>1</formula>
    </cfRule>
  </conditionalFormatting>
  <conditionalFormatting sqref="O270:X270">
    <cfRule type="expression" dxfId="2890" priority="5377" stopIfTrue="1">
      <formula>E270&lt;&gt;""</formula>
    </cfRule>
    <cfRule type="expression" dxfId="2889" priority="5378" stopIfTrue="1">
      <formula>E270=""</formula>
    </cfRule>
  </conditionalFormatting>
  <conditionalFormatting sqref="AP270">
    <cfRule type="expression" dxfId="2888" priority="5382" stopIfTrue="1">
      <formula>LEN(AP270)&gt;AR$3</formula>
    </cfRule>
    <cfRule type="expression" dxfId="2887" priority="5383" stopIfTrue="1">
      <formula>AND(NOT(ISERROR(SEARCH("~*~*~*",AP270,1))),SEARCH("~*~*~*",AP270,1)&gt;0)</formula>
    </cfRule>
  </conditionalFormatting>
  <conditionalFormatting sqref="Z270">
    <cfRule type="expression" dxfId="2886" priority="5384" stopIfTrue="1">
      <formula>LEN(Z270)&gt;$AA$3</formula>
    </cfRule>
    <cfRule type="expression" dxfId="2885" priority="5385" stopIfTrue="1">
      <formula>AND(NOT(ISERROR(SEARCH("~*~*~*",Z270,1))),SEARCH("~*~*~*",Z270,1)&gt;0)</formula>
    </cfRule>
  </conditionalFormatting>
  <conditionalFormatting sqref="AN270">
    <cfRule type="expression" dxfId="2884" priority="5386" stopIfTrue="1">
      <formula>LEN(AN270)&gt;#REF!</formula>
    </cfRule>
    <cfRule type="expression" dxfId="2883" priority="5387" stopIfTrue="1">
      <formula>AND(NOT(ISERROR(SEARCH("~*~*~*",AN270,1))),SEARCH("~*~*~*",AN270,1)&gt;0)</formula>
    </cfRule>
  </conditionalFormatting>
  <conditionalFormatting sqref="AO270 AM270">
    <cfRule type="expression" dxfId="2882" priority="5388" stopIfTrue="1">
      <formula>LEN(AM270)&gt;32</formula>
    </cfRule>
    <cfRule type="expression" dxfId="2881" priority="5389" stopIfTrue="1">
      <formula>AND(NOT(ISERROR(SEARCH("~*~*~*",AM270,1))),SEARCH("~*~*~*",AM270,1)&gt;0)</formula>
    </cfRule>
  </conditionalFormatting>
  <conditionalFormatting sqref="AT270">
    <cfRule type="cellIs" dxfId="2880" priority="5390" stopIfTrue="1" operator="greaterThan">
      <formula>1</formula>
    </cfRule>
  </conditionalFormatting>
  <conditionalFormatting sqref="O271:X416">
    <cfRule type="expression" dxfId="2879" priority="5363" stopIfTrue="1">
      <formula>E271&lt;&gt;""</formula>
    </cfRule>
    <cfRule type="expression" dxfId="2878" priority="5364" stopIfTrue="1">
      <formula>E271=""</formula>
    </cfRule>
  </conditionalFormatting>
  <conditionalFormatting sqref="AP271:AP416">
    <cfRule type="expression" dxfId="2877" priority="5368" stopIfTrue="1">
      <formula>LEN(AP271)&gt;AR$3</formula>
    </cfRule>
    <cfRule type="expression" dxfId="2876" priority="5369" stopIfTrue="1">
      <formula>AND(NOT(ISERROR(SEARCH("~*~*~*",AP271,1))),SEARCH("~*~*~*",AP271,1)&gt;0)</formula>
    </cfRule>
  </conditionalFormatting>
  <conditionalFormatting sqref="Z271:Z416">
    <cfRule type="expression" dxfId="2875" priority="5370" stopIfTrue="1">
      <formula>LEN(Z271)&gt;$AA$3</formula>
    </cfRule>
    <cfRule type="expression" dxfId="2874" priority="5371" stopIfTrue="1">
      <formula>AND(NOT(ISERROR(SEARCH("~*~*~*",Z271,1))),SEARCH("~*~*~*",Z271,1)&gt;0)</formula>
    </cfRule>
  </conditionalFormatting>
  <conditionalFormatting sqref="AN271:AN416">
    <cfRule type="expression" dxfId="2873" priority="5372" stopIfTrue="1">
      <formula>LEN(AN271)&gt;#REF!</formula>
    </cfRule>
    <cfRule type="expression" dxfId="2872" priority="5373" stopIfTrue="1">
      <formula>AND(NOT(ISERROR(SEARCH("~*~*~*",AN271,1))),SEARCH("~*~*~*",AN271,1)&gt;0)</formula>
    </cfRule>
  </conditionalFormatting>
  <conditionalFormatting sqref="AO271:AO416 AM271:AM416">
    <cfRule type="expression" dxfId="2871" priority="5374" stopIfTrue="1">
      <formula>LEN(AM271)&gt;32</formula>
    </cfRule>
    <cfRule type="expression" dxfId="2870" priority="5375" stopIfTrue="1">
      <formula>AND(NOT(ISERROR(SEARCH("~*~*~*",AM271,1))),SEARCH("~*~*~*",AM271,1)&gt;0)</formula>
    </cfRule>
  </conditionalFormatting>
  <conditionalFormatting sqref="AT271">
    <cfRule type="cellIs" dxfId="2869" priority="5376" stopIfTrue="1" operator="greaterThan">
      <formula>1</formula>
    </cfRule>
  </conditionalFormatting>
  <conditionalFormatting sqref="AT272">
    <cfRule type="cellIs" dxfId="2868" priority="5362" stopIfTrue="1" operator="greaterThan">
      <formula>1</formula>
    </cfRule>
  </conditionalFormatting>
  <conditionalFormatting sqref="AT273">
    <cfRule type="cellIs" dxfId="2867" priority="5348" stopIfTrue="1" operator="greaterThan">
      <formula>1</formula>
    </cfRule>
  </conditionalFormatting>
  <conditionalFormatting sqref="AT274">
    <cfRule type="cellIs" dxfId="2866" priority="5334" stopIfTrue="1" operator="greaterThan">
      <formula>1</formula>
    </cfRule>
  </conditionalFormatting>
  <conditionalFormatting sqref="AT275">
    <cfRule type="cellIs" dxfId="2865" priority="5320" stopIfTrue="1" operator="greaterThan">
      <formula>1</formula>
    </cfRule>
  </conditionalFormatting>
  <conditionalFormatting sqref="AT276">
    <cfRule type="cellIs" dxfId="2864" priority="5306" stopIfTrue="1" operator="greaterThan">
      <formula>1</formula>
    </cfRule>
  </conditionalFormatting>
  <conditionalFormatting sqref="AT277">
    <cfRule type="cellIs" dxfId="2863" priority="5292" stopIfTrue="1" operator="greaterThan">
      <formula>1</formula>
    </cfRule>
  </conditionalFormatting>
  <conditionalFormatting sqref="O267:X267">
    <cfRule type="expression" dxfId="2862" priority="5083" stopIfTrue="1">
      <formula>E267&lt;&gt;""</formula>
    </cfRule>
    <cfRule type="expression" dxfId="2861" priority="5084" stopIfTrue="1">
      <formula>E267=""</formula>
    </cfRule>
  </conditionalFormatting>
  <conditionalFormatting sqref="AP267">
    <cfRule type="expression" dxfId="2860" priority="5088" stopIfTrue="1">
      <formula>LEN(AP267)&gt;AR$3</formula>
    </cfRule>
    <cfRule type="expression" dxfId="2859" priority="5089" stopIfTrue="1">
      <formula>AND(NOT(ISERROR(SEARCH("~*~*~*",AP267,1))),SEARCH("~*~*~*",AP267,1)&gt;0)</formula>
    </cfRule>
  </conditionalFormatting>
  <conditionalFormatting sqref="Z267">
    <cfRule type="expression" dxfId="2858" priority="5090" stopIfTrue="1">
      <formula>LEN(Z267)&gt;$AA$3</formula>
    </cfRule>
    <cfRule type="expression" dxfId="2857" priority="5091" stopIfTrue="1">
      <formula>AND(NOT(ISERROR(SEARCH("~*~*~*",Z267,1))),SEARCH("~*~*~*",Z267,1)&gt;0)</formula>
    </cfRule>
  </conditionalFormatting>
  <conditionalFormatting sqref="AN267">
    <cfRule type="expression" dxfId="2856" priority="5092" stopIfTrue="1">
      <formula>LEN(AN267)&gt;#REF!</formula>
    </cfRule>
    <cfRule type="expression" dxfId="2855" priority="5093" stopIfTrue="1">
      <formula>AND(NOT(ISERROR(SEARCH("~*~*~*",AN267,1))),SEARCH("~*~*~*",AN267,1)&gt;0)</formula>
    </cfRule>
  </conditionalFormatting>
  <conditionalFormatting sqref="AO267 AM267">
    <cfRule type="expression" dxfId="2854" priority="5094" stopIfTrue="1">
      <formula>LEN(AM267)&gt;32</formula>
    </cfRule>
    <cfRule type="expression" dxfId="2853" priority="5095" stopIfTrue="1">
      <formula>AND(NOT(ISERROR(SEARCH("~*~*~*",AM267,1))),SEARCH("~*~*~*",AM267,1)&gt;0)</formula>
    </cfRule>
  </conditionalFormatting>
  <conditionalFormatting sqref="AT267">
    <cfRule type="cellIs" dxfId="2852" priority="5096" stopIfTrue="1" operator="greaterThan">
      <formula>1</formula>
    </cfRule>
  </conditionalFormatting>
  <conditionalFormatting sqref="O268:X268">
    <cfRule type="expression" dxfId="2851" priority="5069" stopIfTrue="1">
      <formula>E268&lt;&gt;""</formula>
    </cfRule>
    <cfRule type="expression" dxfId="2850" priority="5070" stopIfTrue="1">
      <formula>E268=""</formula>
    </cfRule>
  </conditionalFormatting>
  <conditionalFormatting sqref="AP268">
    <cfRule type="expression" dxfId="2849" priority="5074" stopIfTrue="1">
      <formula>LEN(AP268)&gt;AR$3</formula>
    </cfRule>
    <cfRule type="expression" dxfId="2848" priority="5075" stopIfTrue="1">
      <formula>AND(NOT(ISERROR(SEARCH("~*~*~*",AP268,1))),SEARCH("~*~*~*",AP268,1)&gt;0)</formula>
    </cfRule>
  </conditionalFormatting>
  <conditionalFormatting sqref="Z268">
    <cfRule type="expression" dxfId="2847" priority="5076" stopIfTrue="1">
      <formula>LEN(Z268)&gt;$AA$3</formula>
    </cfRule>
    <cfRule type="expression" dxfId="2846" priority="5077" stopIfTrue="1">
      <formula>AND(NOT(ISERROR(SEARCH("~*~*~*",Z268,1))),SEARCH("~*~*~*",Z268,1)&gt;0)</formula>
    </cfRule>
  </conditionalFormatting>
  <conditionalFormatting sqref="AN268">
    <cfRule type="expression" dxfId="2845" priority="5078" stopIfTrue="1">
      <formula>LEN(AN268)&gt;#REF!</formula>
    </cfRule>
    <cfRule type="expression" dxfId="2844" priority="5079" stopIfTrue="1">
      <formula>AND(NOT(ISERROR(SEARCH("~*~*~*",AN268,1))),SEARCH("~*~*~*",AN268,1)&gt;0)</formula>
    </cfRule>
  </conditionalFormatting>
  <conditionalFormatting sqref="AO268 AM268">
    <cfRule type="expression" dxfId="2843" priority="5080" stopIfTrue="1">
      <formula>LEN(AM268)&gt;32</formula>
    </cfRule>
    <cfRule type="expression" dxfId="2842" priority="5081" stopIfTrue="1">
      <formula>AND(NOT(ISERROR(SEARCH("~*~*~*",AM268,1))),SEARCH("~*~*~*",AM268,1)&gt;0)</formula>
    </cfRule>
  </conditionalFormatting>
  <conditionalFormatting sqref="AT268">
    <cfRule type="cellIs" dxfId="2841" priority="5082" stopIfTrue="1" operator="greaterThan">
      <formula>1</formula>
    </cfRule>
  </conditionalFormatting>
  <conditionalFormatting sqref="O269:X269">
    <cfRule type="expression" dxfId="2840" priority="5055" stopIfTrue="1">
      <formula>E269&lt;&gt;""</formula>
    </cfRule>
    <cfRule type="expression" dxfId="2839" priority="5056" stopIfTrue="1">
      <formula>E269=""</formula>
    </cfRule>
  </conditionalFormatting>
  <conditionalFormatting sqref="AP269">
    <cfRule type="expression" dxfId="2838" priority="5060" stopIfTrue="1">
      <formula>LEN(AP269)&gt;AR$3</formula>
    </cfRule>
    <cfRule type="expression" dxfId="2837" priority="5061" stopIfTrue="1">
      <formula>AND(NOT(ISERROR(SEARCH("~*~*~*",AP269,1))),SEARCH("~*~*~*",AP269,1)&gt;0)</formula>
    </cfRule>
  </conditionalFormatting>
  <conditionalFormatting sqref="Z269">
    <cfRule type="expression" dxfId="2836" priority="5062" stopIfTrue="1">
      <formula>LEN(Z269)&gt;$AA$3</formula>
    </cfRule>
    <cfRule type="expression" dxfId="2835" priority="5063" stopIfTrue="1">
      <formula>AND(NOT(ISERROR(SEARCH("~*~*~*",Z269,1))),SEARCH("~*~*~*",Z269,1)&gt;0)</formula>
    </cfRule>
  </conditionalFormatting>
  <conditionalFormatting sqref="AN269">
    <cfRule type="expression" dxfId="2834" priority="5064" stopIfTrue="1">
      <formula>LEN(AN269)&gt;#REF!</formula>
    </cfRule>
    <cfRule type="expression" dxfId="2833" priority="5065" stopIfTrue="1">
      <formula>AND(NOT(ISERROR(SEARCH("~*~*~*",AN269,1))),SEARCH("~*~*~*",AN269,1)&gt;0)</formula>
    </cfRule>
  </conditionalFormatting>
  <conditionalFormatting sqref="AO269 AM269">
    <cfRule type="expression" dxfId="2832" priority="5066" stopIfTrue="1">
      <formula>LEN(AM269)&gt;32</formula>
    </cfRule>
    <cfRule type="expression" dxfId="2831" priority="5067" stopIfTrue="1">
      <formula>AND(NOT(ISERROR(SEARCH("~*~*~*",AM269,1))),SEARCH("~*~*~*",AM269,1)&gt;0)</formula>
    </cfRule>
  </conditionalFormatting>
  <conditionalFormatting sqref="AT269">
    <cfRule type="cellIs" dxfId="2830" priority="5068" stopIfTrue="1" operator="greaterThan">
      <formula>1</formula>
    </cfRule>
  </conditionalFormatting>
  <conditionalFormatting sqref="O254:X254">
    <cfRule type="expression" dxfId="2829" priority="4901" stopIfTrue="1">
      <formula>E254&lt;&gt;""</formula>
    </cfRule>
    <cfRule type="expression" dxfId="2828" priority="4902" stopIfTrue="1">
      <formula>E254=""</formula>
    </cfRule>
  </conditionalFormatting>
  <conditionalFormatting sqref="AP254">
    <cfRule type="expression" dxfId="2827" priority="4906" stopIfTrue="1">
      <formula>LEN(AP254)&gt;AR$3</formula>
    </cfRule>
    <cfRule type="expression" dxfId="2826" priority="4907" stopIfTrue="1">
      <formula>AND(NOT(ISERROR(SEARCH("~*~*~*",AP254,1))),SEARCH("~*~*~*",AP254,1)&gt;0)</formula>
    </cfRule>
  </conditionalFormatting>
  <conditionalFormatting sqref="Z254">
    <cfRule type="expression" dxfId="2825" priority="4908" stopIfTrue="1">
      <formula>LEN(Z254)&gt;$AA$3</formula>
    </cfRule>
    <cfRule type="expression" dxfId="2824" priority="4909" stopIfTrue="1">
      <formula>AND(NOT(ISERROR(SEARCH("~*~*~*",Z254,1))),SEARCH("~*~*~*",Z254,1)&gt;0)</formula>
    </cfRule>
  </conditionalFormatting>
  <conditionalFormatting sqref="AN254">
    <cfRule type="expression" dxfId="2823" priority="4910" stopIfTrue="1">
      <formula>LEN(AN254)&gt;#REF!</formula>
    </cfRule>
    <cfRule type="expression" dxfId="2822" priority="4911" stopIfTrue="1">
      <formula>AND(NOT(ISERROR(SEARCH("~*~*~*",AN254,1))),SEARCH("~*~*~*",AN254,1)&gt;0)</formula>
    </cfRule>
  </conditionalFormatting>
  <conditionalFormatting sqref="AO254 AM254">
    <cfRule type="expression" dxfId="2821" priority="4912" stopIfTrue="1">
      <formula>LEN(AM254)&gt;32</formula>
    </cfRule>
    <cfRule type="expression" dxfId="2820" priority="4913" stopIfTrue="1">
      <formula>AND(NOT(ISERROR(SEARCH("~*~*~*",AM254,1))),SEARCH("~*~*~*",AM254,1)&gt;0)</formula>
    </cfRule>
  </conditionalFormatting>
  <conditionalFormatting sqref="AT254">
    <cfRule type="cellIs" dxfId="2819" priority="4914" stopIfTrue="1" operator="greaterThan">
      <formula>1</formula>
    </cfRule>
  </conditionalFormatting>
  <conditionalFormatting sqref="O255:X255">
    <cfRule type="expression" dxfId="2818" priority="4887" stopIfTrue="1">
      <formula>E255&lt;&gt;""</formula>
    </cfRule>
    <cfRule type="expression" dxfId="2817" priority="4888" stopIfTrue="1">
      <formula>E255=""</formula>
    </cfRule>
  </conditionalFormatting>
  <conditionalFormatting sqref="AP255">
    <cfRule type="expression" dxfId="2816" priority="4892" stopIfTrue="1">
      <formula>LEN(AP255)&gt;AR$3</formula>
    </cfRule>
    <cfRule type="expression" dxfId="2815" priority="4893" stopIfTrue="1">
      <formula>AND(NOT(ISERROR(SEARCH("~*~*~*",AP255,1))),SEARCH("~*~*~*",AP255,1)&gt;0)</formula>
    </cfRule>
  </conditionalFormatting>
  <conditionalFormatting sqref="Z255">
    <cfRule type="expression" dxfId="2814" priority="4894" stopIfTrue="1">
      <formula>LEN(Z255)&gt;$AA$3</formula>
    </cfRule>
    <cfRule type="expression" dxfId="2813" priority="4895" stopIfTrue="1">
      <formula>AND(NOT(ISERROR(SEARCH("~*~*~*",Z255,1))),SEARCH("~*~*~*",Z255,1)&gt;0)</formula>
    </cfRule>
  </conditionalFormatting>
  <conditionalFormatting sqref="AN255">
    <cfRule type="expression" dxfId="2812" priority="4896" stopIfTrue="1">
      <formula>LEN(AN255)&gt;#REF!</formula>
    </cfRule>
    <cfRule type="expression" dxfId="2811" priority="4897" stopIfTrue="1">
      <formula>AND(NOT(ISERROR(SEARCH("~*~*~*",AN255,1))),SEARCH("~*~*~*",AN255,1)&gt;0)</formula>
    </cfRule>
  </conditionalFormatting>
  <conditionalFormatting sqref="AO255 AM255">
    <cfRule type="expression" dxfId="2810" priority="4898" stopIfTrue="1">
      <formula>LEN(AM255)&gt;32</formula>
    </cfRule>
    <cfRule type="expression" dxfId="2809" priority="4899" stopIfTrue="1">
      <formula>AND(NOT(ISERROR(SEARCH("~*~*~*",AM255,1))),SEARCH("~*~*~*",AM255,1)&gt;0)</formula>
    </cfRule>
  </conditionalFormatting>
  <conditionalFormatting sqref="AT255">
    <cfRule type="cellIs" dxfId="2808" priority="4900" stopIfTrue="1" operator="greaterThan">
      <formula>1</formula>
    </cfRule>
  </conditionalFormatting>
  <conditionalFormatting sqref="O256:X256">
    <cfRule type="expression" dxfId="2807" priority="4873" stopIfTrue="1">
      <formula>E256&lt;&gt;""</formula>
    </cfRule>
    <cfRule type="expression" dxfId="2806" priority="4874" stopIfTrue="1">
      <formula>E256=""</formula>
    </cfRule>
  </conditionalFormatting>
  <conditionalFormatting sqref="AP256">
    <cfRule type="expression" dxfId="2805" priority="4878" stopIfTrue="1">
      <formula>LEN(AP256)&gt;AR$3</formula>
    </cfRule>
    <cfRule type="expression" dxfId="2804" priority="4879" stopIfTrue="1">
      <formula>AND(NOT(ISERROR(SEARCH("~*~*~*",AP256,1))),SEARCH("~*~*~*",AP256,1)&gt;0)</formula>
    </cfRule>
  </conditionalFormatting>
  <conditionalFormatting sqref="Z256">
    <cfRule type="expression" dxfId="2803" priority="4880" stopIfTrue="1">
      <formula>LEN(Z256)&gt;$AA$3</formula>
    </cfRule>
    <cfRule type="expression" dxfId="2802" priority="4881" stopIfTrue="1">
      <formula>AND(NOT(ISERROR(SEARCH("~*~*~*",Z256,1))),SEARCH("~*~*~*",Z256,1)&gt;0)</formula>
    </cfRule>
  </conditionalFormatting>
  <conditionalFormatting sqref="AN256">
    <cfRule type="expression" dxfId="2801" priority="4882" stopIfTrue="1">
      <formula>LEN(AN256)&gt;#REF!</formula>
    </cfRule>
    <cfRule type="expression" dxfId="2800" priority="4883" stopIfTrue="1">
      <formula>AND(NOT(ISERROR(SEARCH("~*~*~*",AN256,1))),SEARCH("~*~*~*",AN256,1)&gt;0)</formula>
    </cfRule>
  </conditionalFormatting>
  <conditionalFormatting sqref="AO256 AM256">
    <cfRule type="expression" dxfId="2799" priority="4884" stopIfTrue="1">
      <formula>LEN(AM256)&gt;32</formula>
    </cfRule>
    <cfRule type="expression" dxfId="2798" priority="4885" stopIfTrue="1">
      <formula>AND(NOT(ISERROR(SEARCH("~*~*~*",AM256,1))),SEARCH("~*~*~*",AM256,1)&gt;0)</formula>
    </cfRule>
  </conditionalFormatting>
  <conditionalFormatting sqref="AT256">
    <cfRule type="cellIs" dxfId="2797" priority="4886" stopIfTrue="1" operator="greaterThan">
      <formula>1</formula>
    </cfRule>
  </conditionalFormatting>
  <conditionalFormatting sqref="O257:X257">
    <cfRule type="expression" dxfId="2796" priority="4859" stopIfTrue="1">
      <formula>E257&lt;&gt;""</formula>
    </cfRule>
    <cfRule type="expression" dxfId="2795" priority="4860" stopIfTrue="1">
      <formula>E257=""</formula>
    </cfRule>
  </conditionalFormatting>
  <conditionalFormatting sqref="AP257">
    <cfRule type="expression" dxfId="2794" priority="4864" stopIfTrue="1">
      <formula>LEN(AP257)&gt;AR$3</formula>
    </cfRule>
    <cfRule type="expression" dxfId="2793" priority="4865" stopIfTrue="1">
      <formula>AND(NOT(ISERROR(SEARCH("~*~*~*",AP257,1))),SEARCH("~*~*~*",AP257,1)&gt;0)</formula>
    </cfRule>
  </conditionalFormatting>
  <conditionalFormatting sqref="Z257">
    <cfRule type="expression" dxfId="2792" priority="4866" stopIfTrue="1">
      <formula>LEN(Z257)&gt;$AA$3</formula>
    </cfRule>
    <cfRule type="expression" dxfId="2791" priority="4867" stopIfTrue="1">
      <formula>AND(NOT(ISERROR(SEARCH("~*~*~*",Z257,1))),SEARCH("~*~*~*",Z257,1)&gt;0)</formula>
    </cfRule>
  </conditionalFormatting>
  <conditionalFormatting sqref="AN257">
    <cfRule type="expression" dxfId="2790" priority="4868" stopIfTrue="1">
      <formula>LEN(AN257)&gt;#REF!</formula>
    </cfRule>
    <cfRule type="expression" dxfId="2789" priority="4869" stopIfTrue="1">
      <formula>AND(NOT(ISERROR(SEARCH("~*~*~*",AN257,1))),SEARCH("~*~*~*",AN257,1)&gt;0)</formula>
    </cfRule>
  </conditionalFormatting>
  <conditionalFormatting sqref="AO257 AM257">
    <cfRule type="expression" dxfId="2788" priority="4870" stopIfTrue="1">
      <formula>LEN(AM257)&gt;32</formula>
    </cfRule>
    <cfRule type="expression" dxfId="2787" priority="4871" stopIfTrue="1">
      <formula>AND(NOT(ISERROR(SEARCH("~*~*~*",AM257,1))),SEARCH("~*~*~*",AM257,1)&gt;0)</formula>
    </cfRule>
  </conditionalFormatting>
  <conditionalFormatting sqref="AT257">
    <cfRule type="cellIs" dxfId="2786" priority="4872" stopIfTrue="1" operator="greaterThan">
      <formula>1</formula>
    </cfRule>
  </conditionalFormatting>
  <conditionalFormatting sqref="O258:X258">
    <cfRule type="expression" dxfId="2785" priority="4845" stopIfTrue="1">
      <formula>E258&lt;&gt;""</formula>
    </cfRule>
    <cfRule type="expression" dxfId="2784" priority="4846" stopIfTrue="1">
      <formula>E258=""</formula>
    </cfRule>
  </conditionalFormatting>
  <conditionalFormatting sqref="AP258">
    <cfRule type="expression" dxfId="2783" priority="4850" stopIfTrue="1">
      <formula>LEN(AP258)&gt;AR$3</formula>
    </cfRule>
    <cfRule type="expression" dxfId="2782" priority="4851" stopIfTrue="1">
      <formula>AND(NOT(ISERROR(SEARCH("~*~*~*",AP258,1))),SEARCH("~*~*~*",AP258,1)&gt;0)</formula>
    </cfRule>
  </conditionalFormatting>
  <conditionalFormatting sqref="Z258">
    <cfRule type="expression" dxfId="2781" priority="4852" stopIfTrue="1">
      <formula>LEN(Z258)&gt;$AA$3</formula>
    </cfRule>
    <cfRule type="expression" dxfId="2780" priority="4853" stopIfTrue="1">
      <formula>AND(NOT(ISERROR(SEARCH("~*~*~*",Z258,1))),SEARCH("~*~*~*",Z258,1)&gt;0)</formula>
    </cfRule>
  </conditionalFormatting>
  <conditionalFormatting sqref="AN258">
    <cfRule type="expression" dxfId="2779" priority="4854" stopIfTrue="1">
      <formula>LEN(AN258)&gt;#REF!</formula>
    </cfRule>
    <cfRule type="expression" dxfId="2778" priority="4855" stopIfTrue="1">
      <formula>AND(NOT(ISERROR(SEARCH("~*~*~*",AN258,1))),SEARCH("~*~*~*",AN258,1)&gt;0)</formula>
    </cfRule>
  </conditionalFormatting>
  <conditionalFormatting sqref="AO258 AM258">
    <cfRule type="expression" dxfId="2777" priority="4856" stopIfTrue="1">
      <formula>LEN(AM258)&gt;32</formula>
    </cfRule>
    <cfRule type="expression" dxfId="2776" priority="4857" stopIfTrue="1">
      <formula>AND(NOT(ISERROR(SEARCH("~*~*~*",AM258,1))),SEARCH("~*~*~*",AM258,1)&gt;0)</formula>
    </cfRule>
  </conditionalFormatting>
  <conditionalFormatting sqref="AT258">
    <cfRule type="cellIs" dxfId="2775" priority="4858" stopIfTrue="1" operator="greaterThan">
      <formula>1</formula>
    </cfRule>
  </conditionalFormatting>
  <conditionalFormatting sqref="O259:X259">
    <cfRule type="expression" dxfId="2774" priority="4831" stopIfTrue="1">
      <formula>E259&lt;&gt;""</formula>
    </cfRule>
    <cfRule type="expression" dxfId="2773" priority="4832" stopIfTrue="1">
      <formula>E259=""</formula>
    </cfRule>
  </conditionalFormatting>
  <conditionalFormatting sqref="AP259">
    <cfRule type="expression" dxfId="2772" priority="4836" stopIfTrue="1">
      <formula>LEN(AP259)&gt;AR$3</formula>
    </cfRule>
    <cfRule type="expression" dxfId="2771" priority="4837" stopIfTrue="1">
      <formula>AND(NOT(ISERROR(SEARCH("~*~*~*",AP259,1))),SEARCH("~*~*~*",AP259,1)&gt;0)</formula>
    </cfRule>
  </conditionalFormatting>
  <conditionalFormatting sqref="Z259">
    <cfRule type="expression" dxfId="2770" priority="4838" stopIfTrue="1">
      <formula>LEN(Z259)&gt;$AA$3</formula>
    </cfRule>
    <cfRule type="expression" dxfId="2769" priority="4839" stopIfTrue="1">
      <formula>AND(NOT(ISERROR(SEARCH("~*~*~*",Z259,1))),SEARCH("~*~*~*",Z259,1)&gt;0)</formula>
    </cfRule>
  </conditionalFormatting>
  <conditionalFormatting sqref="AN259">
    <cfRule type="expression" dxfId="2768" priority="4840" stopIfTrue="1">
      <formula>LEN(AN259)&gt;#REF!</formula>
    </cfRule>
    <cfRule type="expression" dxfId="2767" priority="4841" stopIfTrue="1">
      <formula>AND(NOT(ISERROR(SEARCH("~*~*~*",AN259,1))),SEARCH("~*~*~*",AN259,1)&gt;0)</formula>
    </cfRule>
  </conditionalFormatting>
  <conditionalFormatting sqref="AO259 AM259">
    <cfRule type="expression" dxfId="2766" priority="4842" stopIfTrue="1">
      <formula>LEN(AM259)&gt;32</formula>
    </cfRule>
    <cfRule type="expression" dxfId="2765" priority="4843" stopIfTrue="1">
      <formula>AND(NOT(ISERROR(SEARCH("~*~*~*",AM259,1))),SEARCH("~*~*~*",AM259,1)&gt;0)</formula>
    </cfRule>
  </conditionalFormatting>
  <conditionalFormatting sqref="AT259">
    <cfRule type="cellIs" dxfId="2764" priority="4844" stopIfTrue="1" operator="greaterThan">
      <formula>1</formula>
    </cfRule>
  </conditionalFormatting>
  <conditionalFormatting sqref="O260:X260">
    <cfRule type="expression" dxfId="2763" priority="4817" stopIfTrue="1">
      <formula>E260&lt;&gt;""</formula>
    </cfRule>
    <cfRule type="expression" dxfId="2762" priority="4818" stopIfTrue="1">
      <formula>E260=""</formula>
    </cfRule>
  </conditionalFormatting>
  <conditionalFormatting sqref="AP260">
    <cfRule type="expression" dxfId="2761" priority="4822" stopIfTrue="1">
      <formula>LEN(AP260)&gt;AR$3</formula>
    </cfRule>
    <cfRule type="expression" dxfId="2760" priority="4823" stopIfTrue="1">
      <formula>AND(NOT(ISERROR(SEARCH("~*~*~*",AP260,1))),SEARCH("~*~*~*",AP260,1)&gt;0)</formula>
    </cfRule>
  </conditionalFormatting>
  <conditionalFormatting sqref="Z260">
    <cfRule type="expression" dxfId="2759" priority="4824" stopIfTrue="1">
      <formula>LEN(Z260)&gt;$AA$3</formula>
    </cfRule>
    <cfRule type="expression" dxfId="2758" priority="4825" stopIfTrue="1">
      <formula>AND(NOT(ISERROR(SEARCH("~*~*~*",Z260,1))),SEARCH("~*~*~*",Z260,1)&gt;0)</formula>
    </cfRule>
  </conditionalFormatting>
  <conditionalFormatting sqref="AN260">
    <cfRule type="expression" dxfId="2757" priority="4826" stopIfTrue="1">
      <formula>LEN(AN260)&gt;#REF!</formula>
    </cfRule>
    <cfRule type="expression" dxfId="2756" priority="4827" stopIfTrue="1">
      <formula>AND(NOT(ISERROR(SEARCH("~*~*~*",AN260,1))),SEARCH("~*~*~*",AN260,1)&gt;0)</formula>
    </cfRule>
  </conditionalFormatting>
  <conditionalFormatting sqref="AO260 AM260">
    <cfRule type="expression" dxfId="2755" priority="4828" stopIfTrue="1">
      <formula>LEN(AM260)&gt;32</formula>
    </cfRule>
    <cfRule type="expression" dxfId="2754" priority="4829" stopIfTrue="1">
      <formula>AND(NOT(ISERROR(SEARCH("~*~*~*",AM260,1))),SEARCH("~*~*~*",AM260,1)&gt;0)</formula>
    </cfRule>
  </conditionalFormatting>
  <conditionalFormatting sqref="AT260">
    <cfRule type="cellIs" dxfId="2753" priority="4830" stopIfTrue="1" operator="greaterThan">
      <formula>1</formula>
    </cfRule>
  </conditionalFormatting>
  <conditionalFormatting sqref="O261:X261">
    <cfRule type="expression" dxfId="2752" priority="4803" stopIfTrue="1">
      <formula>E261&lt;&gt;""</formula>
    </cfRule>
    <cfRule type="expression" dxfId="2751" priority="4804" stopIfTrue="1">
      <formula>E261=""</formula>
    </cfRule>
  </conditionalFormatting>
  <conditionalFormatting sqref="AP261">
    <cfRule type="expression" dxfId="2750" priority="4808" stopIfTrue="1">
      <formula>LEN(AP261)&gt;AR$3</formula>
    </cfRule>
    <cfRule type="expression" dxfId="2749" priority="4809" stopIfTrue="1">
      <formula>AND(NOT(ISERROR(SEARCH("~*~*~*",AP261,1))),SEARCH("~*~*~*",AP261,1)&gt;0)</formula>
    </cfRule>
  </conditionalFormatting>
  <conditionalFormatting sqref="Z261">
    <cfRule type="expression" dxfId="2748" priority="4810" stopIfTrue="1">
      <formula>LEN(Z261)&gt;$AA$3</formula>
    </cfRule>
    <cfRule type="expression" dxfId="2747" priority="4811" stopIfTrue="1">
      <formula>AND(NOT(ISERROR(SEARCH("~*~*~*",Z261,1))),SEARCH("~*~*~*",Z261,1)&gt;0)</formula>
    </cfRule>
  </conditionalFormatting>
  <conditionalFormatting sqref="AN261">
    <cfRule type="expression" dxfId="2746" priority="4812" stopIfTrue="1">
      <formula>LEN(AN261)&gt;#REF!</formula>
    </cfRule>
    <cfRule type="expression" dxfId="2745" priority="4813" stopIfTrue="1">
      <formula>AND(NOT(ISERROR(SEARCH("~*~*~*",AN261,1))),SEARCH("~*~*~*",AN261,1)&gt;0)</formula>
    </cfRule>
  </conditionalFormatting>
  <conditionalFormatting sqref="AO261 AM261">
    <cfRule type="expression" dxfId="2744" priority="4814" stopIfTrue="1">
      <formula>LEN(AM261)&gt;32</formula>
    </cfRule>
    <cfRule type="expression" dxfId="2743" priority="4815" stopIfTrue="1">
      <formula>AND(NOT(ISERROR(SEARCH("~*~*~*",AM261,1))),SEARCH("~*~*~*",AM261,1)&gt;0)</formula>
    </cfRule>
  </conditionalFormatting>
  <conditionalFormatting sqref="AT261">
    <cfRule type="cellIs" dxfId="2742" priority="4816" stopIfTrue="1" operator="greaterThan">
      <formula>1</formula>
    </cfRule>
  </conditionalFormatting>
  <conditionalFormatting sqref="O262:X262">
    <cfRule type="expression" dxfId="2741" priority="4789" stopIfTrue="1">
      <formula>E262&lt;&gt;""</formula>
    </cfRule>
    <cfRule type="expression" dxfId="2740" priority="4790" stopIfTrue="1">
      <formula>E262=""</formula>
    </cfRule>
  </conditionalFormatting>
  <conditionalFormatting sqref="AP262">
    <cfRule type="expression" dxfId="2739" priority="4794" stopIfTrue="1">
      <formula>LEN(AP262)&gt;AR$3</formula>
    </cfRule>
    <cfRule type="expression" dxfId="2738" priority="4795" stopIfTrue="1">
      <formula>AND(NOT(ISERROR(SEARCH("~*~*~*",AP262,1))),SEARCH("~*~*~*",AP262,1)&gt;0)</formula>
    </cfRule>
  </conditionalFormatting>
  <conditionalFormatting sqref="Z262">
    <cfRule type="expression" dxfId="2737" priority="4796" stopIfTrue="1">
      <formula>LEN(Z262)&gt;$AA$3</formula>
    </cfRule>
    <cfRule type="expression" dxfId="2736" priority="4797" stopIfTrue="1">
      <formula>AND(NOT(ISERROR(SEARCH("~*~*~*",Z262,1))),SEARCH("~*~*~*",Z262,1)&gt;0)</formula>
    </cfRule>
  </conditionalFormatting>
  <conditionalFormatting sqref="AN262">
    <cfRule type="expression" dxfId="2735" priority="4798" stopIfTrue="1">
      <formula>LEN(AN262)&gt;#REF!</formula>
    </cfRule>
    <cfRule type="expression" dxfId="2734" priority="4799" stopIfTrue="1">
      <formula>AND(NOT(ISERROR(SEARCH("~*~*~*",AN262,1))),SEARCH("~*~*~*",AN262,1)&gt;0)</formula>
    </cfRule>
  </conditionalFormatting>
  <conditionalFormatting sqref="AO262 AM262">
    <cfRule type="expression" dxfId="2733" priority="4800" stopIfTrue="1">
      <formula>LEN(AM262)&gt;32</formula>
    </cfRule>
    <cfRule type="expression" dxfId="2732" priority="4801" stopIfTrue="1">
      <formula>AND(NOT(ISERROR(SEARCH("~*~*~*",AM262,1))),SEARCH("~*~*~*",AM262,1)&gt;0)</formula>
    </cfRule>
  </conditionalFormatting>
  <conditionalFormatting sqref="AT262">
    <cfRule type="cellIs" dxfId="2731" priority="4802" stopIfTrue="1" operator="greaterThan">
      <formula>1</formula>
    </cfRule>
  </conditionalFormatting>
  <conditionalFormatting sqref="O263:X263">
    <cfRule type="expression" dxfId="2730" priority="4775" stopIfTrue="1">
      <formula>E263&lt;&gt;""</formula>
    </cfRule>
    <cfRule type="expression" dxfId="2729" priority="4776" stopIfTrue="1">
      <formula>E263=""</formula>
    </cfRule>
  </conditionalFormatting>
  <conditionalFormatting sqref="AP263">
    <cfRule type="expression" dxfId="2728" priority="4780" stopIfTrue="1">
      <formula>LEN(AP263)&gt;AR$3</formula>
    </cfRule>
    <cfRule type="expression" dxfId="2727" priority="4781" stopIfTrue="1">
      <formula>AND(NOT(ISERROR(SEARCH("~*~*~*",AP263,1))),SEARCH("~*~*~*",AP263,1)&gt;0)</formula>
    </cfRule>
  </conditionalFormatting>
  <conditionalFormatting sqref="Z263">
    <cfRule type="expression" dxfId="2726" priority="4782" stopIfTrue="1">
      <formula>LEN(Z263)&gt;$AA$3</formula>
    </cfRule>
    <cfRule type="expression" dxfId="2725" priority="4783" stopIfTrue="1">
      <formula>AND(NOT(ISERROR(SEARCH("~*~*~*",Z263,1))),SEARCH("~*~*~*",Z263,1)&gt;0)</formula>
    </cfRule>
  </conditionalFormatting>
  <conditionalFormatting sqref="AN263">
    <cfRule type="expression" dxfId="2724" priority="4784" stopIfTrue="1">
      <formula>LEN(AN263)&gt;#REF!</formula>
    </cfRule>
    <cfRule type="expression" dxfId="2723" priority="4785" stopIfTrue="1">
      <formula>AND(NOT(ISERROR(SEARCH("~*~*~*",AN263,1))),SEARCH("~*~*~*",AN263,1)&gt;0)</formula>
    </cfRule>
  </conditionalFormatting>
  <conditionalFormatting sqref="AO263 AM263">
    <cfRule type="expression" dxfId="2722" priority="4786" stopIfTrue="1">
      <formula>LEN(AM263)&gt;32</formula>
    </cfRule>
    <cfRule type="expression" dxfId="2721" priority="4787" stopIfTrue="1">
      <formula>AND(NOT(ISERROR(SEARCH("~*~*~*",AM263,1))),SEARCH("~*~*~*",AM263,1)&gt;0)</formula>
    </cfRule>
  </conditionalFormatting>
  <conditionalFormatting sqref="AT263">
    <cfRule type="cellIs" dxfId="2720" priority="4788" stopIfTrue="1" operator="greaterThan">
      <formula>1</formula>
    </cfRule>
  </conditionalFormatting>
  <conditionalFormatting sqref="O264:X264">
    <cfRule type="expression" dxfId="2719" priority="4761" stopIfTrue="1">
      <formula>E264&lt;&gt;""</formula>
    </cfRule>
    <cfRule type="expression" dxfId="2718" priority="4762" stopIfTrue="1">
      <formula>E264=""</formula>
    </cfRule>
  </conditionalFormatting>
  <conditionalFormatting sqref="AP264">
    <cfRule type="expression" dxfId="2717" priority="4766" stopIfTrue="1">
      <formula>LEN(AP264)&gt;AR$3</formula>
    </cfRule>
    <cfRule type="expression" dxfId="2716" priority="4767" stopIfTrue="1">
      <formula>AND(NOT(ISERROR(SEARCH("~*~*~*",AP264,1))),SEARCH("~*~*~*",AP264,1)&gt;0)</formula>
    </cfRule>
  </conditionalFormatting>
  <conditionalFormatting sqref="Z264">
    <cfRule type="expression" dxfId="2715" priority="4768" stopIfTrue="1">
      <formula>LEN(Z264)&gt;$AA$3</formula>
    </cfRule>
    <cfRule type="expression" dxfId="2714" priority="4769" stopIfTrue="1">
      <formula>AND(NOT(ISERROR(SEARCH("~*~*~*",Z264,1))),SEARCH("~*~*~*",Z264,1)&gt;0)</formula>
    </cfRule>
  </conditionalFormatting>
  <conditionalFormatting sqref="AN264">
    <cfRule type="expression" dxfId="2713" priority="4770" stopIfTrue="1">
      <formula>LEN(AN264)&gt;#REF!</formula>
    </cfRule>
    <cfRule type="expression" dxfId="2712" priority="4771" stopIfTrue="1">
      <formula>AND(NOT(ISERROR(SEARCH("~*~*~*",AN264,1))),SEARCH("~*~*~*",AN264,1)&gt;0)</formula>
    </cfRule>
  </conditionalFormatting>
  <conditionalFormatting sqref="AO264 AM264">
    <cfRule type="expression" dxfId="2711" priority="4772" stopIfTrue="1">
      <formula>LEN(AM264)&gt;32</formula>
    </cfRule>
    <cfRule type="expression" dxfId="2710" priority="4773" stopIfTrue="1">
      <formula>AND(NOT(ISERROR(SEARCH("~*~*~*",AM264,1))),SEARCH("~*~*~*",AM264,1)&gt;0)</formula>
    </cfRule>
  </conditionalFormatting>
  <conditionalFormatting sqref="AT264">
    <cfRule type="cellIs" dxfId="2709" priority="4774" stopIfTrue="1" operator="greaterThan">
      <formula>1</formula>
    </cfRule>
  </conditionalFormatting>
  <conditionalFormatting sqref="O265:X265">
    <cfRule type="expression" dxfId="2708" priority="4747" stopIfTrue="1">
      <formula>E265&lt;&gt;""</formula>
    </cfRule>
    <cfRule type="expression" dxfId="2707" priority="4748" stopIfTrue="1">
      <formula>E265=""</formula>
    </cfRule>
  </conditionalFormatting>
  <conditionalFormatting sqref="AP265">
    <cfRule type="expression" dxfId="2706" priority="4752" stopIfTrue="1">
      <formula>LEN(AP265)&gt;AR$3</formula>
    </cfRule>
    <cfRule type="expression" dxfId="2705" priority="4753" stopIfTrue="1">
      <formula>AND(NOT(ISERROR(SEARCH("~*~*~*",AP265,1))),SEARCH("~*~*~*",AP265,1)&gt;0)</formula>
    </cfRule>
  </conditionalFormatting>
  <conditionalFormatting sqref="Z265">
    <cfRule type="expression" dxfId="2704" priority="4754" stopIfTrue="1">
      <formula>LEN(Z265)&gt;$AA$3</formula>
    </cfRule>
    <cfRule type="expression" dxfId="2703" priority="4755" stopIfTrue="1">
      <formula>AND(NOT(ISERROR(SEARCH("~*~*~*",Z265,1))),SEARCH("~*~*~*",Z265,1)&gt;0)</formula>
    </cfRule>
  </conditionalFormatting>
  <conditionalFormatting sqref="AN265">
    <cfRule type="expression" dxfId="2702" priority="4756" stopIfTrue="1">
      <formula>LEN(AN265)&gt;#REF!</formula>
    </cfRule>
    <cfRule type="expression" dxfId="2701" priority="4757" stopIfTrue="1">
      <formula>AND(NOT(ISERROR(SEARCH("~*~*~*",AN265,1))),SEARCH("~*~*~*",AN265,1)&gt;0)</formula>
    </cfRule>
  </conditionalFormatting>
  <conditionalFormatting sqref="AO265 AM265">
    <cfRule type="expression" dxfId="2700" priority="4758" stopIfTrue="1">
      <formula>LEN(AM265)&gt;32</formula>
    </cfRule>
    <cfRule type="expression" dxfId="2699" priority="4759" stopIfTrue="1">
      <formula>AND(NOT(ISERROR(SEARCH("~*~*~*",AM265,1))),SEARCH("~*~*~*",AM265,1)&gt;0)</formula>
    </cfRule>
  </conditionalFormatting>
  <conditionalFormatting sqref="AT265">
    <cfRule type="cellIs" dxfId="2698" priority="4760" stopIfTrue="1" operator="greaterThan">
      <formula>1</formula>
    </cfRule>
  </conditionalFormatting>
  <conditionalFormatting sqref="O266:X266">
    <cfRule type="expression" dxfId="2697" priority="4733" stopIfTrue="1">
      <formula>E266&lt;&gt;""</formula>
    </cfRule>
    <cfRule type="expression" dxfId="2696" priority="4734" stopIfTrue="1">
      <formula>E266=""</formula>
    </cfRule>
  </conditionalFormatting>
  <conditionalFormatting sqref="AP266">
    <cfRule type="expression" dxfId="2695" priority="4738" stopIfTrue="1">
      <formula>LEN(AP266)&gt;AR$3</formula>
    </cfRule>
    <cfRule type="expression" dxfId="2694" priority="4739" stopIfTrue="1">
      <formula>AND(NOT(ISERROR(SEARCH("~*~*~*",AP266,1))),SEARCH("~*~*~*",AP266,1)&gt;0)</formula>
    </cfRule>
  </conditionalFormatting>
  <conditionalFormatting sqref="Z266">
    <cfRule type="expression" dxfId="2693" priority="4740" stopIfTrue="1">
      <formula>LEN(Z266)&gt;$AA$3</formula>
    </cfRule>
    <cfRule type="expression" dxfId="2692" priority="4741" stopIfTrue="1">
      <formula>AND(NOT(ISERROR(SEARCH("~*~*~*",Z266,1))),SEARCH("~*~*~*",Z266,1)&gt;0)</formula>
    </cfRule>
  </conditionalFormatting>
  <conditionalFormatting sqref="AN266">
    <cfRule type="expression" dxfId="2691" priority="4742" stopIfTrue="1">
      <formula>LEN(AN266)&gt;#REF!</formula>
    </cfRule>
    <cfRule type="expression" dxfId="2690" priority="4743" stopIfTrue="1">
      <formula>AND(NOT(ISERROR(SEARCH("~*~*~*",AN266,1))),SEARCH("~*~*~*",AN266,1)&gt;0)</formula>
    </cfRule>
  </conditionalFormatting>
  <conditionalFormatting sqref="AO266 AM266">
    <cfRule type="expression" dxfId="2689" priority="4744" stopIfTrue="1">
      <formula>LEN(AM266)&gt;32</formula>
    </cfRule>
    <cfRule type="expression" dxfId="2688" priority="4745" stopIfTrue="1">
      <formula>AND(NOT(ISERROR(SEARCH("~*~*~*",AM266,1))),SEARCH("~*~*~*",AM266,1)&gt;0)</formula>
    </cfRule>
  </conditionalFormatting>
  <conditionalFormatting sqref="AT266">
    <cfRule type="cellIs" dxfId="2687" priority="4746" stopIfTrue="1" operator="greaterThan">
      <formula>1</formula>
    </cfRule>
  </conditionalFormatting>
  <conditionalFormatting sqref="O243:X243">
    <cfRule type="expression" dxfId="2686" priority="4719" stopIfTrue="1">
      <formula>E243&lt;&gt;""</formula>
    </cfRule>
    <cfRule type="expression" dxfId="2685" priority="4720" stopIfTrue="1">
      <formula>E243=""</formula>
    </cfRule>
  </conditionalFormatting>
  <conditionalFormatting sqref="AP243">
    <cfRule type="expression" dxfId="2684" priority="4724" stopIfTrue="1">
      <formula>LEN(AP243)&gt;AR$3</formula>
    </cfRule>
    <cfRule type="expression" dxfId="2683" priority="4725" stopIfTrue="1">
      <formula>AND(NOT(ISERROR(SEARCH("~*~*~*",AP243,1))),SEARCH("~*~*~*",AP243,1)&gt;0)</formula>
    </cfRule>
  </conditionalFormatting>
  <conditionalFormatting sqref="Z243">
    <cfRule type="expression" dxfId="2682" priority="4726" stopIfTrue="1">
      <formula>LEN(Z243)&gt;$AA$3</formula>
    </cfRule>
    <cfRule type="expression" dxfId="2681" priority="4727" stopIfTrue="1">
      <formula>AND(NOT(ISERROR(SEARCH("~*~*~*",Z243,1))),SEARCH("~*~*~*",Z243,1)&gt;0)</formula>
    </cfRule>
  </conditionalFormatting>
  <conditionalFormatting sqref="AN243">
    <cfRule type="expression" dxfId="2680" priority="4728" stopIfTrue="1">
      <formula>LEN(AN243)&gt;#REF!</formula>
    </cfRule>
    <cfRule type="expression" dxfId="2679" priority="4729" stopIfTrue="1">
      <formula>AND(NOT(ISERROR(SEARCH("~*~*~*",AN243,1))),SEARCH("~*~*~*",AN243,1)&gt;0)</formula>
    </cfRule>
  </conditionalFormatting>
  <conditionalFormatting sqref="AO243 AM243">
    <cfRule type="expression" dxfId="2678" priority="4730" stopIfTrue="1">
      <formula>LEN(AM243)&gt;32</formula>
    </cfRule>
    <cfRule type="expression" dxfId="2677" priority="4731" stopIfTrue="1">
      <formula>AND(NOT(ISERROR(SEARCH("~*~*~*",AM243,1))),SEARCH("~*~*~*",AM243,1)&gt;0)</formula>
    </cfRule>
  </conditionalFormatting>
  <conditionalFormatting sqref="AT243">
    <cfRule type="cellIs" dxfId="2676" priority="4732" stopIfTrue="1" operator="greaterThan">
      <formula>1</formula>
    </cfRule>
  </conditionalFormatting>
  <conditionalFormatting sqref="O244:X244">
    <cfRule type="expression" dxfId="2675" priority="4705" stopIfTrue="1">
      <formula>E244&lt;&gt;""</formula>
    </cfRule>
    <cfRule type="expression" dxfId="2674" priority="4706" stopIfTrue="1">
      <formula>E244=""</formula>
    </cfRule>
  </conditionalFormatting>
  <conditionalFormatting sqref="AP244">
    <cfRule type="expression" dxfId="2673" priority="4710" stopIfTrue="1">
      <formula>LEN(AP244)&gt;AR$3</formula>
    </cfRule>
    <cfRule type="expression" dxfId="2672" priority="4711" stopIfTrue="1">
      <formula>AND(NOT(ISERROR(SEARCH("~*~*~*",AP244,1))),SEARCH("~*~*~*",AP244,1)&gt;0)</formula>
    </cfRule>
  </conditionalFormatting>
  <conditionalFormatting sqref="Z244">
    <cfRule type="expression" dxfId="2671" priority="4712" stopIfTrue="1">
      <formula>LEN(Z244)&gt;$AA$3</formula>
    </cfRule>
    <cfRule type="expression" dxfId="2670" priority="4713" stopIfTrue="1">
      <formula>AND(NOT(ISERROR(SEARCH("~*~*~*",Z244,1))),SEARCH("~*~*~*",Z244,1)&gt;0)</formula>
    </cfRule>
  </conditionalFormatting>
  <conditionalFormatting sqref="AN244">
    <cfRule type="expression" dxfId="2669" priority="4714" stopIfTrue="1">
      <formula>LEN(AN244)&gt;#REF!</formula>
    </cfRule>
    <cfRule type="expression" dxfId="2668" priority="4715" stopIfTrue="1">
      <formula>AND(NOT(ISERROR(SEARCH("~*~*~*",AN244,1))),SEARCH("~*~*~*",AN244,1)&gt;0)</formula>
    </cfRule>
  </conditionalFormatting>
  <conditionalFormatting sqref="AO244 AM244">
    <cfRule type="expression" dxfId="2667" priority="4716" stopIfTrue="1">
      <formula>LEN(AM244)&gt;32</formula>
    </cfRule>
    <cfRule type="expression" dxfId="2666" priority="4717" stopIfTrue="1">
      <formula>AND(NOT(ISERROR(SEARCH("~*~*~*",AM244,1))),SEARCH("~*~*~*",AM244,1)&gt;0)</formula>
    </cfRule>
  </conditionalFormatting>
  <conditionalFormatting sqref="AT244">
    <cfRule type="cellIs" dxfId="2665" priority="4718" stopIfTrue="1" operator="greaterThan">
      <formula>1</formula>
    </cfRule>
  </conditionalFormatting>
  <conditionalFormatting sqref="O245:X245">
    <cfRule type="expression" dxfId="2664" priority="4691" stopIfTrue="1">
      <formula>E245&lt;&gt;""</formula>
    </cfRule>
    <cfRule type="expression" dxfId="2663" priority="4692" stopIfTrue="1">
      <formula>E245=""</formula>
    </cfRule>
  </conditionalFormatting>
  <conditionalFormatting sqref="AP245">
    <cfRule type="expression" dxfId="2662" priority="4696" stopIfTrue="1">
      <formula>LEN(AP245)&gt;AR$3</formula>
    </cfRule>
    <cfRule type="expression" dxfId="2661" priority="4697" stopIfTrue="1">
      <formula>AND(NOT(ISERROR(SEARCH("~*~*~*",AP245,1))),SEARCH("~*~*~*",AP245,1)&gt;0)</formula>
    </cfRule>
  </conditionalFormatting>
  <conditionalFormatting sqref="Z245">
    <cfRule type="expression" dxfId="2660" priority="4698" stopIfTrue="1">
      <formula>LEN(Z245)&gt;$AA$3</formula>
    </cfRule>
    <cfRule type="expression" dxfId="2659" priority="4699" stopIfTrue="1">
      <formula>AND(NOT(ISERROR(SEARCH("~*~*~*",Z245,1))),SEARCH("~*~*~*",Z245,1)&gt;0)</formula>
    </cfRule>
  </conditionalFormatting>
  <conditionalFormatting sqref="AN245">
    <cfRule type="expression" dxfId="2658" priority="4700" stopIfTrue="1">
      <formula>LEN(AN245)&gt;#REF!</formula>
    </cfRule>
    <cfRule type="expression" dxfId="2657" priority="4701" stopIfTrue="1">
      <formula>AND(NOT(ISERROR(SEARCH("~*~*~*",AN245,1))),SEARCH("~*~*~*",AN245,1)&gt;0)</formula>
    </cfRule>
  </conditionalFormatting>
  <conditionalFormatting sqref="AO245 AM245">
    <cfRule type="expression" dxfId="2656" priority="4702" stopIfTrue="1">
      <formula>LEN(AM245)&gt;32</formula>
    </cfRule>
    <cfRule type="expression" dxfId="2655" priority="4703" stopIfTrue="1">
      <formula>AND(NOT(ISERROR(SEARCH("~*~*~*",AM245,1))),SEARCH("~*~*~*",AM245,1)&gt;0)</formula>
    </cfRule>
  </conditionalFormatting>
  <conditionalFormatting sqref="AT245">
    <cfRule type="cellIs" dxfId="2654" priority="4704" stopIfTrue="1" operator="greaterThan">
      <formula>1</formula>
    </cfRule>
  </conditionalFormatting>
  <conditionalFormatting sqref="O246:X246">
    <cfRule type="expression" dxfId="2653" priority="4677" stopIfTrue="1">
      <formula>E246&lt;&gt;""</formula>
    </cfRule>
    <cfRule type="expression" dxfId="2652" priority="4678" stopIfTrue="1">
      <formula>E246=""</formula>
    </cfRule>
  </conditionalFormatting>
  <conditionalFormatting sqref="AQ5:AQ416">
    <cfRule type="expression" dxfId="2651" priority="4682" stopIfTrue="1">
      <formula>LEN(AQ5)&gt;AS$3</formula>
    </cfRule>
    <cfRule type="expression" dxfId="2650" priority="4683" stopIfTrue="1">
      <formula>AND(NOT(ISERROR(SEARCH("~*~*~*",AQ5,1))),SEARCH("~*~*~*",AQ5,1)&gt;0)</formula>
    </cfRule>
  </conditionalFormatting>
  <conditionalFormatting sqref="Z246">
    <cfRule type="expression" dxfId="2649" priority="4684" stopIfTrue="1">
      <formula>LEN(Z246)&gt;$AA$3</formula>
    </cfRule>
    <cfRule type="expression" dxfId="2648" priority="4685" stopIfTrue="1">
      <formula>AND(NOT(ISERROR(SEARCH("~*~*~*",Z246,1))),SEARCH("~*~*~*",Z246,1)&gt;0)</formula>
    </cfRule>
  </conditionalFormatting>
  <conditionalFormatting sqref="AN246">
    <cfRule type="expression" dxfId="2647" priority="4686" stopIfTrue="1">
      <formula>LEN(AN246)&gt;#REF!</formula>
    </cfRule>
    <cfRule type="expression" dxfId="2646" priority="4687" stopIfTrue="1">
      <formula>AND(NOT(ISERROR(SEARCH("~*~*~*",AN246,1))),SEARCH("~*~*~*",AN246,1)&gt;0)</formula>
    </cfRule>
  </conditionalFormatting>
  <conditionalFormatting sqref="AO246 AM246">
    <cfRule type="expression" dxfId="2645" priority="4688" stopIfTrue="1">
      <formula>LEN(AM246)&gt;32</formula>
    </cfRule>
    <cfRule type="expression" dxfId="2644" priority="4689" stopIfTrue="1">
      <formula>AND(NOT(ISERROR(SEARCH("~*~*~*",AM246,1))),SEARCH("~*~*~*",AM246,1)&gt;0)</formula>
    </cfRule>
  </conditionalFormatting>
  <conditionalFormatting sqref="AT246">
    <cfRule type="cellIs" dxfId="2643" priority="4690" stopIfTrue="1" operator="greaterThan">
      <formula>1</formula>
    </cfRule>
  </conditionalFormatting>
  <conditionalFormatting sqref="O247:X247">
    <cfRule type="expression" dxfId="2642" priority="4663" stopIfTrue="1">
      <formula>E247&lt;&gt;""</formula>
    </cfRule>
    <cfRule type="expression" dxfId="2641" priority="4664" stopIfTrue="1">
      <formula>E247=""</formula>
    </cfRule>
  </conditionalFormatting>
  <conditionalFormatting sqref="Z247">
    <cfRule type="expression" dxfId="2640" priority="4670" stopIfTrue="1">
      <formula>LEN(Z247)&gt;$AA$3</formula>
    </cfRule>
    <cfRule type="expression" dxfId="2639" priority="4671" stopIfTrue="1">
      <formula>AND(NOT(ISERROR(SEARCH("~*~*~*",Z247,1))),SEARCH("~*~*~*",Z247,1)&gt;0)</formula>
    </cfRule>
  </conditionalFormatting>
  <conditionalFormatting sqref="AN247">
    <cfRule type="expression" dxfId="2638" priority="4672" stopIfTrue="1">
      <formula>LEN(AN247)&gt;#REF!</formula>
    </cfRule>
    <cfRule type="expression" dxfId="2637" priority="4673" stopIfTrue="1">
      <formula>AND(NOT(ISERROR(SEARCH("~*~*~*",AN247,1))),SEARCH("~*~*~*",AN247,1)&gt;0)</formula>
    </cfRule>
  </conditionalFormatting>
  <conditionalFormatting sqref="AO247 AM247">
    <cfRule type="expression" dxfId="2636" priority="4674" stopIfTrue="1">
      <formula>LEN(AM247)&gt;32</formula>
    </cfRule>
    <cfRule type="expression" dxfId="2635" priority="4675" stopIfTrue="1">
      <formula>AND(NOT(ISERROR(SEARCH("~*~*~*",AM247,1))),SEARCH("~*~*~*",AM247,1)&gt;0)</formula>
    </cfRule>
  </conditionalFormatting>
  <conditionalFormatting sqref="AT247">
    <cfRule type="cellIs" dxfId="2634" priority="4676" stopIfTrue="1" operator="greaterThan">
      <formula>1</formula>
    </cfRule>
  </conditionalFormatting>
  <conditionalFormatting sqref="O248:X248">
    <cfRule type="expression" dxfId="2633" priority="4649" stopIfTrue="1">
      <formula>E248&lt;&gt;""</formula>
    </cfRule>
    <cfRule type="expression" dxfId="2632" priority="4650" stopIfTrue="1">
      <formula>E248=""</formula>
    </cfRule>
  </conditionalFormatting>
  <conditionalFormatting sqref="AP246:AP248">
    <cfRule type="expression" dxfId="2631" priority="4654" stopIfTrue="1">
      <formula>LEN(AP246)&gt;AR$3</formula>
    </cfRule>
    <cfRule type="expression" dxfId="2630" priority="4655" stopIfTrue="1">
      <formula>AND(NOT(ISERROR(SEARCH("~*~*~*",AP246,1))),SEARCH("~*~*~*",AP246,1)&gt;0)</formula>
    </cfRule>
  </conditionalFormatting>
  <conditionalFormatting sqref="Z248">
    <cfRule type="expression" dxfId="2629" priority="4656" stopIfTrue="1">
      <formula>LEN(Z248)&gt;$AA$3</formula>
    </cfRule>
    <cfRule type="expression" dxfId="2628" priority="4657" stopIfTrue="1">
      <formula>AND(NOT(ISERROR(SEARCH("~*~*~*",Z248,1))),SEARCH("~*~*~*",Z248,1)&gt;0)</formula>
    </cfRule>
  </conditionalFormatting>
  <conditionalFormatting sqref="AN248">
    <cfRule type="expression" dxfId="2627" priority="4658" stopIfTrue="1">
      <formula>LEN(AN248)&gt;#REF!</formula>
    </cfRule>
    <cfRule type="expression" dxfId="2626" priority="4659" stopIfTrue="1">
      <formula>AND(NOT(ISERROR(SEARCH("~*~*~*",AN248,1))),SEARCH("~*~*~*",AN248,1)&gt;0)</formula>
    </cfRule>
  </conditionalFormatting>
  <conditionalFormatting sqref="AO248 AM248">
    <cfRule type="expression" dxfId="2625" priority="4660" stopIfTrue="1">
      <formula>LEN(AM248)&gt;32</formula>
    </cfRule>
    <cfRule type="expression" dxfId="2624" priority="4661" stopIfTrue="1">
      <formula>AND(NOT(ISERROR(SEARCH("~*~*~*",AM248,1))),SEARCH("~*~*~*",AM248,1)&gt;0)</formula>
    </cfRule>
  </conditionalFormatting>
  <conditionalFormatting sqref="AT248">
    <cfRule type="cellIs" dxfId="2623" priority="4662" stopIfTrue="1" operator="greaterThan">
      <formula>1</formula>
    </cfRule>
  </conditionalFormatting>
  <conditionalFormatting sqref="O249:X249">
    <cfRule type="expression" dxfId="2622" priority="4635" stopIfTrue="1">
      <formula>E249&lt;&gt;""</formula>
    </cfRule>
    <cfRule type="expression" dxfId="2621" priority="4636" stopIfTrue="1">
      <formula>E249=""</formula>
    </cfRule>
  </conditionalFormatting>
  <conditionalFormatting sqref="AP249">
    <cfRule type="expression" dxfId="2620" priority="4640" stopIfTrue="1">
      <formula>LEN(AP249)&gt;AR$3</formula>
    </cfRule>
    <cfRule type="expression" dxfId="2619" priority="4641" stopIfTrue="1">
      <formula>AND(NOT(ISERROR(SEARCH("~*~*~*",AP249,1))),SEARCH("~*~*~*",AP249,1)&gt;0)</formula>
    </cfRule>
  </conditionalFormatting>
  <conditionalFormatting sqref="Z249">
    <cfRule type="expression" dxfId="2618" priority="4642" stopIfTrue="1">
      <formula>LEN(Z249)&gt;$AA$3</formula>
    </cfRule>
    <cfRule type="expression" dxfId="2617" priority="4643" stopIfTrue="1">
      <formula>AND(NOT(ISERROR(SEARCH("~*~*~*",Z249,1))),SEARCH("~*~*~*",Z249,1)&gt;0)</formula>
    </cfRule>
  </conditionalFormatting>
  <conditionalFormatting sqref="AN249">
    <cfRule type="expression" dxfId="2616" priority="4644" stopIfTrue="1">
      <formula>LEN(AN249)&gt;#REF!</formula>
    </cfRule>
    <cfRule type="expression" dxfId="2615" priority="4645" stopIfTrue="1">
      <formula>AND(NOT(ISERROR(SEARCH("~*~*~*",AN249,1))),SEARCH("~*~*~*",AN249,1)&gt;0)</formula>
    </cfRule>
  </conditionalFormatting>
  <conditionalFormatting sqref="AO249 AM249">
    <cfRule type="expression" dxfId="2614" priority="4646" stopIfTrue="1">
      <formula>LEN(AM249)&gt;32</formula>
    </cfRule>
    <cfRule type="expression" dxfId="2613" priority="4647" stopIfTrue="1">
      <formula>AND(NOT(ISERROR(SEARCH("~*~*~*",AM249,1))),SEARCH("~*~*~*",AM249,1)&gt;0)</formula>
    </cfRule>
  </conditionalFormatting>
  <conditionalFormatting sqref="AT249">
    <cfRule type="cellIs" dxfId="2612" priority="4648" stopIfTrue="1" operator="greaterThan">
      <formula>1</formula>
    </cfRule>
  </conditionalFormatting>
  <conditionalFormatting sqref="O250:X250">
    <cfRule type="expression" dxfId="2611" priority="4593" stopIfTrue="1">
      <formula>E250&lt;&gt;""</formula>
    </cfRule>
    <cfRule type="expression" dxfId="2610" priority="4594" stopIfTrue="1">
      <formula>E250=""</formula>
    </cfRule>
  </conditionalFormatting>
  <conditionalFormatting sqref="AP250">
    <cfRule type="expression" dxfId="2609" priority="4598" stopIfTrue="1">
      <formula>LEN(AP250)&gt;AR$3</formula>
    </cfRule>
    <cfRule type="expression" dxfId="2608" priority="4599" stopIfTrue="1">
      <formula>AND(NOT(ISERROR(SEARCH("~*~*~*",AP250,1))),SEARCH("~*~*~*",AP250,1)&gt;0)</formula>
    </cfRule>
  </conditionalFormatting>
  <conditionalFormatting sqref="Z250">
    <cfRule type="expression" dxfId="2607" priority="4600" stopIfTrue="1">
      <formula>LEN(Z250)&gt;$AA$3</formula>
    </cfRule>
    <cfRule type="expression" dxfId="2606" priority="4601" stopIfTrue="1">
      <formula>AND(NOT(ISERROR(SEARCH("~*~*~*",Z250,1))),SEARCH("~*~*~*",Z250,1)&gt;0)</formula>
    </cfRule>
  </conditionalFormatting>
  <conditionalFormatting sqref="AN250">
    <cfRule type="expression" dxfId="2605" priority="4602" stopIfTrue="1">
      <formula>LEN(AN250)&gt;#REF!</formula>
    </cfRule>
    <cfRule type="expression" dxfId="2604" priority="4603" stopIfTrue="1">
      <formula>AND(NOT(ISERROR(SEARCH("~*~*~*",AN250,1))),SEARCH("~*~*~*",AN250,1)&gt;0)</formula>
    </cfRule>
  </conditionalFormatting>
  <conditionalFormatting sqref="AO250 AM250">
    <cfRule type="expression" dxfId="2603" priority="4604" stopIfTrue="1">
      <formula>LEN(AM250)&gt;32</formula>
    </cfRule>
    <cfRule type="expression" dxfId="2602" priority="4605" stopIfTrue="1">
      <formula>AND(NOT(ISERROR(SEARCH("~*~*~*",AM250,1))),SEARCH("~*~*~*",AM250,1)&gt;0)</formula>
    </cfRule>
  </conditionalFormatting>
  <conditionalFormatting sqref="AT250">
    <cfRule type="cellIs" dxfId="2601" priority="4606" stopIfTrue="1" operator="greaterThan">
      <formula>1</formula>
    </cfRule>
  </conditionalFormatting>
  <conditionalFormatting sqref="O251:X251">
    <cfRule type="expression" dxfId="2600" priority="4579" stopIfTrue="1">
      <formula>E251&lt;&gt;""</formula>
    </cfRule>
    <cfRule type="expression" dxfId="2599" priority="4580" stopIfTrue="1">
      <formula>E251=""</formula>
    </cfRule>
  </conditionalFormatting>
  <conditionalFormatting sqref="AP251">
    <cfRule type="expression" dxfId="2598" priority="4584" stopIfTrue="1">
      <formula>LEN(AP251)&gt;AR$3</formula>
    </cfRule>
    <cfRule type="expression" dxfId="2597" priority="4585" stopIfTrue="1">
      <formula>AND(NOT(ISERROR(SEARCH("~*~*~*",AP251,1))),SEARCH("~*~*~*",AP251,1)&gt;0)</formula>
    </cfRule>
  </conditionalFormatting>
  <conditionalFormatting sqref="Z251">
    <cfRule type="expression" dxfId="2596" priority="4586" stopIfTrue="1">
      <formula>LEN(Z251)&gt;$AA$3</formula>
    </cfRule>
    <cfRule type="expression" dxfId="2595" priority="4587" stopIfTrue="1">
      <formula>AND(NOT(ISERROR(SEARCH("~*~*~*",Z251,1))),SEARCH("~*~*~*",Z251,1)&gt;0)</formula>
    </cfRule>
  </conditionalFormatting>
  <conditionalFormatting sqref="AN251">
    <cfRule type="expression" dxfId="2594" priority="4588" stopIfTrue="1">
      <formula>LEN(AN251)&gt;#REF!</formula>
    </cfRule>
    <cfRule type="expression" dxfId="2593" priority="4589" stopIfTrue="1">
      <formula>AND(NOT(ISERROR(SEARCH("~*~*~*",AN251,1))),SEARCH("~*~*~*",AN251,1)&gt;0)</formula>
    </cfRule>
  </conditionalFormatting>
  <conditionalFormatting sqref="AO251 AM251">
    <cfRule type="expression" dxfId="2592" priority="4590" stopIfTrue="1">
      <formula>LEN(AM251)&gt;32</formula>
    </cfRule>
    <cfRule type="expression" dxfId="2591" priority="4591" stopIfTrue="1">
      <formula>AND(NOT(ISERROR(SEARCH("~*~*~*",AM251,1))),SEARCH("~*~*~*",AM251,1)&gt;0)</formula>
    </cfRule>
  </conditionalFormatting>
  <conditionalFormatting sqref="AT251">
    <cfRule type="cellIs" dxfId="2590" priority="4592" stopIfTrue="1" operator="greaterThan">
      <formula>1</formula>
    </cfRule>
  </conditionalFormatting>
  <conditionalFormatting sqref="O252:X252">
    <cfRule type="expression" dxfId="2589" priority="4565" stopIfTrue="1">
      <formula>E252&lt;&gt;""</formula>
    </cfRule>
    <cfRule type="expression" dxfId="2588" priority="4566" stopIfTrue="1">
      <formula>E252=""</formula>
    </cfRule>
  </conditionalFormatting>
  <conditionalFormatting sqref="AP252">
    <cfRule type="expression" dxfId="2587" priority="4570" stopIfTrue="1">
      <formula>LEN(AP252)&gt;AR$3</formula>
    </cfRule>
    <cfRule type="expression" dxfId="2586" priority="4571" stopIfTrue="1">
      <formula>AND(NOT(ISERROR(SEARCH("~*~*~*",AP252,1))),SEARCH("~*~*~*",AP252,1)&gt;0)</formula>
    </cfRule>
  </conditionalFormatting>
  <conditionalFormatting sqref="Z252">
    <cfRule type="expression" dxfId="2585" priority="4572" stopIfTrue="1">
      <formula>LEN(Z252)&gt;$AA$3</formula>
    </cfRule>
    <cfRule type="expression" dxfId="2584" priority="4573" stopIfTrue="1">
      <formula>AND(NOT(ISERROR(SEARCH("~*~*~*",Z252,1))),SEARCH("~*~*~*",Z252,1)&gt;0)</formula>
    </cfRule>
  </conditionalFormatting>
  <conditionalFormatting sqref="AN252">
    <cfRule type="expression" dxfId="2583" priority="4574" stopIfTrue="1">
      <formula>LEN(AN252)&gt;#REF!</formula>
    </cfRule>
    <cfRule type="expression" dxfId="2582" priority="4575" stopIfTrue="1">
      <formula>AND(NOT(ISERROR(SEARCH("~*~*~*",AN252,1))),SEARCH("~*~*~*",AN252,1)&gt;0)</formula>
    </cfRule>
  </conditionalFormatting>
  <conditionalFormatting sqref="AO252 AM252">
    <cfRule type="expression" dxfId="2581" priority="4576" stopIfTrue="1">
      <formula>LEN(AM252)&gt;32</formula>
    </cfRule>
    <cfRule type="expression" dxfId="2580" priority="4577" stopIfTrue="1">
      <formula>AND(NOT(ISERROR(SEARCH("~*~*~*",AM252,1))),SEARCH("~*~*~*",AM252,1)&gt;0)</formula>
    </cfRule>
  </conditionalFormatting>
  <conditionalFormatting sqref="AT252">
    <cfRule type="cellIs" dxfId="2579" priority="4578" stopIfTrue="1" operator="greaterThan">
      <formula>1</formula>
    </cfRule>
  </conditionalFormatting>
  <conditionalFormatting sqref="O253:X253">
    <cfRule type="expression" dxfId="2578" priority="4551" stopIfTrue="1">
      <formula>E253&lt;&gt;""</formula>
    </cfRule>
    <cfRule type="expression" dxfId="2577" priority="4552" stopIfTrue="1">
      <formula>E253=""</formula>
    </cfRule>
  </conditionalFormatting>
  <conditionalFormatting sqref="AP253">
    <cfRule type="expression" dxfId="2576" priority="4556" stopIfTrue="1">
      <formula>LEN(AP253)&gt;AR$3</formula>
    </cfRule>
    <cfRule type="expression" dxfId="2575" priority="4557" stopIfTrue="1">
      <formula>AND(NOT(ISERROR(SEARCH("~*~*~*",AP253,1))),SEARCH("~*~*~*",AP253,1)&gt;0)</formula>
    </cfRule>
  </conditionalFormatting>
  <conditionalFormatting sqref="Z253">
    <cfRule type="expression" dxfId="2574" priority="4558" stopIfTrue="1">
      <formula>LEN(Z253)&gt;$AA$3</formula>
    </cfRule>
    <cfRule type="expression" dxfId="2573" priority="4559" stopIfTrue="1">
      <formula>AND(NOT(ISERROR(SEARCH("~*~*~*",Z253,1))),SEARCH("~*~*~*",Z253,1)&gt;0)</formula>
    </cfRule>
  </conditionalFormatting>
  <conditionalFormatting sqref="AN253">
    <cfRule type="expression" dxfId="2572" priority="4560" stopIfTrue="1">
      <formula>LEN(AN253)&gt;#REF!</formula>
    </cfRule>
    <cfRule type="expression" dxfId="2571" priority="4561" stopIfTrue="1">
      <formula>AND(NOT(ISERROR(SEARCH("~*~*~*",AN253,1))),SEARCH("~*~*~*",AN253,1)&gt;0)</formula>
    </cfRule>
  </conditionalFormatting>
  <conditionalFormatting sqref="AO253 AM253">
    <cfRule type="expression" dxfId="2570" priority="4562" stopIfTrue="1">
      <formula>LEN(AM253)&gt;32</formula>
    </cfRule>
    <cfRule type="expression" dxfId="2569" priority="4563" stopIfTrue="1">
      <formula>AND(NOT(ISERROR(SEARCH("~*~*~*",AM253,1))),SEARCH("~*~*~*",AM253,1)&gt;0)</formula>
    </cfRule>
  </conditionalFormatting>
  <conditionalFormatting sqref="AT253">
    <cfRule type="cellIs" dxfId="2568" priority="4564" stopIfTrue="1" operator="greaterThan">
      <formula>1</formula>
    </cfRule>
  </conditionalFormatting>
  <conditionalFormatting sqref="O230:X230">
    <cfRule type="expression" dxfId="2567" priority="4537" stopIfTrue="1">
      <formula>E230&lt;&gt;""</formula>
    </cfRule>
    <cfRule type="expression" dxfId="2566" priority="4538" stopIfTrue="1">
      <formula>E230=""</formula>
    </cfRule>
  </conditionalFormatting>
  <conditionalFormatting sqref="AP230">
    <cfRule type="expression" dxfId="2565" priority="4542" stopIfTrue="1">
      <formula>LEN(AP230)&gt;AR$3</formula>
    </cfRule>
    <cfRule type="expression" dxfId="2564" priority="4543" stopIfTrue="1">
      <formula>AND(NOT(ISERROR(SEARCH("~*~*~*",AP230,1))),SEARCH("~*~*~*",AP230,1)&gt;0)</formula>
    </cfRule>
  </conditionalFormatting>
  <conditionalFormatting sqref="Z230">
    <cfRule type="expression" dxfId="2563" priority="4544" stopIfTrue="1">
      <formula>LEN(Z230)&gt;$AA$3</formula>
    </cfRule>
    <cfRule type="expression" dxfId="2562" priority="4545" stopIfTrue="1">
      <formula>AND(NOT(ISERROR(SEARCH("~*~*~*",Z230,1))),SEARCH("~*~*~*",Z230,1)&gt;0)</formula>
    </cfRule>
  </conditionalFormatting>
  <conditionalFormatting sqref="AN230">
    <cfRule type="expression" dxfId="2561" priority="4546" stopIfTrue="1">
      <formula>LEN(AN230)&gt;#REF!</formula>
    </cfRule>
    <cfRule type="expression" dxfId="2560" priority="4547" stopIfTrue="1">
      <formula>AND(NOT(ISERROR(SEARCH("~*~*~*",AN230,1))),SEARCH("~*~*~*",AN230,1)&gt;0)</formula>
    </cfRule>
  </conditionalFormatting>
  <conditionalFormatting sqref="AO230 AM230">
    <cfRule type="expression" dxfId="2559" priority="4548" stopIfTrue="1">
      <formula>LEN(AM230)&gt;32</formula>
    </cfRule>
    <cfRule type="expression" dxfId="2558" priority="4549" stopIfTrue="1">
      <formula>AND(NOT(ISERROR(SEARCH("~*~*~*",AM230,1))),SEARCH("~*~*~*",AM230,1)&gt;0)</formula>
    </cfRule>
  </conditionalFormatting>
  <conditionalFormatting sqref="AT230">
    <cfRule type="cellIs" dxfId="2557" priority="4550" stopIfTrue="1" operator="greaterThan">
      <formula>1</formula>
    </cfRule>
  </conditionalFormatting>
  <conditionalFormatting sqref="O231:X231">
    <cfRule type="expression" dxfId="2556" priority="4523" stopIfTrue="1">
      <formula>E231&lt;&gt;""</formula>
    </cfRule>
    <cfRule type="expression" dxfId="2555" priority="4524" stopIfTrue="1">
      <formula>E231=""</formula>
    </cfRule>
  </conditionalFormatting>
  <conditionalFormatting sqref="AP231">
    <cfRule type="expression" dxfId="2554" priority="4528" stopIfTrue="1">
      <formula>LEN(AP231)&gt;AR$3</formula>
    </cfRule>
    <cfRule type="expression" dxfId="2553" priority="4529" stopIfTrue="1">
      <formula>AND(NOT(ISERROR(SEARCH("~*~*~*",AP231,1))),SEARCH("~*~*~*",AP231,1)&gt;0)</formula>
    </cfRule>
  </conditionalFormatting>
  <conditionalFormatting sqref="Z231">
    <cfRule type="expression" dxfId="2552" priority="4530" stopIfTrue="1">
      <formula>LEN(Z231)&gt;$AA$3</formula>
    </cfRule>
    <cfRule type="expression" dxfId="2551" priority="4531" stopIfTrue="1">
      <formula>AND(NOT(ISERROR(SEARCH("~*~*~*",Z231,1))),SEARCH("~*~*~*",Z231,1)&gt;0)</formula>
    </cfRule>
  </conditionalFormatting>
  <conditionalFormatting sqref="AN231">
    <cfRule type="expression" dxfId="2550" priority="4532" stopIfTrue="1">
      <formula>LEN(AN231)&gt;#REF!</formula>
    </cfRule>
    <cfRule type="expression" dxfId="2549" priority="4533" stopIfTrue="1">
      <formula>AND(NOT(ISERROR(SEARCH("~*~*~*",AN231,1))),SEARCH("~*~*~*",AN231,1)&gt;0)</formula>
    </cfRule>
  </conditionalFormatting>
  <conditionalFormatting sqref="AO231 AM231">
    <cfRule type="expression" dxfId="2548" priority="4534" stopIfTrue="1">
      <formula>LEN(AM231)&gt;32</formula>
    </cfRule>
    <cfRule type="expression" dxfId="2547" priority="4535" stopIfTrue="1">
      <formula>AND(NOT(ISERROR(SEARCH("~*~*~*",AM231,1))),SEARCH("~*~*~*",AM231,1)&gt;0)</formula>
    </cfRule>
  </conditionalFormatting>
  <conditionalFormatting sqref="AT231">
    <cfRule type="cellIs" dxfId="2546" priority="4536" stopIfTrue="1" operator="greaterThan">
      <formula>1</formula>
    </cfRule>
  </conditionalFormatting>
  <conditionalFormatting sqref="O232:X232">
    <cfRule type="expression" dxfId="2545" priority="4509" stopIfTrue="1">
      <formula>E232&lt;&gt;""</formula>
    </cfRule>
    <cfRule type="expression" dxfId="2544" priority="4510" stopIfTrue="1">
      <formula>E232=""</formula>
    </cfRule>
  </conditionalFormatting>
  <conditionalFormatting sqref="AP232">
    <cfRule type="expression" dxfId="2543" priority="4514" stopIfTrue="1">
      <formula>LEN(AP232)&gt;AR$3</formula>
    </cfRule>
    <cfRule type="expression" dxfId="2542" priority="4515" stopIfTrue="1">
      <formula>AND(NOT(ISERROR(SEARCH("~*~*~*",AP232,1))),SEARCH("~*~*~*",AP232,1)&gt;0)</formula>
    </cfRule>
  </conditionalFormatting>
  <conditionalFormatting sqref="Z232">
    <cfRule type="expression" dxfId="2541" priority="4516" stopIfTrue="1">
      <formula>LEN(Z232)&gt;$AA$3</formula>
    </cfRule>
    <cfRule type="expression" dxfId="2540" priority="4517" stopIfTrue="1">
      <formula>AND(NOT(ISERROR(SEARCH("~*~*~*",Z232,1))),SEARCH("~*~*~*",Z232,1)&gt;0)</formula>
    </cfRule>
  </conditionalFormatting>
  <conditionalFormatting sqref="AN232">
    <cfRule type="expression" dxfId="2539" priority="4518" stopIfTrue="1">
      <formula>LEN(AN232)&gt;#REF!</formula>
    </cfRule>
    <cfRule type="expression" dxfId="2538" priority="4519" stopIfTrue="1">
      <formula>AND(NOT(ISERROR(SEARCH("~*~*~*",AN232,1))),SEARCH("~*~*~*",AN232,1)&gt;0)</formula>
    </cfRule>
  </conditionalFormatting>
  <conditionalFormatting sqref="AO232 AM232">
    <cfRule type="expression" dxfId="2537" priority="4520" stopIfTrue="1">
      <formula>LEN(AM232)&gt;32</formula>
    </cfRule>
    <cfRule type="expression" dxfId="2536" priority="4521" stopIfTrue="1">
      <formula>AND(NOT(ISERROR(SEARCH("~*~*~*",AM232,1))),SEARCH("~*~*~*",AM232,1)&gt;0)</formula>
    </cfRule>
  </conditionalFormatting>
  <conditionalFormatting sqref="AT232">
    <cfRule type="cellIs" dxfId="2535" priority="4522" stopIfTrue="1" operator="greaterThan">
      <formula>1</formula>
    </cfRule>
  </conditionalFormatting>
  <conditionalFormatting sqref="O233:X233">
    <cfRule type="expression" dxfId="2534" priority="4495" stopIfTrue="1">
      <formula>E233&lt;&gt;""</formula>
    </cfRule>
    <cfRule type="expression" dxfId="2533" priority="4496" stopIfTrue="1">
      <formula>E233=""</formula>
    </cfRule>
  </conditionalFormatting>
  <conditionalFormatting sqref="AP233">
    <cfRule type="expression" dxfId="2532" priority="4500" stopIfTrue="1">
      <formula>LEN(AP233)&gt;AR$3</formula>
    </cfRule>
    <cfRule type="expression" dxfId="2531" priority="4501" stopIfTrue="1">
      <formula>AND(NOT(ISERROR(SEARCH("~*~*~*",AP233,1))),SEARCH("~*~*~*",AP233,1)&gt;0)</formula>
    </cfRule>
  </conditionalFormatting>
  <conditionalFormatting sqref="Z233">
    <cfRule type="expression" dxfId="2530" priority="4502" stopIfTrue="1">
      <formula>LEN(Z233)&gt;$AA$3</formula>
    </cfRule>
    <cfRule type="expression" dxfId="2529" priority="4503" stopIfTrue="1">
      <formula>AND(NOT(ISERROR(SEARCH("~*~*~*",Z233,1))),SEARCH("~*~*~*",Z233,1)&gt;0)</formula>
    </cfRule>
  </conditionalFormatting>
  <conditionalFormatting sqref="AN233">
    <cfRule type="expression" dxfId="2528" priority="4504" stopIfTrue="1">
      <formula>LEN(AN233)&gt;#REF!</formula>
    </cfRule>
    <cfRule type="expression" dxfId="2527" priority="4505" stopIfTrue="1">
      <formula>AND(NOT(ISERROR(SEARCH("~*~*~*",AN233,1))),SEARCH("~*~*~*",AN233,1)&gt;0)</formula>
    </cfRule>
  </conditionalFormatting>
  <conditionalFormatting sqref="AO233 AM233">
    <cfRule type="expression" dxfId="2526" priority="4506" stopIfTrue="1">
      <formula>LEN(AM233)&gt;32</formula>
    </cfRule>
    <cfRule type="expression" dxfId="2525" priority="4507" stopIfTrue="1">
      <formula>AND(NOT(ISERROR(SEARCH("~*~*~*",AM233,1))),SEARCH("~*~*~*",AM233,1)&gt;0)</formula>
    </cfRule>
  </conditionalFormatting>
  <conditionalFormatting sqref="AT233">
    <cfRule type="cellIs" dxfId="2524" priority="4508" stopIfTrue="1" operator="greaterThan">
      <formula>1</formula>
    </cfRule>
  </conditionalFormatting>
  <conditionalFormatting sqref="O234:X234">
    <cfRule type="expression" dxfId="2523" priority="4481" stopIfTrue="1">
      <formula>E234&lt;&gt;""</formula>
    </cfRule>
    <cfRule type="expression" dxfId="2522" priority="4482" stopIfTrue="1">
      <formula>E234=""</formula>
    </cfRule>
  </conditionalFormatting>
  <conditionalFormatting sqref="AP234">
    <cfRule type="expression" dxfId="2521" priority="4486" stopIfTrue="1">
      <formula>LEN(AP234)&gt;AR$3</formula>
    </cfRule>
    <cfRule type="expression" dxfId="2520" priority="4487" stopIfTrue="1">
      <formula>AND(NOT(ISERROR(SEARCH("~*~*~*",AP234,1))),SEARCH("~*~*~*",AP234,1)&gt;0)</formula>
    </cfRule>
  </conditionalFormatting>
  <conditionalFormatting sqref="Z234">
    <cfRule type="expression" dxfId="2519" priority="4488" stopIfTrue="1">
      <formula>LEN(Z234)&gt;$AA$3</formula>
    </cfRule>
    <cfRule type="expression" dxfId="2518" priority="4489" stopIfTrue="1">
      <formula>AND(NOT(ISERROR(SEARCH("~*~*~*",Z234,1))),SEARCH("~*~*~*",Z234,1)&gt;0)</formula>
    </cfRule>
  </conditionalFormatting>
  <conditionalFormatting sqref="AN234">
    <cfRule type="expression" dxfId="2517" priority="4490" stopIfTrue="1">
      <formula>LEN(AN234)&gt;#REF!</formula>
    </cfRule>
    <cfRule type="expression" dxfId="2516" priority="4491" stopIfTrue="1">
      <formula>AND(NOT(ISERROR(SEARCH("~*~*~*",AN234,1))),SEARCH("~*~*~*",AN234,1)&gt;0)</formula>
    </cfRule>
  </conditionalFormatting>
  <conditionalFormatting sqref="AO234 AM234">
    <cfRule type="expression" dxfId="2515" priority="4492" stopIfTrue="1">
      <formula>LEN(AM234)&gt;32</formula>
    </cfRule>
    <cfRule type="expression" dxfId="2514" priority="4493" stopIfTrue="1">
      <formula>AND(NOT(ISERROR(SEARCH("~*~*~*",AM234,1))),SEARCH("~*~*~*",AM234,1)&gt;0)</formula>
    </cfRule>
  </conditionalFormatting>
  <conditionalFormatting sqref="AT234">
    <cfRule type="cellIs" dxfId="2513" priority="4494" stopIfTrue="1" operator="greaterThan">
      <formula>1</formula>
    </cfRule>
  </conditionalFormatting>
  <conditionalFormatting sqref="O235:X235">
    <cfRule type="expression" dxfId="2512" priority="4467" stopIfTrue="1">
      <formula>E235&lt;&gt;""</formula>
    </cfRule>
    <cfRule type="expression" dxfId="2511" priority="4468" stopIfTrue="1">
      <formula>E235=""</formula>
    </cfRule>
  </conditionalFormatting>
  <conditionalFormatting sqref="AP235">
    <cfRule type="expression" dxfId="2510" priority="4472" stopIfTrue="1">
      <formula>LEN(AP235)&gt;AR$3</formula>
    </cfRule>
    <cfRule type="expression" dxfId="2509" priority="4473" stopIfTrue="1">
      <formula>AND(NOT(ISERROR(SEARCH("~*~*~*",AP235,1))),SEARCH("~*~*~*",AP235,1)&gt;0)</formula>
    </cfRule>
  </conditionalFormatting>
  <conditionalFormatting sqref="Z235">
    <cfRule type="expression" dxfId="2508" priority="4474" stopIfTrue="1">
      <formula>LEN(Z235)&gt;$AA$3</formula>
    </cfRule>
    <cfRule type="expression" dxfId="2507" priority="4475" stopIfTrue="1">
      <formula>AND(NOT(ISERROR(SEARCH("~*~*~*",Z235,1))),SEARCH("~*~*~*",Z235,1)&gt;0)</formula>
    </cfRule>
  </conditionalFormatting>
  <conditionalFormatting sqref="AN235">
    <cfRule type="expression" dxfId="2506" priority="4476" stopIfTrue="1">
      <formula>LEN(AN235)&gt;#REF!</formula>
    </cfRule>
    <cfRule type="expression" dxfId="2505" priority="4477" stopIfTrue="1">
      <formula>AND(NOT(ISERROR(SEARCH("~*~*~*",AN235,1))),SEARCH("~*~*~*",AN235,1)&gt;0)</formula>
    </cfRule>
  </conditionalFormatting>
  <conditionalFormatting sqref="AO235 AM235">
    <cfRule type="expression" dxfId="2504" priority="4478" stopIfTrue="1">
      <formula>LEN(AM235)&gt;32</formula>
    </cfRule>
    <cfRule type="expression" dxfId="2503" priority="4479" stopIfTrue="1">
      <formula>AND(NOT(ISERROR(SEARCH("~*~*~*",AM235,1))),SEARCH("~*~*~*",AM235,1)&gt;0)</formula>
    </cfRule>
  </conditionalFormatting>
  <conditionalFormatting sqref="AT235">
    <cfRule type="cellIs" dxfId="2502" priority="4480" stopIfTrue="1" operator="greaterThan">
      <formula>1</formula>
    </cfRule>
  </conditionalFormatting>
  <conditionalFormatting sqref="O236:X236">
    <cfRule type="expression" dxfId="2501" priority="4453" stopIfTrue="1">
      <formula>E236&lt;&gt;""</formula>
    </cfRule>
    <cfRule type="expression" dxfId="2500" priority="4454" stopIfTrue="1">
      <formula>E236=""</formula>
    </cfRule>
  </conditionalFormatting>
  <conditionalFormatting sqref="AP236">
    <cfRule type="expression" dxfId="2499" priority="4458" stopIfTrue="1">
      <formula>LEN(AP236)&gt;AR$3</formula>
    </cfRule>
    <cfRule type="expression" dxfId="2498" priority="4459" stopIfTrue="1">
      <formula>AND(NOT(ISERROR(SEARCH("~*~*~*",AP236,1))),SEARCH("~*~*~*",AP236,1)&gt;0)</formula>
    </cfRule>
  </conditionalFormatting>
  <conditionalFormatting sqref="Z236">
    <cfRule type="expression" dxfId="2497" priority="4460" stopIfTrue="1">
      <formula>LEN(Z236)&gt;$AA$3</formula>
    </cfRule>
    <cfRule type="expression" dxfId="2496" priority="4461" stopIfTrue="1">
      <formula>AND(NOT(ISERROR(SEARCH("~*~*~*",Z236,1))),SEARCH("~*~*~*",Z236,1)&gt;0)</formula>
    </cfRule>
  </conditionalFormatting>
  <conditionalFormatting sqref="AN236">
    <cfRule type="expression" dxfId="2495" priority="4462" stopIfTrue="1">
      <formula>LEN(AN236)&gt;#REF!</formula>
    </cfRule>
    <cfRule type="expression" dxfId="2494" priority="4463" stopIfTrue="1">
      <formula>AND(NOT(ISERROR(SEARCH("~*~*~*",AN236,1))),SEARCH("~*~*~*",AN236,1)&gt;0)</formula>
    </cfRule>
  </conditionalFormatting>
  <conditionalFormatting sqref="AO236 AM236">
    <cfRule type="expression" dxfId="2493" priority="4464" stopIfTrue="1">
      <formula>LEN(AM236)&gt;32</formula>
    </cfRule>
    <cfRule type="expression" dxfId="2492" priority="4465" stopIfTrue="1">
      <formula>AND(NOT(ISERROR(SEARCH("~*~*~*",AM236,1))),SEARCH("~*~*~*",AM236,1)&gt;0)</formula>
    </cfRule>
  </conditionalFormatting>
  <conditionalFormatting sqref="AT236">
    <cfRule type="cellIs" dxfId="2491" priority="4466" stopIfTrue="1" operator="greaterThan">
      <formula>1</formula>
    </cfRule>
  </conditionalFormatting>
  <conditionalFormatting sqref="O237:X237">
    <cfRule type="expression" dxfId="2490" priority="4439" stopIfTrue="1">
      <formula>E237&lt;&gt;""</formula>
    </cfRule>
    <cfRule type="expression" dxfId="2489" priority="4440" stopIfTrue="1">
      <formula>E237=""</formula>
    </cfRule>
  </conditionalFormatting>
  <conditionalFormatting sqref="AP237">
    <cfRule type="expression" dxfId="2488" priority="4444" stopIfTrue="1">
      <formula>LEN(AP237)&gt;AR$3</formula>
    </cfRule>
    <cfRule type="expression" dxfId="2487" priority="4445" stopIfTrue="1">
      <formula>AND(NOT(ISERROR(SEARCH("~*~*~*",AP237,1))),SEARCH("~*~*~*",AP237,1)&gt;0)</formula>
    </cfRule>
  </conditionalFormatting>
  <conditionalFormatting sqref="Z237">
    <cfRule type="expression" dxfId="2486" priority="4446" stopIfTrue="1">
      <formula>LEN(Z237)&gt;$AA$3</formula>
    </cfRule>
    <cfRule type="expression" dxfId="2485" priority="4447" stopIfTrue="1">
      <formula>AND(NOT(ISERROR(SEARCH("~*~*~*",Z237,1))),SEARCH("~*~*~*",Z237,1)&gt;0)</formula>
    </cfRule>
  </conditionalFormatting>
  <conditionalFormatting sqref="AN237">
    <cfRule type="expression" dxfId="2484" priority="4448" stopIfTrue="1">
      <formula>LEN(AN237)&gt;#REF!</formula>
    </cfRule>
    <cfRule type="expression" dxfId="2483" priority="4449" stopIfTrue="1">
      <formula>AND(NOT(ISERROR(SEARCH("~*~*~*",AN237,1))),SEARCH("~*~*~*",AN237,1)&gt;0)</formula>
    </cfRule>
  </conditionalFormatting>
  <conditionalFormatting sqref="AO237 AM237">
    <cfRule type="expression" dxfId="2482" priority="4450" stopIfTrue="1">
      <formula>LEN(AM237)&gt;32</formula>
    </cfRule>
    <cfRule type="expression" dxfId="2481" priority="4451" stopIfTrue="1">
      <formula>AND(NOT(ISERROR(SEARCH("~*~*~*",AM237,1))),SEARCH("~*~*~*",AM237,1)&gt;0)</formula>
    </cfRule>
  </conditionalFormatting>
  <conditionalFormatting sqref="AT237">
    <cfRule type="cellIs" dxfId="2480" priority="4452" stopIfTrue="1" operator="greaterThan">
      <formula>1</formula>
    </cfRule>
  </conditionalFormatting>
  <conditionalFormatting sqref="O238:X238">
    <cfRule type="expression" dxfId="2479" priority="4425" stopIfTrue="1">
      <formula>E238&lt;&gt;""</formula>
    </cfRule>
    <cfRule type="expression" dxfId="2478" priority="4426" stopIfTrue="1">
      <formula>E238=""</formula>
    </cfRule>
  </conditionalFormatting>
  <conditionalFormatting sqref="AP238">
    <cfRule type="expression" dxfId="2477" priority="4430" stopIfTrue="1">
      <formula>LEN(AP238)&gt;AR$3</formula>
    </cfRule>
    <cfRule type="expression" dxfId="2476" priority="4431" stopIfTrue="1">
      <formula>AND(NOT(ISERROR(SEARCH("~*~*~*",AP238,1))),SEARCH("~*~*~*",AP238,1)&gt;0)</formula>
    </cfRule>
  </conditionalFormatting>
  <conditionalFormatting sqref="Z238">
    <cfRule type="expression" dxfId="2475" priority="4432" stopIfTrue="1">
      <formula>LEN(Z238)&gt;$AA$3</formula>
    </cfRule>
    <cfRule type="expression" dxfId="2474" priority="4433" stopIfTrue="1">
      <formula>AND(NOT(ISERROR(SEARCH("~*~*~*",Z238,1))),SEARCH("~*~*~*",Z238,1)&gt;0)</formula>
    </cfRule>
  </conditionalFormatting>
  <conditionalFormatting sqref="AN238">
    <cfRule type="expression" dxfId="2473" priority="4434" stopIfTrue="1">
      <formula>LEN(AN238)&gt;#REF!</formula>
    </cfRule>
    <cfRule type="expression" dxfId="2472" priority="4435" stopIfTrue="1">
      <formula>AND(NOT(ISERROR(SEARCH("~*~*~*",AN238,1))),SEARCH("~*~*~*",AN238,1)&gt;0)</formula>
    </cfRule>
  </conditionalFormatting>
  <conditionalFormatting sqref="AO238 AM238">
    <cfRule type="expression" dxfId="2471" priority="4436" stopIfTrue="1">
      <formula>LEN(AM238)&gt;32</formula>
    </cfRule>
    <cfRule type="expression" dxfId="2470" priority="4437" stopIfTrue="1">
      <formula>AND(NOT(ISERROR(SEARCH("~*~*~*",AM238,1))),SEARCH("~*~*~*",AM238,1)&gt;0)</formula>
    </cfRule>
  </conditionalFormatting>
  <conditionalFormatting sqref="AT238">
    <cfRule type="cellIs" dxfId="2469" priority="4438" stopIfTrue="1" operator="greaterThan">
      <formula>1</formula>
    </cfRule>
  </conditionalFormatting>
  <conditionalFormatting sqref="O239:X239">
    <cfRule type="expression" dxfId="2468" priority="4411" stopIfTrue="1">
      <formula>E239&lt;&gt;""</formula>
    </cfRule>
    <cfRule type="expression" dxfId="2467" priority="4412" stopIfTrue="1">
      <formula>E239=""</formula>
    </cfRule>
  </conditionalFormatting>
  <conditionalFormatting sqref="AP239">
    <cfRule type="expression" dxfId="2466" priority="4416" stopIfTrue="1">
      <formula>LEN(AP239)&gt;AR$3</formula>
    </cfRule>
    <cfRule type="expression" dxfId="2465" priority="4417" stopIfTrue="1">
      <formula>AND(NOT(ISERROR(SEARCH("~*~*~*",AP239,1))),SEARCH("~*~*~*",AP239,1)&gt;0)</formula>
    </cfRule>
  </conditionalFormatting>
  <conditionalFormatting sqref="Z239">
    <cfRule type="expression" dxfId="2464" priority="4418" stopIfTrue="1">
      <formula>LEN(Z239)&gt;$AA$3</formula>
    </cfRule>
    <cfRule type="expression" dxfId="2463" priority="4419" stopIfTrue="1">
      <formula>AND(NOT(ISERROR(SEARCH("~*~*~*",Z239,1))),SEARCH("~*~*~*",Z239,1)&gt;0)</formula>
    </cfRule>
  </conditionalFormatting>
  <conditionalFormatting sqref="AN239">
    <cfRule type="expression" dxfId="2462" priority="4420" stopIfTrue="1">
      <formula>LEN(AN239)&gt;#REF!</formula>
    </cfRule>
    <cfRule type="expression" dxfId="2461" priority="4421" stopIfTrue="1">
      <formula>AND(NOT(ISERROR(SEARCH("~*~*~*",AN239,1))),SEARCH("~*~*~*",AN239,1)&gt;0)</formula>
    </cfRule>
  </conditionalFormatting>
  <conditionalFormatting sqref="AO239 AM239">
    <cfRule type="expression" dxfId="2460" priority="4422" stopIfTrue="1">
      <formula>LEN(AM239)&gt;32</formula>
    </cfRule>
    <cfRule type="expression" dxfId="2459" priority="4423" stopIfTrue="1">
      <formula>AND(NOT(ISERROR(SEARCH("~*~*~*",AM239,1))),SEARCH("~*~*~*",AM239,1)&gt;0)</formula>
    </cfRule>
  </conditionalFormatting>
  <conditionalFormatting sqref="AT239">
    <cfRule type="cellIs" dxfId="2458" priority="4424" stopIfTrue="1" operator="greaterThan">
      <formula>1</formula>
    </cfRule>
  </conditionalFormatting>
  <conditionalFormatting sqref="O240:X240">
    <cfRule type="expression" dxfId="2457" priority="4397" stopIfTrue="1">
      <formula>E240&lt;&gt;""</formula>
    </cfRule>
    <cfRule type="expression" dxfId="2456" priority="4398" stopIfTrue="1">
      <formula>E240=""</formula>
    </cfRule>
  </conditionalFormatting>
  <conditionalFormatting sqref="AP240">
    <cfRule type="expression" dxfId="2455" priority="4402" stopIfTrue="1">
      <formula>LEN(AP240)&gt;AR$3</formula>
    </cfRule>
    <cfRule type="expression" dxfId="2454" priority="4403" stopIfTrue="1">
      <formula>AND(NOT(ISERROR(SEARCH("~*~*~*",AP240,1))),SEARCH("~*~*~*",AP240,1)&gt;0)</formula>
    </cfRule>
  </conditionalFormatting>
  <conditionalFormatting sqref="Z240">
    <cfRule type="expression" dxfId="2453" priority="4404" stopIfTrue="1">
      <formula>LEN(Z240)&gt;$AA$3</formula>
    </cfRule>
    <cfRule type="expression" dxfId="2452" priority="4405" stopIfTrue="1">
      <formula>AND(NOT(ISERROR(SEARCH("~*~*~*",Z240,1))),SEARCH("~*~*~*",Z240,1)&gt;0)</formula>
    </cfRule>
  </conditionalFormatting>
  <conditionalFormatting sqref="AN240">
    <cfRule type="expression" dxfId="2451" priority="4406" stopIfTrue="1">
      <formula>LEN(AN240)&gt;#REF!</formula>
    </cfRule>
    <cfRule type="expression" dxfId="2450" priority="4407" stopIfTrue="1">
      <formula>AND(NOT(ISERROR(SEARCH("~*~*~*",AN240,1))),SEARCH("~*~*~*",AN240,1)&gt;0)</formula>
    </cfRule>
  </conditionalFormatting>
  <conditionalFormatting sqref="AO240 AM240">
    <cfRule type="expression" dxfId="2449" priority="4408" stopIfTrue="1">
      <formula>LEN(AM240)&gt;32</formula>
    </cfRule>
    <cfRule type="expression" dxfId="2448" priority="4409" stopIfTrue="1">
      <formula>AND(NOT(ISERROR(SEARCH("~*~*~*",AM240,1))),SEARCH("~*~*~*",AM240,1)&gt;0)</formula>
    </cfRule>
  </conditionalFormatting>
  <conditionalFormatting sqref="AT240">
    <cfRule type="cellIs" dxfId="2447" priority="4410" stopIfTrue="1" operator="greaterThan">
      <formula>1</formula>
    </cfRule>
  </conditionalFormatting>
  <conditionalFormatting sqref="O241:X241">
    <cfRule type="expression" dxfId="2446" priority="4383" stopIfTrue="1">
      <formula>E241&lt;&gt;""</formula>
    </cfRule>
    <cfRule type="expression" dxfId="2445" priority="4384" stopIfTrue="1">
      <formula>E241=""</formula>
    </cfRule>
  </conditionalFormatting>
  <conditionalFormatting sqref="AP241">
    <cfRule type="expression" dxfId="2444" priority="4388" stopIfTrue="1">
      <formula>LEN(AP241)&gt;AR$3</formula>
    </cfRule>
    <cfRule type="expression" dxfId="2443" priority="4389" stopIfTrue="1">
      <formula>AND(NOT(ISERROR(SEARCH("~*~*~*",AP241,1))),SEARCH("~*~*~*",AP241,1)&gt;0)</formula>
    </cfRule>
  </conditionalFormatting>
  <conditionalFormatting sqref="Z241">
    <cfRule type="expression" dxfId="2442" priority="4390" stopIfTrue="1">
      <formula>LEN(Z241)&gt;$AA$3</formula>
    </cfRule>
    <cfRule type="expression" dxfId="2441" priority="4391" stopIfTrue="1">
      <formula>AND(NOT(ISERROR(SEARCH("~*~*~*",Z241,1))),SEARCH("~*~*~*",Z241,1)&gt;0)</formula>
    </cfRule>
  </conditionalFormatting>
  <conditionalFormatting sqref="AN241">
    <cfRule type="expression" dxfId="2440" priority="4392" stopIfTrue="1">
      <formula>LEN(AN241)&gt;#REF!</formula>
    </cfRule>
    <cfRule type="expression" dxfId="2439" priority="4393" stopIfTrue="1">
      <formula>AND(NOT(ISERROR(SEARCH("~*~*~*",AN241,1))),SEARCH("~*~*~*",AN241,1)&gt;0)</formula>
    </cfRule>
  </conditionalFormatting>
  <conditionalFormatting sqref="AO241 AM241">
    <cfRule type="expression" dxfId="2438" priority="4394" stopIfTrue="1">
      <formula>LEN(AM241)&gt;32</formula>
    </cfRule>
    <cfRule type="expression" dxfId="2437" priority="4395" stopIfTrue="1">
      <formula>AND(NOT(ISERROR(SEARCH("~*~*~*",AM241,1))),SEARCH("~*~*~*",AM241,1)&gt;0)</formula>
    </cfRule>
  </conditionalFormatting>
  <conditionalFormatting sqref="AT241">
    <cfRule type="cellIs" dxfId="2436" priority="4396" stopIfTrue="1" operator="greaterThan">
      <formula>1</formula>
    </cfRule>
  </conditionalFormatting>
  <conditionalFormatting sqref="O242:X242">
    <cfRule type="expression" dxfId="2435" priority="4369" stopIfTrue="1">
      <formula>E242&lt;&gt;""</formula>
    </cfRule>
    <cfRule type="expression" dxfId="2434" priority="4370" stopIfTrue="1">
      <formula>E242=""</formula>
    </cfRule>
  </conditionalFormatting>
  <conditionalFormatting sqref="AP242">
    <cfRule type="expression" dxfId="2433" priority="4374" stopIfTrue="1">
      <formula>LEN(AP242)&gt;AR$3</formula>
    </cfRule>
    <cfRule type="expression" dxfId="2432" priority="4375" stopIfTrue="1">
      <formula>AND(NOT(ISERROR(SEARCH("~*~*~*",AP242,1))),SEARCH("~*~*~*",AP242,1)&gt;0)</formula>
    </cfRule>
  </conditionalFormatting>
  <conditionalFormatting sqref="Z242">
    <cfRule type="expression" dxfId="2431" priority="4376" stopIfTrue="1">
      <formula>LEN(Z242)&gt;$AA$3</formula>
    </cfRule>
    <cfRule type="expression" dxfId="2430" priority="4377" stopIfTrue="1">
      <formula>AND(NOT(ISERROR(SEARCH("~*~*~*",Z242,1))),SEARCH("~*~*~*",Z242,1)&gt;0)</formula>
    </cfRule>
  </conditionalFormatting>
  <conditionalFormatting sqref="AN242">
    <cfRule type="expression" dxfId="2429" priority="4378" stopIfTrue="1">
      <formula>LEN(AN242)&gt;#REF!</formula>
    </cfRule>
    <cfRule type="expression" dxfId="2428" priority="4379" stopIfTrue="1">
      <formula>AND(NOT(ISERROR(SEARCH("~*~*~*",AN242,1))),SEARCH("~*~*~*",AN242,1)&gt;0)</formula>
    </cfRule>
  </conditionalFormatting>
  <conditionalFormatting sqref="AO242 AM242">
    <cfRule type="expression" dxfId="2427" priority="4380" stopIfTrue="1">
      <formula>LEN(AM242)&gt;32</formula>
    </cfRule>
    <cfRule type="expression" dxfId="2426" priority="4381" stopIfTrue="1">
      <formula>AND(NOT(ISERROR(SEARCH("~*~*~*",AM242,1))),SEARCH("~*~*~*",AM242,1)&gt;0)</formula>
    </cfRule>
  </conditionalFormatting>
  <conditionalFormatting sqref="AT242">
    <cfRule type="cellIs" dxfId="2425" priority="4382" stopIfTrue="1" operator="greaterThan">
      <formula>1</formula>
    </cfRule>
  </conditionalFormatting>
  <conditionalFormatting sqref="O217:X217">
    <cfRule type="expression" dxfId="2424" priority="4355" stopIfTrue="1">
      <formula>E217&lt;&gt;""</formula>
    </cfRule>
    <cfRule type="expression" dxfId="2423" priority="4356" stopIfTrue="1">
      <formula>E217=""</formula>
    </cfRule>
  </conditionalFormatting>
  <conditionalFormatting sqref="AP217">
    <cfRule type="expression" dxfId="2422" priority="4360" stopIfTrue="1">
      <formula>LEN(AP217)&gt;AR$3</formula>
    </cfRule>
    <cfRule type="expression" dxfId="2421" priority="4361" stopIfTrue="1">
      <formula>AND(NOT(ISERROR(SEARCH("~*~*~*",AP217,1))),SEARCH("~*~*~*",AP217,1)&gt;0)</formula>
    </cfRule>
  </conditionalFormatting>
  <conditionalFormatting sqref="Z217">
    <cfRule type="expression" dxfId="2420" priority="4362" stopIfTrue="1">
      <formula>LEN(Z217)&gt;$AA$3</formula>
    </cfRule>
    <cfRule type="expression" dxfId="2419" priority="4363" stopIfTrue="1">
      <formula>AND(NOT(ISERROR(SEARCH("~*~*~*",Z217,1))),SEARCH("~*~*~*",Z217,1)&gt;0)</formula>
    </cfRule>
  </conditionalFormatting>
  <conditionalFormatting sqref="AN217">
    <cfRule type="expression" dxfId="2418" priority="4364" stopIfTrue="1">
      <formula>LEN(AN217)&gt;#REF!</formula>
    </cfRule>
    <cfRule type="expression" dxfId="2417" priority="4365" stopIfTrue="1">
      <formula>AND(NOT(ISERROR(SEARCH("~*~*~*",AN217,1))),SEARCH("~*~*~*",AN217,1)&gt;0)</formula>
    </cfRule>
  </conditionalFormatting>
  <conditionalFormatting sqref="AO217 AM217">
    <cfRule type="expression" dxfId="2416" priority="4366" stopIfTrue="1">
      <formula>LEN(AM217)&gt;32</formula>
    </cfRule>
    <cfRule type="expression" dxfId="2415" priority="4367" stopIfTrue="1">
      <formula>AND(NOT(ISERROR(SEARCH("~*~*~*",AM217,1))),SEARCH("~*~*~*",AM217,1)&gt;0)</formula>
    </cfRule>
  </conditionalFormatting>
  <conditionalFormatting sqref="AT217">
    <cfRule type="cellIs" dxfId="2414" priority="4368" stopIfTrue="1" operator="greaterThan">
      <formula>1</formula>
    </cfRule>
  </conditionalFormatting>
  <conditionalFormatting sqref="O218:X218">
    <cfRule type="expression" dxfId="2413" priority="4341" stopIfTrue="1">
      <formula>E218&lt;&gt;""</formula>
    </cfRule>
    <cfRule type="expression" dxfId="2412" priority="4342" stopIfTrue="1">
      <formula>E218=""</formula>
    </cfRule>
  </conditionalFormatting>
  <conditionalFormatting sqref="AP218">
    <cfRule type="expression" dxfId="2411" priority="4346" stopIfTrue="1">
      <formula>LEN(AP218)&gt;AR$3</formula>
    </cfRule>
    <cfRule type="expression" dxfId="2410" priority="4347" stopIfTrue="1">
      <formula>AND(NOT(ISERROR(SEARCH("~*~*~*",AP218,1))),SEARCH("~*~*~*",AP218,1)&gt;0)</formula>
    </cfRule>
  </conditionalFormatting>
  <conditionalFormatting sqref="Z218">
    <cfRule type="expression" dxfId="2409" priority="4348" stopIfTrue="1">
      <formula>LEN(Z218)&gt;$AA$3</formula>
    </cfRule>
    <cfRule type="expression" dxfId="2408" priority="4349" stopIfTrue="1">
      <formula>AND(NOT(ISERROR(SEARCH("~*~*~*",Z218,1))),SEARCH("~*~*~*",Z218,1)&gt;0)</formula>
    </cfRule>
  </conditionalFormatting>
  <conditionalFormatting sqref="AN218">
    <cfRule type="expression" dxfId="2407" priority="4350" stopIfTrue="1">
      <formula>LEN(AN218)&gt;#REF!</formula>
    </cfRule>
    <cfRule type="expression" dxfId="2406" priority="4351" stopIfTrue="1">
      <formula>AND(NOT(ISERROR(SEARCH("~*~*~*",AN218,1))),SEARCH("~*~*~*",AN218,1)&gt;0)</formula>
    </cfRule>
  </conditionalFormatting>
  <conditionalFormatting sqref="AO218 AM218">
    <cfRule type="expression" dxfId="2405" priority="4352" stopIfTrue="1">
      <formula>LEN(AM218)&gt;32</formula>
    </cfRule>
    <cfRule type="expression" dxfId="2404" priority="4353" stopIfTrue="1">
      <formula>AND(NOT(ISERROR(SEARCH("~*~*~*",AM218,1))),SEARCH("~*~*~*",AM218,1)&gt;0)</formula>
    </cfRule>
  </conditionalFormatting>
  <conditionalFormatting sqref="AT218">
    <cfRule type="cellIs" dxfId="2403" priority="4354" stopIfTrue="1" operator="greaterThan">
      <formula>1</formula>
    </cfRule>
  </conditionalFormatting>
  <conditionalFormatting sqref="O219:X219">
    <cfRule type="expression" dxfId="2402" priority="4327" stopIfTrue="1">
      <formula>E219&lt;&gt;""</formula>
    </cfRule>
    <cfRule type="expression" dxfId="2401" priority="4328" stopIfTrue="1">
      <formula>E219=""</formula>
    </cfRule>
  </conditionalFormatting>
  <conditionalFormatting sqref="AP219">
    <cfRule type="expression" dxfId="2400" priority="4332" stopIfTrue="1">
      <formula>LEN(AP219)&gt;AR$3</formula>
    </cfRule>
    <cfRule type="expression" dxfId="2399" priority="4333" stopIfTrue="1">
      <formula>AND(NOT(ISERROR(SEARCH("~*~*~*",AP219,1))),SEARCH("~*~*~*",AP219,1)&gt;0)</formula>
    </cfRule>
  </conditionalFormatting>
  <conditionalFormatting sqref="Z219">
    <cfRule type="expression" dxfId="2398" priority="4334" stopIfTrue="1">
      <formula>LEN(Z219)&gt;$AA$3</formula>
    </cfRule>
    <cfRule type="expression" dxfId="2397" priority="4335" stopIfTrue="1">
      <formula>AND(NOT(ISERROR(SEARCH("~*~*~*",Z219,1))),SEARCH("~*~*~*",Z219,1)&gt;0)</formula>
    </cfRule>
  </conditionalFormatting>
  <conditionalFormatting sqref="AN219">
    <cfRule type="expression" dxfId="2396" priority="4336" stopIfTrue="1">
      <formula>LEN(AN219)&gt;#REF!</formula>
    </cfRule>
    <cfRule type="expression" dxfId="2395" priority="4337" stopIfTrue="1">
      <formula>AND(NOT(ISERROR(SEARCH("~*~*~*",AN219,1))),SEARCH("~*~*~*",AN219,1)&gt;0)</formula>
    </cfRule>
  </conditionalFormatting>
  <conditionalFormatting sqref="AO219 AM219">
    <cfRule type="expression" dxfId="2394" priority="4338" stopIfTrue="1">
      <formula>LEN(AM219)&gt;32</formula>
    </cfRule>
    <cfRule type="expression" dxfId="2393" priority="4339" stopIfTrue="1">
      <formula>AND(NOT(ISERROR(SEARCH("~*~*~*",AM219,1))),SEARCH("~*~*~*",AM219,1)&gt;0)</formula>
    </cfRule>
  </conditionalFormatting>
  <conditionalFormatting sqref="AT219">
    <cfRule type="cellIs" dxfId="2392" priority="4340" stopIfTrue="1" operator="greaterThan">
      <formula>1</formula>
    </cfRule>
  </conditionalFormatting>
  <conditionalFormatting sqref="O220:X220">
    <cfRule type="expression" dxfId="2391" priority="4313" stopIfTrue="1">
      <formula>E220&lt;&gt;""</formula>
    </cfRule>
    <cfRule type="expression" dxfId="2390" priority="4314" stopIfTrue="1">
      <formula>E220=""</formula>
    </cfRule>
  </conditionalFormatting>
  <conditionalFormatting sqref="AP220">
    <cfRule type="expression" dxfId="2389" priority="4318" stopIfTrue="1">
      <formula>LEN(AP220)&gt;AR$3</formula>
    </cfRule>
    <cfRule type="expression" dxfId="2388" priority="4319" stopIfTrue="1">
      <formula>AND(NOT(ISERROR(SEARCH("~*~*~*",AP220,1))),SEARCH("~*~*~*",AP220,1)&gt;0)</formula>
    </cfRule>
  </conditionalFormatting>
  <conditionalFormatting sqref="Z220">
    <cfRule type="expression" dxfId="2387" priority="4320" stopIfTrue="1">
      <formula>LEN(Z220)&gt;$AA$3</formula>
    </cfRule>
    <cfRule type="expression" dxfId="2386" priority="4321" stopIfTrue="1">
      <formula>AND(NOT(ISERROR(SEARCH("~*~*~*",Z220,1))),SEARCH("~*~*~*",Z220,1)&gt;0)</formula>
    </cfRule>
  </conditionalFormatting>
  <conditionalFormatting sqref="AN220">
    <cfRule type="expression" dxfId="2385" priority="4322" stopIfTrue="1">
      <formula>LEN(AN220)&gt;#REF!</formula>
    </cfRule>
    <cfRule type="expression" dxfId="2384" priority="4323" stopIfTrue="1">
      <formula>AND(NOT(ISERROR(SEARCH("~*~*~*",AN220,1))),SEARCH("~*~*~*",AN220,1)&gt;0)</formula>
    </cfRule>
  </conditionalFormatting>
  <conditionalFormatting sqref="AO220 AM220">
    <cfRule type="expression" dxfId="2383" priority="4324" stopIfTrue="1">
      <formula>LEN(AM220)&gt;32</formula>
    </cfRule>
    <cfRule type="expression" dxfId="2382" priority="4325" stopIfTrue="1">
      <formula>AND(NOT(ISERROR(SEARCH("~*~*~*",AM220,1))),SEARCH("~*~*~*",AM220,1)&gt;0)</formula>
    </cfRule>
  </conditionalFormatting>
  <conditionalFormatting sqref="AT220">
    <cfRule type="cellIs" dxfId="2381" priority="4326" stopIfTrue="1" operator="greaterThan">
      <formula>1</formula>
    </cfRule>
  </conditionalFormatting>
  <conditionalFormatting sqref="O221:X221">
    <cfRule type="expression" dxfId="2380" priority="4299" stopIfTrue="1">
      <formula>E221&lt;&gt;""</formula>
    </cfRule>
    <cfRule type="expression" dxfId="2379" priority="4300" stopIfTrue="1">
      <formula>E221=""</formula>
    </cfRule>
  </conditionalFormatting>
  <conditionalFormatting sqref="AP221">
    <cfRule type="expression" dxfId="2378" priority="4304" stopIfTrue="1">
      <formula>LEN(AP221)&gt;AR$3</formula>
    </cfRule>
    <cfRule type="expression" dxfId="2377" priority="4305" stopIfTrue="1">
      <formula>AND(NOT(ISERROR(SEARCH("~*~*~*",AP221,1))),SEARCH("~*~*~*",AP221,1)&gt;0)</formula>
    </cfRule>
  </conditionalFormatting>
  <conditionalFormatting sqref="Z221">
    <cfRule type="expression" dxfId="2376" priority="4306" stopIfTrue="1">
      <formula>LEN(Z221)&gt;$AA$3</formula>
    </cfRule>
    <cfRule type="expression" dxfId="2375" priority="4307" stopIfTrue="1">
      <formula>AND(NOT(ISERROR(SEARCH("~*~*~*",Z221,1))),SEARCH("~*~*~*",Z221,1)&gt;0)</formula>
    </cfRule>
  </conditionalFormatting>
  <conditionalFormatting sqref="AN221">
    <cfRule type="expression" dxfId="2374" priority="4308" stopIfTrue="1">
      <formula>LEN(AN221)&gt;#REF!</formula>
    </cfRule>
    <cfRule type="expression" dxfId="2373" priority="4309" stopIfTrue="1">
      <formula>AND(NOT(ISERROR(SEARCH("~*~*~*",AN221,1))),SEARCH("~*~*~*",AN221,1)&gt;0)</formula>
    </cfRule>
  </conditionalFormatting>
  <conditionalFormatting sqref="AO221 AM221">
    <cfRule type="expression" dxfId="2372" priority="4310" stopIfTrue="1">
      <formula>LEN(AM221)&gt;32</formula>
    </cfRule>
    <cfRule type="expression" dxfId="2371" priority="4311" stopIfTrue="1">
      <formula>AND(NOT(ISERROR(SEARCH("~*~*~*",AM221,1))),SEARCH("~*~*~*",AM221,1)&gt;0)</formula>
    </cfRule>
  </conditionalFormatting>
  <conditionalFormatting sqref="AT221">
    <cfRule type="cellIs" dxfId="2370" priority="4312" stopIfTrue="1" operator="greaterThan">
      <formula>1</formula>
    </cfRule>
  </conditionalFormatting>
  <conditionalFormatting sqref="O222:X222">
    <cfRule type="expression" dxfId="2369" priority="4285" stopIfTrue="1">
      <formula>E222&lt;&gt;""</formula>
    </cfRule>
    <cfRule type="expression" dxfId="2368" priority="4286" stopIfTrue="1">
      <formula>E222=""</formula>
    </cfRule>
  </conditionalFormatting>
  <conditionalFormatting sqref="AP222">
    <cfRule type="expression" dxfId="2367" priority="4290" stopIfTrue="1">
      <formula>LEN(AP222)&gt;AR$3</formula>
    </cfRule>
    <cfRule type="expression" dxfId="2366" priority="4291" stopIfTrue="1">
      <formula>AND(NOT(ISERROR(SEARCH("~*~*~*",AP222,1))),SEARCH("~*~*~*",AP222,1)&gt;0)</formula>
    </cfRule>
  </conditionalFormatting>
  <conditionalFormatting sqref="Z222">
    <cfRule type="expression" dxfId="2365" priority="4292" stopIfTrue="1">
      <formula>LEN(Z222)&gt;$AA$3</formula>
    </cfRule>
    <cfRule type="expression" dxfId="2364" priority="4293" stopIfTrue="1">
      <formula>AND(NOT(ISERROR(SEARCH("~*~*~*",Z222,1))),SEARCH("~*~*~*",Z222,1)&gt;0)</formula>
    </cfRule>
  </conditionalFormatting>
  <conditionalFormatting sqref="AN222">
    <cfRule type="expression" dxfId="2363" priority="4294" stopIfTrue="1">
      <formula>LEN(AN222)&gt;#REF!</formula>
    </cfRule>
    <cfRule type="expression" dxfId="2362" priority="4295" stopIfTrue="1">
      <formula>AND(NOT(ISERROR(SEARCH("~*~*~*",AN222,1))),SEARCH("~*~*~*",AN222,1)&gt;0)</formula>
    </cfRule>
  </conditionalFormatting>
  <conditionalFormatting sqref="AO222 AM222">
    <cfRule type="expression" dxfId="2361" priority="4296" stopIfTrue="1">
      <formula>LEN(AM222)&gt;32</formula>
    </cfRule>
    <cfRule type="expression" dxfId="2360" priority="4297" stopIfTrue="1">
      <formula>AND(NOT(ISERROR(SEARCH("~*~*~*",AM222,1))),SEARCH("~*~*~*",AM222,1)&gt;0)</formula>
    </cfRule>
  </conditionalFormatting>
  <conditionalFormatting sqref="AT222">
    <cfRule type="cellIs" dxfId="2359" priority="4298" stopIfTrue="1" operator="greaterThan">
      <formula>1</formula>
    </cfRule>
  </conditionalFormatting>
  <conditionalFormatting sqref="O223:X223">
    <cfRule type="expression" dxfId="2358" priority="4271" stopIfTrue="1">
      <formula>E223&lt;&gt;""</formula>
    </cfRule>
    <cfRule type="expression" dxfId="2357" priority="4272" stopIfTrue="1">
      <formula>E223=""</formula>
    </cfRule>
  </conditionalFormatting>
  <conditionalFormatting sqref="AP223">
    <cfRule type="expression" dxfId="2356" priority="4276" stopIfTrue="1">
      <formula>LEN(AP223)&gt;AR$3</formula>
    </cfRule>
    <cfRule type="expression" dxfId="2355" priority="4277" stopIfTrue="1">
      <formula>AND(NOT(ISERROR(SEARCH("~*~*~*",AP223,1))),SEARCH("~*~*~*",AP223,1)&gt;0)</formula>
    </cfRule>
  </conditionalFormatting>
  <conditionalFormatting sqref="Z223">
    <cfRule type="expression" dxfId="2354" priority="4278" stopIfTrue="1">
      <formula>LEN(Z223)&gt;$AA$3</formula>
    </cfRule>
    <cfRule type="expression" dxfId="2353" priority="4279" stopIfTrue="1">
      <formula>AND(NOT(ISERROR(SEARCH("~*~*~*",Z223,1))),SEARCH("~*~*~*",Z223,1)&gt;0)</formula>
    </cfRule>
  </conditionalFormatting>
  <conditionalFormatting sqref="AN223">
    <cfRule type="expression" dxfId="2352" priority="4280" stopIfTrue="1">
      <formula>LEN(AN223)&gt;#REF!</formula>
    </cfRule>
    <cfRule type="expression" dxfId="2351" priority="4281" stopIfTrue="1">
      <formula>AND(NOT(ISERROR(SEARCH("~*~*~*",AN223,1))),SEARCH("~*~*~*",AN223,1)&gt;0)</formula>
    </cfRule>
  </conditionalFormatting>
  <conditionalFormatting sqref="AO223 AM223">
    <cfRule type="expression" dxfId="2350" priority="4282" stopIfTrue="1">
      <formula>LEN(AM223)&gt;32</formula>
    </cfRule>
    <cfRule type="expression" dxfId="2349" priority="4283" stopIfTrue="1">
      <formula>AND(NOT(ISERROR(SEARCH("~*~*~*",AM223,1))),SEARCH("~*~*~*",AM223,1)&gt;0)</formula>
    </cfRule>
  </conditionalFormatting>
  <conditionalFormatting sqref="AT223">
    <cfRule type="cellIs" dxfId="2348" priority="4284" stopIfTrue="1" operator="greaterThan">
      <formula>1</formula>
    </cfRule>
  </conditionalFormatting>
  <conditionalFormatting sqref="O224:X224">
    <cfRule type="expression" dxfId="2347" priority="4257" stopIfTrue="1">
      <formula>E224&lt;&gt;""</formula>
    </cfRule>
    <cfRule type="expression" dxfId="2346" priority="4258" stopIfTrue="1">
      <formula>E224=""</formula>
    </cfRule>
  </conditionalFormatting>
  <conditionalFormatting sqref="AP224">
    <cfRule type="expression" dxfId="2345" priority="4262" stopIfTrue="1">
      <formula>LEN(AP224)&gt;AR$3</formula>
    </cfRule>
    <cfRule type="expression" dxfId="2344" priority="4263" stopIfTrue="1">
      <formula>AND(NOT(ISERROR(SEARCH("~*~*~*",AP224,1))),SEARCH("~*~*~*",AP224,1)&gt;0)</formula>
    </cfRule>
  </conditionalFormatting>
  <conditionalFormatting sqref="Z224">
    <cfRule type="expression" dxfId="2343" priority="4264" stopIfTrue="1">
      <formula>LEN(Z224)&gt;$AA$3</formula>
    </cfRule>
    <cfRule type="expression" dxfId="2342" priority="4265" stopIfTrue="1">
      <formula>AND(NOT(ISERROR(SEARCH("~*~*~*",Z224,1))),SEARCH("~*~*~*",Z224,1)&gt;0)</formula>
    </cfRule>
  </conditionalFormatting>
  <conditionalFormatting sqref="AN224">
    <cfRule type="expression" dxfId="2341" priority="4266" stopIfTrue="1">
      <formula>LEN(AN224)&gt;#REF!</formula>
    </cfRule>
    <cfRule type="expression" dxfId="2340" priority="4267" stopIfTrue="1">
      <formula>AND(NOT(ISERROR(SEARCH("~*~*~*",AN224,1))),SEARCH("~*~*~*",AN224,1)&gt;0)</formula>
    </cfRule>
  </conditionalFormatting>
  <conditionalFormatting sqref="AO224 AM224">
    <cfRule type="expression" dxfId="2339" priority="4268" stopIfTrue="1">
      <formula>LEN(AM224)&gt;32</formula>
    </cfRule>
    <cfRule type="expression" dxfId="2338" priority="4269" stopIfTrue="1">
      <formula>AND(NOT(ISERROR(SEARCH("~*~*~*",AM224,1))),SEARCH("~*~*~*",AM224,1)&gt;0)</formula>
    </cfRule>
  </conditionalFormatting>
  <conditionalFormatting sqref="AT224">
    <cfRule type="cellIs" dxfId="2337" priority="4270" stopIfTrue="1" operator="greaterThan">
      <formula>1</formula>
    </cfRule>
  </conditionalFormatting>
  <conditionalFormatting sqref="O225:X225">
    <cfRule type="expression" dxfId="2336" priority="4243" stopIfTrue="1">
      <formula>E225&lt;&gt;""</formula>
    </cfRule>
    <cfRule type="expression" dxfId="2335" priority="4244" stopIfTrue="1">
      <formula>E225=""</formula>
    </cfRule>
  </conditionalFormatting>
  <conditionalFormatting sqref="AP225">
    <cfRule type="expression" dxfId="2334" priority="4248" stopIfTrue="1">
      <formula>LEN(AP225)&gt;AR$3</formula>
    </cfRule>
    <cfRule type="expression" dxfId="2333" priority="4249" stopIfTrue="1">
      <formula>AND(NOT(ISERROR(SEARCH("~*~*~*",AP225,1))),SEARCH("~*~*~*",AP225,1)&gt;0)</formula>
    </cfRule>
  </conditionalFormatting>
  <conditionalFormatting sqref="Z225">
    <cfRule type="expression" dxfId="2332" priority="4250" stopIfTrue="1">
      <formula>LEN(Z225)&gt;$AA$3</formula>
    </cfRule>
    <cfRule type="expression" dxfId="2331" priority="4251" stopIfTrue="1">
      <formula>AND(NOT(ISERROR(SEARCH("~*~*~*",Z225,1))),SEARCH("~*~*~*",Z225,1)&gt;0)</formula>
    </cfRule>
  </conditionalFormatting>
  <conditionalFormatting sqref="AN225">
    <cfRule type="expression" dxfId="2330" priority="4252" stopIfTrue="1">
      <formula>LEN(AN225)&gt;#REF!</formula>
    </cfRule>
    <cfRule type="expression" dxfId="2329" priority="4253" stopIfTrue="1">
      <formula>AND(NOT(ISERROR(SEARCH("~*~*~*",AN225,1))),SEARCH("~*~*~*",AN225,1)&gt;0)</formula>
    </cfRule>
  </conditionalFormatting>
  <conditionalFormatting sqref="AO225 AM225">
    <cfRule type="expression" dxfId="2328" priority="4254" stopIfTrue="1">
      <formula>LEN(AM225)&gt;32</formula>
    </cfRule>
    <cfRule type="expression" dxfId="2327" priority="4255" stopIfTrue="1">
      <formula>AND(NOT(ISERROR(SEARCH("~*~*~*",AM225,1))),SEARCH("~*~*~*",AM225,1)&gt;0)</formula>
    </cfRule>
  </conditionalFormatting>
  <conditionalFormatting sqref="AT225">
    <cfRule type="cellIs" dxfId="2326" priority="4256" stopIfTrue="1" operator="greaterThan">
      <formula>1</formula>
    </cfRule>
  </conditionalFormatting>
  <conditionalFormatting sqref="O226:X226">
    <cfRule type="expression" dxfId="2325" priority="4229" stopIfTrue="1">
      <formula>E226&lt;&gt;""</formula>
    </cfRule>
    <cfRule type="expression" dxfId="2324" priority="4230" stopIfTrue="1">
      <formula>E226=""</formula>
    </cfRule>
  </conditionalFormatting>
  <conditionalFormatting sqref="AP226">
    <cfRule type="expression" dxfId="2323" priority="4234" stopIfTrue="1">
      <formula>LEN(AP226)&gt;AR$3</formula>
    </cfRule>
    <cfRule type="expression" dxfId="2322" priority="4235" stopIfTrue="1">
      <formula>AND(NOT(ISERROR(SEARCH("~*~*~*",AP226,1))),SEARCH("~*~*~*",AP226,1)&gt;0)</formula>
    </cfRule>
  </conditionalFormatting>
  <conditionalFormatting sqref="Z226">
    <cfRule type="expression" dxfId="2321" priority="4236" stopIfTrue="1">
      <formula>LEN(Z226)&gt;$AA$3</formula>
    </cfRule>
    <cfRule type="expression" dxfId="2320" priority="4237" stopIfTrue="1">
      <formula>AND(NOT(ISERROR(SEARCH("~*~*~*",Z226,1))),SEARCH("~*~*~*",Z226,1)&gt;0)</formula>
    </cfRule>
  </conditionalFormatting>
  <conditionalFormatting sqref="AN226">
    <cfRule type="expression" dxfId="2319" priority="4238" stopIfTrue="1">
      <formula>LEN(AN226)&gt;#REF!</formula>
    </cfRule>
    <cfRule type="expression" dxfId="2318" priority="4239" stopIfTrue="1">
      <formula>AND(NOT(ISERROR(SEARCH("~*~*~*",AN226,1))),SEARCH("~*~*~*",AN226,1)&gt;0)</formula>
    </cfRule>
  </conditionalFormatting>
  <conditionalFormatting sqref="AO226 AM226">
    <cfRule type="expression" dxfId="2317" priority="4240" stopIfTrue="1">
      <formula>LEN(AM226)&gt;32</formula>
    </cfRule>
    <cfRule type="expression" dxfId="2316" priority="4241" stopIfTrue="1">
      <formula>AND(NOT(ISERROR(SEARCH("~*~*~*",AM226,1))),SEARCH("~*~*~*",AM226,1)&gt;0)</formula>
    </cfRule>
  </conditionalFormatting>
  <conditionalFormatting sqref="AT226">
    <cfRule type="cellIs" dxfId="2315" priority="4242" stopIfTrue="1" operator="greaterThan">
      <formula>1</formula>
    </cfRule>
  </conditionalFormatting>
  <conditionalFormatting sqref="O227:X227">
    <cfRule type="expression" dxfId="2314" priority="4215" stopIfTrue="1">
      <formula>E227&lt;&gt;""</formula>
    </cfRule>
    <cfRule type="expression" dxfId="2313" priority="4216" stopIfTrue="1">
      <formula>E227=""</formula>
    </cfRule>
  </conditionalFormatting>
  <conditionalFormatting sqref="AP227">
    <cfRule type="expression" dxfId="2312" priority="4220" stopIfTrue="1">
      <formula>LEN(AP227)&gt;AR$3</formula>
    </cfRule>
    <cfRule type="expression" dxfId="2311" priority="4221" stopIfTrue="1">
      <formula>AND(NOT(ISERROR(SEARCH("~*~*~*",AP227,1))),SEARCH("~*~*~*",AP227,1)&gt;0)</formula>
    </cfRule>
  </conditionalFormatting>
  <conditionalFormatting sqref="Z227">
    <cfRule type="expression" dxfId="2310" priority="4222" stopIfTrue="1">
      <formula>LEN(Z227)&gt;$AA$3</formula>
    </cfRule>
    <cfRule type="expression" dxfId="2309" priority="4223" stopIfTrue="1">
      <formula>AND(NOT(ISERROR(SEARCH("~*~*~*",Z227,1))),SEARCH("~*~*~*",Z227,1)&gt;0)</formula>
    </cfRule>
  </conditionalFormatting>
  <conditionalFormatting sqref="AN227">
    <cfRule type="expression" dxfId="2308" priority="4224" stopIfTrue="1">
      <formula>LEN(AN227)&gt;#REF!</formula>
    </cfRule>
    <cfRule type="expression" dxfId="2307" priority="4225" stopIfTrue="1">
      <formula>AND(NOT(ISERROR(SEARCH("~*~*~*",AN227,1))),SEARCH("~*~*~*",AN227,1)&gt;0)</formula>
    </cfRule>
  </conditionalFormatting>
  <conditionalFormatting sqref="AO227 AM227">
    <cfRule type="expression" dxfId="2306" priority="4226" stopIfTrue="1">
      <formula>LEN(AM227)&gt;32</formula>
    </cfRule>
    <cfRule type="expression" dxfId="2305" priority="4227" stopIfTrue="1">
      <formula>AND(NOT(ISERROR(SEARCH("~*~*~*",AM227,1))),SEARCH("~*~*~*",AM227,1)&gt;0)</formula>
    </cfRule>
  </conditionalFormatting>
  <conditionalFormatting sqref="AT227">
    <cfRule type="cellIs" dxfId="2304" priority="4228" stopIfTrue="1" operator="greaterThan">
      <formula>1</formula>
    </cfRule>
  </conditionalFormatting>
  <conditionalFormatting sqref="O228:X228">
    <cfRule type="expression" dxfId="2303" priority="4201" stopIfTrue="1">
      <formula>E228&lt;&gt;""</formula>
    </cfRule>
    <cfRule type="expression" dxfId="2302" priority="4202" stopIfTrue="1">
      <formula>E228=""</formula>
    </cfRule>
  </conditionalFormatting>
  <conditionalFormatting sqref="AP228">
    <cfRule type="expression" dxfId="2301" priority="4206" stopIfTrue="1">
      <formula>LEN(AP228)&gt;AR$3</formula>
    </cfRule>
    <cfRule type="expression" dxfId="2300" priority="4207" stopIfTrue="1">
      <formula>AND(NOT(ISERROR(SEARCH("~*~*~*",AP228,1))),SEARCH("~*~*~*",AP228,1)&gt;0)</formula>
    </cfRule>
  </conditionalFormatting>
  <conditionalFormatting sqref="Z228">
    <cfRule type="expression" dxfId="2299" priority="4208" stopIfTrue="1">
      <formula>LEN(Z228)&gt;$AA$3</formula>
    </cfRule>
    <cfRule type="expression" dxfId="2298" priority="4209" stopIfTrue="1">
      <formula>AND(NOT(ISERROR(SEARCH("~*~*~*",Z228,1))),SEARCH("~*~*~*",Z228,1)&gt;0)</formula>
    </cfRule>
  </conditionalFormatting>
  <conditionalFormatting sqref="AN228">
    <cfRule type="expression" dxfId="2297" priority="4210" stopIfTrue="1">
      <formula>LEN(AN228)&gt;#REF!</formula>
    </cfRule>
    <cfRule type="expression" dxfId="2296" priority="4211" stopIfTrue="1">
      <formula>AND(NOT(ISERROR(SEARCH("~*~*~*",AN228,1))),SEARCH("~*~*~*",AN228,1)&gt;0)</formula>
    </cfRule>
  </conditionalFormatting>
  <conditionalFormatting sqref="AO228 AM228">
    <cfRule type="expression" dxfId="2295" priority="4212" stopIfTrue="1">
      <formula>LEN(AM228)&gt;32</formula>
    </cfRule>
    <cfRule type="expression" dxfId="2294" priority="4213" stopIfTrue="1">
      <formula>AND(NOT(ISERROR(SEARCH("~*~*~*",AM228,1))),SEARCH("~*~*~*",AM228,1)&gt;0)</formula>
    </cfRule>
  </conditionalFormatting>
  <conditionalFormatting sqref="AT228">
    <cfRule type="cellIs" dxfId="2293" priority="4214" stopIfTrue="1" operator="greaterThan">
      <formula>1</formula>
    </cfRule>
  </conditionalFormatting>
  <conditionalFormatting sqref="O229:X229">
    <cfRule type="expression" dxfId="2292" priority="4187" stopIfTrue="1">
      <formula>E229&lt;&gt;""</formula>
    </cfRule>
    <cfRule type="expression" dxfId="2291" priority="4188" stopIfTrue="1">
      <formula>E229=""</formula>
    </cfRule>
  </conditionalFormatting>
  <conditionalFormatting sqref="AP229">
    <cfRule type="expression" dxfId="2290" priority="4192" stopIfTrue="1">
      <formula>LEN(AP229)&gt;AR$3</formula>
    </cfRule>
    <cfRule type="expression" dxfId="2289" priority="4193" stopIfTrue="1">
      <formula>AND(NOT(ISERROR(SEARCH("~*~*~*",AP229,1))),SEARCH("~*~*~*",AP229,1)&gt;0)</formula>
    </cfRule>
  </conditionalFormatting>
  <conditionalFormatting sqref="Z229">
    <cfRule type="expression" dxfId="2288" priority="4194" stopIfTrue="1">
      <formula>LEN(Z229)&gt;$AA$3</formula>
    </cfRule>
    <cfRule type="expression" dxfId="2287" priority="4195" stopIfTrue="1">
      <formula>AND(NOT(ISERROR(SEARCH("~*~*~*",Z229,1))),SEARCH("~*~*~*",Z229,1)&gt;0)</formula>
    </cfRule>
  </conditionalFormatting>
  <conditionalFormatting sqref="AN229">
    <cfRule type="expression" dxfId="2286" priority="4196" stopIfTrue="1">
      <formula>LEN(AN229)&gt;#REF!</formula>
    </cfRule>
    <cfRule type="expression" dxfId="2285" priority="4197" stopIfTrue="1">
      <formula>AND(NOT(ISERROR(SEARCH("~*~*~*",AN229,1))),SEARCH("~*~*~*",AN229,1)&gt;0)</formula>
    </cfRule>
  </conditionalFormatting>
  <conditionalFormatting sqref="AO229 AM229">
    <cfRule type="expression" dxfId="2284" priority="4198" stopIfTrue="1">
      <formula>LEN(AM229)&gt;32</formula>
    </cfRule>
    <cfRule type="expression" dxfId="2283" priority="4199" stopIfTrue="1">
      <formula>AND(NOT(ISERROR(SEARCH("~*~*~*",AM229,1))),SEARCH("~*~*~*",AM229,1)&gt;0)</formula>
    </cfRule>
  </conditionalFormatting>
  <conditionalFormatting sqref="AT229">
    <cfRule type="cellIs" dxfId="2282" priority="4200" stopIfTrue="1" operator="greaterThan">
      <formula>1</formula>
    </cfRule>
  </conditionalFormatting>
  <conditionalFormatting sqref="O204:X204">
    <cfRule type="expression" dxfId="2281" priority="4173" stopIfTrue="1">
      <formula>E204&lt;&gt;""</formula>
    </cfRule>
    <cfRule type="expression" dxfId="2280" priority="4174" stopIfTrue="1">
      <formula>E204=""</formula>
    </cfRule>
  </conditionalFormatting>
  <conditionalFormatting sqref="AP204">
    <cfRule type="expression" dxfId="2279" priority="4178" stopIfTrue="1">
      <formula>LEN(AP204)&gt;AR$3</formula>
    </cfRule>
    <cfRule type="expression" dxfId="2278" priority="4179" stopIfTrue="1">
      <formula>AND(NOT(ISERROR(SEARCH("~*~*~*",AP204,1))),SEARCH("~*~*~*",AP204,1)&gt;0)</formula>
    </cfRule>
  </conditionalFormatting>
  <conditionalFormatting sqref="Z204">
    <cfRule type="expression" dxfId="2277" priority="4180" stopIfTrue="1">
      <formula>LEN(Z204)&gt;$AA$3</formula>
    </cfRule>
    <cfRule type="expression" dxfId="2276" priority="4181" stopIfTrue="1">
      <formula>AND(NOT(ISERROR(SEARCH("~*~*~*",Z204,1))),SEARCH("~*~*~*",Z204,1)&gt;0)</formula>
    </cfRule>
  </conditionalFormatting>
  <conditionalFormatting sqref="AN204">
    <cfRule type="expression" dxfId="2275" priority="4182" stopIfTrue="1">
      <formula>LEN(AN204)&gt;#REF!</formula>
    </cfRule>
    <cfRule type="expression" dxfId="2274" priority="4183" stopIfTrue="1">
      <formula>AND(NOT(ISERROR(SEARCH("~*~*~*",AN204,1))),SEARCH("~*~*~*",AN204,1)&gt;0)</formula>
    </cfRule>
  </conditionalFormatting>
  <conditionalFormatting sqref="AO204 AM204">
    <cfRule type="expression" dxfId="2273" priority="4184" stopIfTrue="1">
      <formula>LEN(AM204)&gt;32</formula>
    </cfRule>
    <cfRule type="expression" dxfId="2272" priority="4185" stopIfTrue="1">
      <formula>AND(NOT(ISERROR(SEARCH("~*~*~*",AM204,1))),SEARCH("~*~*~*",AM204,1)&gt;0)</formula>
    </cfRule>
  </conditionalFormatting>
  <conditionalFormatting sqref="AT204">
    <cfRule type="cellIs" dxfId="2271" priority="4186" stopIfTrue="1" operator="greaterThan">
      <formula>1</formula>
    </cfRule>
  </conditionalFormatting>
  <conditionalFormatting sqref="O205:X205">
    <cfRule type="expression" dxfId="2270" priority="4159" stopIfTrue="1">
      <formula>E205&lt;&gt;""</formula>
    </cfRule>
    <cfRule type="expression" dxfId="2269" priority="4160" stopIfTrue="1">
      <formula>E205=""</formula>
    </cfRule>
  </conditionalFormatting>
  <conditionalFormatting sqref="AP205">
    <cfRule type="expression" dxfId="2268" priority="4164" stopIfTrue="1">
      <formula>LEN(AP205)&gt;AR$3</formula>
    </cfRule>
    <cfRule type="expression" dxfId="2267" priority="4165" stopIfTrue="1">
      <formula>AND(NOT(ISERROR(SEARCH("~*~*~*",AP205,1))),SEARCH("~*~*~*",AP205,1)&gt;0)</formula>
    </cfRule>
  </conditionalFormatting>
  <conditionalFormatting sqref="Z205">
    <cfRule type="expression" dxfId="2266" priority="4166" stopIfTrue="1">
      <formula>LEN(Z205)&gt;$AA$3</formula>
    </cfRule>
    <cfRule type="expression" dxfId="2265" priority="4167" stopIfTrue="1">
      <formula>AND(NOT(ISERROR(SEARCH("~*~*~*",Z205,1))),SEARCH("~*~*~*",Z205,1)&gt;0)</formula>
    </cfRule>
  </conditionalFormatting>
  <conditionalFormatting sqref="AN205">
    <cfRule type="expression" dxfId="2264" priority="4168" stopIfTrue="1">
      <formula>LEN(AN205)&gt;#REF!</formula>
    </cfRule>
    <cfRule type="expression" dxfId="2263" priority="4169" stopIfTrue="1">
      <formula>AND(NOT(ISERROR(SEARCH("~*~*~*",AN205,1))),SEARCH("~*~*~*",AN205,1)&gt;0)</formula>
    </cfRule>
  </conditionalFormatting>
  <conditionalFormatting sqref="AO205 AM205">
    <cfRule type="expression" dxfId="2262" priority="4170" stopIfTrue="1">
      <formula>LEN(AM205)&gt;32</formula>
    </cfRule>
    <cfRule type="expression" dxfId="2261" priority="4171" stopIfTrue="1">
      <formula>AND(NOT(ISERROR(SEARCH("~*~*~*",AM205,1))),SEARCH("~*~*~*",AM205,1)&gt;0)</formula>
    </cfRule>
  </conditionalFormatting>
  <conditionalFormatting sqref="AT205">
    <cfRule type="cellIs" dxfId="2260" priority="4172" stopIfTrue="1" operator="greaterThan">
      <formula>1</formula>
    </cfRule>
  </conditionalFormatting>
  <conditionalFormatting sqref="O206:X206">
    <cfRule type="expression" dxfId="2259" priority="4145" stopIfTrue="1">
      <formula>E206&lt;&gt;""</formula>
    </cfRule>
    <cfRule type="expression" dxfId="2258" priority="4146" stopIfTrue="1">
      <formula>E206=""</formula>
    </cfRule>
  </conditionalFormatting>
  <conditionalFormatting sqref="AP206">
    <cfRule type="expression" dxfId="2257" priority="4150" stopIfTrue="1">
      <formula>LEN(AP206)&gt;AR$3</formula>
    </cfRule>
    <cfRule type="expression" dxfId="2256" priority="4151" stopIfTrue="1">
      <formula>AND(NOT(ISERROR(SEARCH("~*~*~*",AP206,1))),SEARCH("~*~*~*",AP206,1)&gt;0)</formula>
    </cfRule>
  </conditionalFormatting>
  <conditionalFormatting sqref="Z206">
    <cfRule type="expression" dxfId="2255" priority="4152" stopIfTrue="1">
      <formula>LEN(Z206)&gt;$AA$3</formula>
    </cfRule>
    <cfRule type="expression" dxfId="2254" priority="4153" stopIfTrue="1">
      <formula>AND(NOT(ISERROR(SEARCH("~*~*~*",Z206,1))),SEARCH("~*~*~*",Z206,1)&gt;0)</formula>
    </cfRule>
  </conditionalFormatting>
  <conditionalFormatting sqref="AN206">
    <cfRule type="expression" dxfId="2253" priority="4154" stopIfTrue="1">
      <formula>LEN(AN206)&gt;#REF!</formula>
    </cfRule>
    <cfRule type="expression" dxfId="2252" priority="4155" stopIfTrue="1">
      <formula>AND(NOT(ISERROR(SEARCH("~*~*~*",AN206,1))),SEARCH("~*~*~*",AN206,1)&gt;0)</formula>
    </cfRule>
  </conditionalFormatting>
  <conditionalFormatting sqref="AO206 AM206">
    <cfRule type="expression" dxfId="2251" priority="4156" stopIfTrue="1">
      <formula>LEN(AM206)&gt;32</formula>
    </cfRule>
    <cfRule type="expression" dxfId="2250" priority="4157" stopIfTrue="1">
      <formula>AND(NOT(ISERROR(SEARCH("~*~*~*",AM206,1))),SEARCH("~*~*~*",AM206,1)&gt;0)</formula>
    </cfRule>
  </conditionalFormatting>
  <conditionalFormatting sqref="AT206">
    <cfRule type="cellIs" dxfId="2249" priority="4158" stopIfTrue="1" operator="greaterThan">
      <formula>1</formula>
    </cfRule>
  </conditionalFormatting>
  <conditionalFormatting sqref="O207:X207">
    <cfRule type="expression" dxfId="2248" priority="4131" stopIfTrue="1">
      <formula>E207&lt;&gt;""</formula>
    </cfRule>
    <cfRule type="expression" dxfId="2247" priority="4132" stopIfTrue="1">
      <formula>E207=""</formula>
    </cfRule>
  </conditionalFormatting>
  <conditionalFormatting sqref="AP207">
    <cfRule type="expression" dxfId="2246" priority="4136" stopIfTrue="1">
      <formula>LEN(AP207)&gt;AR$3</formula>
    </cfRule>
    <cfRule type="expression" dxfId="2245" priority="4137" stopIfTrue="1">
      <formula>AND(NOT(ISERROR(SEARCH("~*~*~*",AP207,1))),SEARCH("~*~*~*",AP207,1)&gt;0)</formula>
    </cfRule>
  </conditionalFormatting>
  <conditionalFormatting sqref="Z207">
    <cfRule type="expression" dxfId="2244" priority="4138" stopIfTrue="1">
      <formula>LEN(Z207)&gt;$AA$3</formula>
    </cfRule>
    <cfRule type="expression" dxfId="2243" priority="4139" stopIfTrue="1">
      <formula>AND(NOT(ISERROR(SEARCH("~*~*~*",Z207,1))),SEARCH("~*~*~*",Z207,1)&gt;0)</formula>
    </cfRule>
  </conditionalFormatting>
  <conditionalFormatting sqref="AN207">
    <cfRule type="expression" dxfId="2242" priority="4140" stopIfTrue="1">
      <formula>LEN(AN207)&gt;#REF!</formula>
    </cfRule>
    <cfRule type="expression" dxfId="2241" priority="4141" stopIfTrue="1">
      <formula>AND(NOT(ISERROR(SEARCH("~*~*~*",AN207,1))),SEARCH("~*~*~*",AN207,1)&gt;0)</formula>
    </cfRule>
  </conditionalFormatting>
  <conditionalFormatting sqref="AO207 AM207">
    <cfRule type="expression" dxfId="2240" priority="4142" stopIfTrue="1">
      <formula>LEN(AM207)&gt;32</formula>
    </cfRule>
    <cfRule type="expression" dxfId="2239" priority="4143" stopIfTrue="1">
      <formula>AND(NOT(ISERROR(SEARCH("~*~*~*",AM207,1))),SEARCH("~*~*~*",AM207,1)&gt;0)</formula>
    </cfRule>
  </conditionalFormatting>
  <conditionalFormatting sqref="AT207">
    <cfRule type="cellIs" dxfId="2238" priority="4144" stopIfTrue="1" operator="greaterThan">
      <formula>1</formula>
    </cfRule>
  </conditionalFormatting>
  <conditionalFormatting sqref="O208:X208">
    <cfRule type="expression" dxfId="2237" priority="4117" stopIfTrue="1">
      <formula>E208&lt;&gt;""</formula>
    </cfRule>
    <cfRule type="expression" dxfId="2236" priority="4118" stopIfTrue="1">
      <formula>E208=""</formula>
    </cfRule>
  </conditionalFormatting>
  <conditionalFormatting sqref="AP208">
    <cfRule type="expression" dxfId="2235" priority="4122" stopIfTrue="1">
      <formula>LEN(AP208)&gt;AR$3</formula>
    </cfRule>
    <cfRule type="expression" dxfId="2234" priority="4123" stopIfTrue="1">
      <formula>AND(NOT(ISERROR(SEARCH("~*~*~*",AP208,1))),SEARCH("~*~*~*",AP208,1)&gt;0)</formula>
    </cfRule>
  </conditionalFormatting>
  <conditionalFormatting sqref="Z208">
    <cfRule type="expression" dxfId="2233" priority="4124" stopIfTrue="1">
      <formula>LEN(Z208)&gt;$AA$3</formula>
    </cfRule>
    <cfRule type="expression" dxfId="2232" priority="4125" stopIfTrue="1">
      <formula>AND(NOT(ISERROR(SEARCH("~*~*~*",Z208,1))),SEARCH("~*~*~*",Z208,1)&gt;0)</formula>
    </cfRule>
  </conditionalFormatting>
  <conditionalFormatting sqref="AN208">
    <cfRule type="expression" dxfId="2231" priority="4126" stopIfTrue="1">
      <formula>LEN(AN208)&gt;#REF!</formula>
    </cfRule>
    <cfRule type="expression" dxfId="2230" priority="4127" stopIfTrue="1">
      <formula>AND(NOT(ISERROR(SEARCH("~*~*~*",AN208,1))),SEARCH("~*~*~*",AN208,1)&gt;0)</formula>
    </cfRule>
  </conditionalFormatting>
  <conditionalFormatting sqref="AO208 AM208">
    <cfRule type="expression" dxfId="2229" priority="4128" stopIfTrue="1">
      <formula>LEN(AM208)&gt;32</formula>
    </cfRule>
    <cfRule type="expression" dxfId="2228" priority="4129" stopIfTrue="1">
      <formula>AND(NOT(ISERROR(SEARCH("~*~*~*",AM208,1))),SEARCH("~*~*~*",AM208,1)&gt;0)</formula>
    </cfRule>
  </conditionalFormatting>
  <conditionalFormatting sqref="AT208">
    <cfRule type="cellIs" dxfId="2227" priority="4130" stopIfTrue="1" operator="greaterThan">
      <formula>1</formula>
    </cfRule>
  </conditionalFormatting>
  <conditionalFormatting sqref="O209:X209">
    <cfRule type="expression" dxfId="2226" priority="4103" stopIfTrue="1">
      <formula>E209&lt;&gt;""</formula>
    </cfRule>
    <cfRule type="expression" dxfId="2225" priority="4104" stopIfTrue="1">
      <formula>E209=""</formula>
    </cfRule>
  </conditionalFormatting>
  <conditionalFormatting sqref="AP209">
    <cfRule type="expression" dxfId="2224" priority="4108" stopIfTrue="1">
      <formula>LEN(AP209)&gt;AR$3</formula>
    </cfRule>
    <cfRule type="expression" dxfId="2223" priority="4109" stopIfTrue="1">
      <formula>AND(NOT(ISERROR(SEARCH("~*~*~*",AP209,1))),SEARCH("~*~*~*",AP209,1)&gt;0)</formula>
    </cfRule>
  </conditionalFormatting>
  <conditionalFormatting sqref="Z209">
    <cfRule type="expression" dxfId="2222" priority="4110" stopIfTrue="1">
      <formula>LEN(Z209)&gt;$AA$3</formula>
    </cfRule>
    <cfRule type="expression" dxfId="2221" priority="4111" stopIfTrue="1">
      <formula>AND(NOT(ISERROR(SEARCH("~*~*~*",Z209,1))),SEARCH("~*~*~*",Z209,1)&gt;0)</formula>
    </cfRule>
  </conditionalFormatting>
  <conditionalFormatting sqref="AN209">
    <cfRule type="expression" dxfId="2220" priority="4112" stopIfTrue="1">
      <formula>LEN(AN209)&gt;#REF!</formula>
    </cfRule>
    <cfRule type="expression" dxfId="2219" priority="4113" stopIfTrue="1">
      <formula>AND(NOT(ISERROR(SEARCH("~*~*~*",AN209,1))),SEARCH("~*~*~*",AN209,1)&gt;0)</formula>
    </cfRule>
  </conditionalFormatting>
  <conditionalFormatting sqref="AO209 AM209">
    <cfRule type="expression" dxfId="2218" priority="4114" stopIfTrue="1">
      <formula>LEN(AM209)&gt;32</formula>
    </cfRule>
    <cfRule type="expression" dxfId="2217" priority="4115" stopIfTrue="1">
      <formula>AND(NOT(ISERROR(SEARCH("~*~*~*",AM209,1))),SEARCH("~*~*~*",AM209,1)&gt;0)</formula>
    </cfRule>
  </conditionalFormatting>
  <conditionalFormatting sqref="AT209">
    <cfRule type="cellIs" dxfId="2216" priority="4116" stopIfTrue="1" operator="greaterThan">
      <formula>1</formula>
    </cfRule>
  </conditionalFormatting>
  <conditionalFormatting sqref="O210:X210">
    <cfRule type="expression" dxfId="2215" priority="4089" stopIfTrue="1">
      <formula>E210&lt;&gt;""</formula>
    </cfRule>
    <cfRule type="expression" dxfId="2214" priority="4090" stopIfTrue="1">
      <formula>E210=""</formula>
    </cfRule>
  </conditionalFormatting>
  <conditionalFormatting sqref="AP210">
    <cfRule type="expression" dxfId="2213" priority="4094" stopIfTrue="1">
      <formula>LEN(AP210)&gt;AR$3</formula>
    </cfRule>
    <cfRule type="expression" dxfId="2212" priority="4095" stopIfTrue="1">
      <formula>AND(NOT(ISERROR(SEARCH("~*~*~*",AP210,1))),SEARCH("~*~*~*",AP210,1)&gt;0)</formula>
    </cfRule>
  </conditionalFormatting>
  <conditionalFormatting sqref="Z210">
    <cfRule type="expression" dxfId="2211" priority="4096" stopIfTrue="1">
      <formula>LEN(Z210)&gt;$AA$3</formula>
    </cfRule>
    <cfRule type="expression" dxfId="2210" priority="4097" stopIfTrue="1">
      <formula>AND(NOT(ISERROR(SEARCH("~*~*~*",Z210,1))),SEARCH("~*~*~*",Z210,1)&gt;0)</formula>
    </cfRule>
  </conditionalFormatting>
  <conditionalFormatting sqref="AN210">
    <cfRule type="expression" dxfId="2209" priority="4098" stopIfTrue="1">
      <formula>LEN(AN210)&gt;#REF!</formula>
    </cfRule>
    <cfRule type="expression" dxfId="2208" priority="4099" stopIfTrue="1">
      <formula>AND(NOT(ISERROR(SEARCH("~*~*~*",AN210,1))),SEARCH("~*~*~*",AN210,1)&gt;0)</formula>
    </cfRule>
  </conditionalFormatting>
  <conditionalFormatting sqref="AO210 AM210">
    <cfRule type="expression" dxfId="2207" priority="4100" stopIfTrue="1">
      <formula>LEN(AM210)&gt;32</formula>
    </cfRule>
    <cfRule type="expression" dxfId="2206" priority="4101" stopIfTrue="1">
      <formula>AND(NOT(ISERROR(SEARCH("~*~*~*",AM210,1))),SEARCH("~*~*~*",AM210,1)&gt;0)</formula>
    </cfRule>
  </conditionalFormatting>
  <conditionalFormatting sqref="AT210">
    <cfRule type="cellIs" dxfId="2205" priority="4102" stopIfTrue="1" operator="greaterThan">
      <formula>1</formula>
    </cfRule>
  </conditionalFormatting>
  <conditionalFormatting sqref="O211:X211">
    <cfRule type="expression" dxfId="2204" priority="4075" stopIfTrue="1">
      <formula>E211&lt;&gt;""</formula>
    </cfRule>
    <cfRule type="expression" dxfId="2203" priority="4076" stopIfTrue="1">
      <formula>E211=""</formula>
    </cfRule>
  </conditionalFormatting>
  <conditionalFormatting sqref="AP211">
    <cfRule type="expression" dxfId="2202" priority="4080" stopIfTrue="1">
      <formula>LEN(AP211)&gt;AR$3</formula>
    </cfRule>
    <cfRule type="expression" dxfId="2201" priority="4081" stopIfTrue="1">
      <formula>AND(NOT(ISERROR(SEARCH("~*~*~*",AP211,1))),SEARCH("~*~*~*",AP211,1)&gt;0)</formula>
    </cfRule>
  </conditionalFormatting>
  <conditionalFormatting sqref="Z211">
    <cfRule type="expression" dxfId="2200" priority="4082" stopIfTrue="1">
      <formula>LEN(Z211)&gt;$AA$3</formula>
    </cfRule>
    <cfRule type="expression" dxfId="2199" priority="4083" stopIfTrue="1">
      <formula>AND(NOT(ISERROR(SEARCH("~*~*~*",Z211,1))),SEARCH("~*~*~*",Z211,1)&gt;0)</formula>
    </cfRule>
  </conditionalFormatting>
  <conditionalFormatting sqref="AN211">
    <cfRule type="expression" dxfId="2198" priority="4084" stopIfTrue="1">
      <formula>LEN(AN211)&gt;#REF!</formula>
    </cfRule>
    <cfRule type="expression" dxfId="2197" priority="4085" stopIfTrue="1">
      <formula>AND(NOT(ISERROR(SEARCH("~*~*~*",AN211,1))),SEARCH("~*~*~*",AN211,1)&gt;0)</formula>
    </cfRule>
  </conditionalFormatting>
  <conditionalFormatting sqref="AO211 AM211">
    <cfRule type="expression" dxfId="2196" priority="4086" stopIfTrue="1">
      <formula>LEN(AM211)&gt;32</formula>
    </cfRule>
    <cfRule type="expression" dxfId="2195" priority="4087" stopIfTrue="1">
      <formula>AND(NOT(ISERROR(SEARCH("~*~*~*",AM211,1))),SEARCH("~*~*~*",AM211,1)&gt;0)</formula>
    </cfRule>
  </conditionalFormatting>
  <conditionalFormatting sqref="AT211">
    <cfRule type="cellIs" dxfId="2194" priority="4088" stopIfTrue="1" operator="greaterThan">
      <formula>1</formula>
    </cfRule>
  </conditionalFormatting>
  <conditionalFormatting sqref="O212:X212">
    <cfRule type="expression" dxfId="2193" priority="4061" stopIfTrue="1">
      <formula>E212&lt;&gt;""</formula>
    </cfRule>
    <cfRule type="expression" dxfId="2192" priority="4062" stopIfTrue="1">
      <formula>E212=""</formula>
    </cfRule>
  </conditionalFormatting>
  <conditionalFormatting sqref="AP212">
    <cfRule type="expression" dxfId="2191" priority="4066" stopIfTrue="1">
      <formula>LEN(AP212)&gt;AR$3</formula>
    </cfRule>
    <cfRule type="expression" dxfId="2190" priority="4067" stopIfTrue="1">
      <formula>AND(NOT(ISERROR(SEARCH("~*~*~*",AP212,1))),SEARCH("~*~*~*",AP212,1)&gt;0)</formula>
    </cfRule>
  </conditionalFormatting>
  <conditionalFormatting sqref="Z212">
    <cfRule type="expression" dxfId="2189" priority="4068" stopIfTrue="1">
      <formula>LEN(Z212)&gt;$AA$3</formula>
    </cfRule>
    <cfRule type="expression" dxfId="2188" priority="4069" stopIfTrue="1">
      <formula>AND(NOT(ISERROR(SEARCH("~*~*~*",Z212,1))),SEARCH("~*~*~*",Z212,1)&gt;0)</formula>
    </cfRule>
  </conditionalFormatting>
  <conditionalFormatting sqref="AN212">
    <cfRule type="expression" dxfId="2187" priority="4070" stopIfTrue="1">
      <formula>LEN(AN212)&gt;#REF!</formula>
    </cfRule>
    <cfRule type="expression" dxfId="2186" priority="4071" stopIfTrue="1">
      <formula>AND(NOT(ISERROR(SEARCH("~*~*~*",AN212,1))),SEARCH("~*~*~*",AN212,1)&gt;0)</formula>
    </cfRule>
  </conditionalFormatting>
  <conditionalFormatting sqref="AO212 AM212">
    <cfRule type="expression" dxfId="2185" priority="4072" stopIfTrue="1">
      <formula>LEN(AM212)&gt;32</formula>
    </cfRule>
    <cfRule type="expression" dxfId="2184" priority="4073" stopIfTrue="1">
      <formula>AND(NOT(ISERROR(SEARCH("~*~*~*",AM212,1))),SEARCH("~*~*~*",AM212,1)&gt;0)</formula>
    </cfRule>
  </conditionalFormatting>
  <conditionalFormatting sqref="AT212">
    <cfRule type="cellIs" dxfId="2183" priority="4074" stopIfTrue="1" operator="greaterThan">
      <formula>1</formula>
    </cfRule>
  </conditionalFormatting>
  <conditionalFormatting sqref="O213:X213">
    <cfRule type="expression" dxfId="2182" priority="4047" stopIfTrue="1">
      <formula>E213&lt;&gt;""</formula>
    </cfRule>
    <cfRule type="expression" dxfId="2181" priority="4048" stopIfTrue="1">
      <formula>E213=""</formula>
    </cfRule>
  </conditionalFormatting>
  <conditionalFormatting sqref="AP213">
    <cfRule type="expression" dxfId="2180" priority="4052" stopIfTrue="1">
      <formula>LEN(AP213)&gt;AR$3</formula>
    </cfRule>
    <cfRule type="expression" dxfId="2179" priority="4053" stopIfTrue="1">
      <formula>AND(NOT(ISERROR(SEARCH("~*~*~*",AP213,1))),SEARCH("~*~*~*",AP213,1)&gt;0)</formula>
    </cfRule>
  </conditionalFormatting>
  <conditionalFormatting sqref="Z213">
    <cfRule type="expression" dxfId="2178" priority="4054" stopIfTrue="1">
      <formula>LEN(Z213)&gt;$AA$3</formula>
    </cfRule>
    <cfRule type="expression" dxfId="2177" priority="4055" stopIfTrue="1">
      <formula>AND(NOT(ISERROR(SEARCH("~*~*~*",Z213,1))),SEARCH("~*~*~*",Z213,1)&gt;0)</formula>
    </cfRule>
  </conditionalFormatting>
  <conditionalFormatting sqref="AN213">
    <cfRule type="expression" dxfId="2176" priority="4056" stopIfTrue="1">
      <formula>LEN(AN213)&gt;#REF!</formula>
    </cfRule>
    <cfRule type="expression" dxfId="2175" priority="4057" stopIfTrue="1">
      <formula>AND(NOT(ISERROR(SEARCH("~*~*~*",AN213,1))),SEARCH("~*~*~*",AN213,1)&gt;0)</formula>
    </cfRule>
  </conditionalFormatting>
  <conditionalFormatting sqref="AO213 AM213">
    <cfRule type="expression" dxfId="2174" priority="4058" stopIfTrue="1">
      <formula>LEN(AM213)&gt;32</formula>
    </cfRule>
    <cfRule type="expression" dxfId="2173" priority="4059" stopIfTrue="1">
      <formula>AND(NOT(ISERROR(SEARCH("~*~*~*",AM213,1))),SEARCH("~*~*~*",AM213,1)&gt;0)</formula>
    </cfRule>
  </conditionalFormatting>
  <conditionalFormatting sqref="AT213">
    <cfRule type="cellIs" dxfId="2172" priority="4060" stopIfTrue="1" operator="greaterThan">
      <formula>1</formula>
    </cfRule>
  </conditionalFormatting>
  <conditionalFormatting sqref="O214:X214">
    <cfRule type="expression" dxfId="2171" priority="4033" stopIfTrue="1">
      <formula>E214&lt;&gt;""</formula>
    </cfRule>
    <cfRule type="expression" dxfId="2170" priority="4034" stopIfTrue="1">
      <formula>E214=""</formula>
    </cfRule>
  </conditionalFormatting>
  <conditionalFormatting sqref="AP214">
    <cfRule type="expression" dxfId="2169" priority="4038" stopIfTrue="1">
      <formula>LEN(AP214)&gt;AR$3</formula>
    </cfRule>
    <cfRule type="expression" dxfId="2168" priority="4039" stopIfTrue="1">
      <formula>AND(NOT(ISERROR(SEARCH("~*~*~*",AP214,1))),SEARCH("~*~*~*",AP214,1)&gt;0)</formula>
    </cfRule>
  </conditionalFormatting>
  <conditionalFormatting sqref="Z214">
    <cfRule type="expression" dxfId="2167" priority="4040" stopIfTrue="1">
      <formula>LEN(Z214)&gt;$AA$3</formula>
    </cfRule>
    <cfRule type="expression" dxfId="2166" priority="4041" stopIfTrue="1">
      <formula>AND(NOT(ISERROR(SEARCH("~*~*~*",Z214,1))),SEARCH("~*~*~*",Z214,1)&gt;0)</formula>
    </cfRule>
  </conditionalFormatting>
  <conditionalFormatting sqref="AN214">
    <cfRule type="expression" dxfId="2165" priority="4042" stopIfTrue="1">
      <formula>LEN(AN214)&gt;#REF!</formula>
    </cfRule>
    <cfRule type="expression" dxfId="2164" priority="4043" stopIfTrue="1">
      <formula>AND(NOT(ISERROR(SEARCH("~*~*~*",AN214,1))),SEARCH("~*~*~*",AN214,1)&gt;0)</formula>
    </cfRule>
  </conditionalFormatting>
  <conditionalFormatting sqref="AO214 AM214">
    <cfRule type="expression" dxfId="2163" priority="4044" stopIfTrue="1">
      <formula>LEN(AM214)&gt;32</formula>
    </cfRule>
    <cfRule type="expression" dxfId="2162" priority="4045" stopIfTrue="1">
      <formula>AND(NOT(ISERROR(SEARCH("~*~*~*",AM214,1))),SEARCH("~*~*~*",AM214,1)&gt;0)</formula>
    </cfRule>
  </conditionalFormatting>
  <conditionalFormatting sqref="AT214">
    <cfRule type="cellIs" dxfId="2161" priority="4046" stopIfTrue="1" operator="greaterThan">
      <formula>1</formula>
    </cfRule>
  </conditionalFormatting>
  <conditionalFormatting sqref="O215:X215">
    <cfRule type="expression" dxfId="2160" priority="4019" stopIfTrue="1">
      <formula>E215&lt;&gt;""</formula>
    </cfRule>
    <cfRule type="expression" dxfId="2159" priority="4020" stopIfTrue="1">
      <formula>E215=""</formula>
    </cfRule>
  </conditionalFormatting>
  <conditionalFormatting sqref="AP215">
    <cfRule type="expression" dxfId="2158" priority="4024" stopIfTrue="1">
      <formula>LEN(AP215)&gt;AR$3</formula>
    </cfRule>
    <cfRule type="expression" dxfId="2157" priority="4025" stopIfTrue="1">
      <formula>AND(NOT(ISERROR(SEARCH("~*~*~*",AP215,1))),SEARCH("~*~*~*",AP215,1)&gt;0)</formula>
    </cfRule>
  </conditionalFormatting>
  <conditionalFormatting sqref="Z215">
    <cfRule type="expression" dxfId="2156" priority="4026" stopIfTrue="1">
      <formula>LEN(Z215)&gt;$AA$3</formula>
    </cfRule>
    <cfRule type="expression" dxfId="2155" priority="4027" stopIfTrue="1">
      <formula>AND(NOT(ISERROR(SEARCH("~*~*~*",Z215,1))),SEARCH("~*~*~*",Z215,1)&gt;0)</formula>
    </cfRule>
  </conditionalFormatting>
  <conditionalFormatting sqref="AN215">
    <cfRule type="expression" dxfId="2154" priority="4028" stopIfTrue="1">
      <formula>LEN(AN215)&gt;#REF!</formula>
    </cfRule>
    <cfRule type="expression" dxfId="2153" priority="4029" stopIfTrue="1">
      <formula>AND(NOT(ISERROR(SEARCH("~*~*~*",AN215,1))),SEARCH("~*~*~*",AN215,1)&gt;0)</formula>
    </cfRule>
  </conditionalFormatting>
  <conditionalFormatting sqref="AO215 AM215">
    <cfRule type="expression" dxfId="2152" priority="4030" stopIfTrue="1">
      <formula>LEN(AM215)&gt;32</formula>
    </cfRule>
    <cfRule type="expression" dxfId="2151" priority="4031" stopIfTrue="1">
      <formula>AND(NOT(ISERROR(SEARCH("~*~*~*",AM215,1))),SEARCH("~*~*~*",AM215,1)&gt;0)</formula>
    </cfRule>
  </conditionalFormatting>
  <conditionalFormatting sqref="AT215">
    <cfRule type="cellIs" dxfId="2150" priority="4032" stopIfTrue="1" operator="greaterThan">
      <formula>1</formula>
    </cfRule>
  </conditionalFormatting>
  <conditionalFormatting sqref="O216:X216">
    <cfRule type="expression" dxfId="2149" priority="4005" stopIfTrue="1">
      <formula>E216&lt;&gt;""</formula>
    </cfRule>
    <cfRule type="expression" dxfId="2148" priority="4006" stopIfTrue="1">
      <formula>E216=""</formula>
    </cfRule>
  </conditionalFormatting>
  <conditionalFormatting sqref="AP216">
    <cfRule type="expression" dxfId="2147" priority="4010" stopIfTrue="1">
      <formula>LEN(AP216)&gt;AR$3</formula>
    </cfRule>
    <cfRule type="expression" dxfId="2146" priority="4011" stopIfTrue="1">
      <formula>AND(NOT(ISERROR(SEARCH("~*~*~*",AP216,1))),SEARCH("~*~*~*",AP216,1)&gt;0)</formula>
    </cfRule>
  </conditionalFormatting>
  <conditionalFormatting sqref="Z216">
    <cfRule type="expression" dxfId="2145" priority="4012" stopIfTrue="1">
      <formula>LEN(Z216)&gt;$AA$3</formula>
    </cfRule>
    <cfRule type="expression" dxfId="2144" priority="4013" stopIfTrue="1">
      <formula>AND(NOT(ISERROR(SEARCH("~*~*~*",Z216,1))),SEARCH("~*~*~*",Z216,1)&gt;0)</formula>
    </cfRule>
  </conditionalFormatting>
  <conditionalFormatting sqref="AN216">
    <cfRule type="expression" dxfId="2143" priority="4014" stopIfTrue="1">
      <formula>LEN(AN216)&gt;#REF!</formula>
    </cfRule>
    <cfRule type="expression" dxfId="2142" priority="4015" stopIfTrue="1">
      <formula>AND(NOT(ISERROR(SEARCH("~*~*~*",AN216,1))),SEARCH("~*~*~*",AN216,1)&gt;0)</formula>
    </cfRule>
  </conditionalFormatting>
  <conditionalFormatting sqref="AO216 AM216">
    <cfRule type="expression" dxfId="2141" priority="4016" stopIfTrue="1">
      <formula>LEN(AM216)&gt;32</formula>
    </cfRule>
    <cfRule type="expression" dxfId="2140" priority="4017" stopIfTrue="1">
      <formula>AND(NOT(ISERROR(SEARCH("~*~*~*",AM216,1))),SEARCH("~*~*~*",AM216,1)&gt;0)</formula>
    </cfRule>
  </conditionalFormatting>
  <conditionalFormatting sqref="AT216">
    <cfRule type="cellIs" dxfId="2139" priority="4018" stopIfTrue="1" operator="greaterThan">
      <formula>1</formula>
    </cfRule>
  </conditionalFormatting>
  <conditionalFormatting sqref="O191:X191">
    <cfRule type="expression" dxfId="2138" priority="3991" stopIfTrue="1">
      <formula>E191&lt;&gt;""</formula>
    </cfRule>
    <cfRule type="expression" dxfId="2137" priority="3992" stopIfTrue="1">
      <formula>E191=""</formula>
    </cfRule>
  </conditionalFormatting>
  <conditionalFormatting sqref="AP191">
    <cfRule type="expression" dxfId="2136" priority="3996" stopIfTrue="1">
      <formula>LEN(AP191)&gt;AR$3</formula>
    </cfRule>
    <cfRule type="expression" dxfId="2135" priority="3997" stopIfTrue="1">
      <formula>AND(NOT(ISERROR(SEARCH("~*~*~*",AP191,1))),SEARCH("~*~*~*",AP191,1)&gt;0)</formula>
    </cfRule>
  </conditionalFormatting>
  <conditionalFormatting sqref="Z191">
    <cfRule type="expression" dxfId="2134" priority="3998" stopIfTrue="1">
      <formula>LEN(Z191)&gt;$AA$3</formula>
    </cfRule>
    <cfRule type="expression" dxfId="2133" priority="3999" stopIfTrue="1">
      <formula>AND(NOT(ISERROR(SEARCH("~*~*~*",Z191,1))),SEARCH("~*~*~*",Z191,1)&gt;0)</formula>
    </cfRule>
  </conditionalFormatting>
  <conditionalFormatting sqref="AN191">
    <cfRule type="expression" dxfId="2132" priority="4000" stopIfTrue="1">
      <formula>LEN(AN191)&gt;#REF!</formula>
    </cfRule>
    <cfRule type="expression" dxfId="2131" priority="4001" stopIfTrue="1">
      <formula>AND(NOT(ISERROR(SEARCH("~*~*~*",AN191,1))),SEARCH("~*~*~*",AN191,1)&gt;0)</formula>
    </cfRule>
  </conditionalFormatting>
  <conditionalFormatting sqref="AO191 AM191">
    <cfRule type="expression" dxfId="2130" priority="4002" stopIfTrue="1">
      <formula>LEN(AM191)&gt;32</formula>
    </cfRule>
    <cfRule type="expression" dxfId="2129" priority="4003" stopIfTrue="1">
      <formula>AND(NOT(ISERROR(SEARCH("~*~*~*",AM191,1))),SEARCH("~*~*~*",AM191,1)&gt;0)</formula>
    </cfRule>
  </conditionalFormatting>
  <conditionalFormatting sqref="AT191">
    <cfRule type="cellIs" dxfId="2128" priority="4004" stopIfTrue="1" operator="greaterThan">
      <formula>1</formula>
    </cfRule>
  </conditionalFormatting>
  <conditionalFormatting sqref="O192:X192">
    <cfRule type="expression" dxfId="2127" priority="3977" stopIfTrue="1">
      <formula>E192&lt;&gt;""</formula>
    </cfRule>
    <cfRule type="expression" dxfId="2126" priority="3978" stopIfTrue="1">
      <formula>E192=""</formula>
    </cfRule>
  </conditionalFormatting>
  <conditionalFormatting sqref="AP192">
    <cfRule type="expression" dxfId="2125" priority="3982" stopIfTrue="1">
      <formula>LEN(AP192)&gt;AR$3</formula>
    </cfRule>
    <cfRule type="expression" dxfId="2124" priority="3983" stopIfTrue="1">
      <formula>AND(NOT(ISERROR(SEARCH("~*~*~*",AP192,1))),SEARCH("~*~*~*",AP192,1)&gt;0)</formula>
    </cfRule>
  </conditionalFormatting>
  <conditionalFormatting sqref="Z192">
    <cfRule type="expression" dxfId="2123" priority="3984" stopIfTrue="1">
      <formula>LEN(Z192)&gt;$AA$3</formula>
    </cfRule>
    <cfRule type="expression" dxfId="2122" priority="3985" stopIfTrue="1">
      <formula>AND(NOT(ISERROR(SEARCH("~*~*~*",Z192,1))),SEARCH("~*~*~*",Z192,1)&gt;0)</formula>
    </cfRule>
  </conditionalFormatting>
  <conditionalFormatting sqref="AN192">
    <cfRule type="expression" dxfId="2121" priority="3986" stopIfTrue="1">
      <formula>LEN(AN192)&gt;#REF!</formula>
    </cfRule>
    <cfRule type="expression" dxfId="2120" priority="3987" stopIfTrue="1">
      <formula>AND(NOT(ISERROR(SEARCH("~*~*~*",AN192,1))),SEARCH("~*~*~*",AN192,1)&gt;0)</formula>
    </cfRule>
  </conditionalFormatting>
  <conditionalFormatting sqref="AO192 AM192">
    <cfRule type="expression" dxfId="2119" priority="3988" stopIfTrue="1">
      <formula>LEN(AM192)&gt;32</formula>
    </cfRule>
    <cfRule type="expression" dxfId="2118" priority="3989" stopIfTrue="1">
      <formula>AND(NOT(ISERROR(SEARCH("~*~*~*",AM192,1))),SEARCH("~*~*~*",AM192,1)&gt;0)</formula>
    </cfRule>
  </conditionalFormatting>
  <conditionalFormatting sqref="AT192">
    <cfRule type="cellIs" dxfId="2117" priority="3990" stopIfTrue="1" operator="greaterThan">
      <formula>1</formula>
    </cfRule>
  </conditionalFormatting>
  <conditionalFormatting sqref="O193:X193">
    <cfRule type="expression" dxfId="2116" priority="3963" stopIfTrue="1">
      <formula>E193&lt;&gt;""</formula>
    </cfRule>
    <cfRule type="expression" dxfId="2115" priority="3964" stopIfTrue="1">
      <formula>E193=""</formula>
    </cfRule>
  </conditionalFormatting>
  <conditionalFormatting sqref="AP193">
    <cfRule type="expression" dxfId="2114" priority="3968" stopIfTrue="1">
      <formula>LEN(AP193)&gt;AR$3</formula>
    </cfRule>
    <cfRule type="expression" dxfId="2113" priority="3969" stopIfTrue="1">
      <formula>AND(NOT(ISERROR(SEARCH("~*~*~*",AP193,1))),SEARCH("~*~*~*",AP193,1)&gt;0)</formula>
    </cfRule>
  </conditionalFormatting>
  <conditionalFormatting sqref="Z193">
    <cfRule type="expression" dxfId="2112" priority="3970" stopIfTrue="1">
      <formula>LEN(Z193)&gt;$AA$3</formula>
    </cfRule>
    <cfRule type="expression" dxfId="2111" priority="3971" stopIfTrue="1">
      <formula>AND(NOT(ISERROR(SEARCH("~*~*~*",Z193,1))),SEARCH("~*~*~*",Z193,1)&gt;0)</formula>
    </cfRule>
  </conditionalFormatting>
  <conditionalFormatting sqref="AN193">
    <cfRule type="expression" dxfId="2110" priority="3972" stopIfTrue="1">
      <formula>LEN(AN193)&gt;#REF!</formula>
    </cfRule>
    <cfRule type="expression" dxfId="2109" priority="3973" stopIfTrue="1">
      <formula>AND(NOT(ISERROR(SEARCH("~*~*~*",AN193,1))),SEARCH("~*~*~*",AN193,1)&gt;0)</formula>
    </cfRule>
  </conditionalFormatting>
  <conditionalFormatting sqref="AO193 AM193">
    <cfRule type="expression" dxfId="2108" priority="3974" stopIfTrue="1">
      <formula>LEN(AM193)&gt;32</formula>
    </cfRule>
    <cfRule type="expression" dxfId="2107" priority="3975" stopIfTrue="1">
      <formula>AND(NOT(ISERROR(SEARCH("~*~*~*",AM193,1))),SEARCH("~*~*~*",AM193,1)&gt;0)</formula>
    </cfRule>
  </conditionalFormatting>
  <conditionalFormatting sqref="AT193">
    <cfRule type="cellIs" dxfId="2106" priority="3976" stopIfTrue="1" operator="greaterThan">
      <formula>1</formula>
    </cfRule>
  </conditionalFormatting>
  <conditionalFormatting sqref="O194:X194">
    <cfRule type="expression" dxfId="2105" priority="3949" stopIfTrue="1">
      <formula>E194&lt;&gt;""</formula>
    </cfRule>
    <cfRule type="expression" dxfId="2104" priority="3950" stopIfTrue="1">
      <formula>E194=""</formula>
    </cfRule>
  </conditionalFormatting>
  <conditionalFormatting sqref="AP194">
    <cfRule type="expression" dxfId="2103" priority="3954" stopIfTrue="1">
      <formula>LEN(AP194)&gt;AR$3</formula>
    </cfRule>
    <cfRule type="expression" dxfId="2102" priority="3955" stopIfTrue="1">
      <formula>AND(NOT(ISERROR(SEARCH("~*~*~*",AP194,1))),SEARCH("~*~*~*",AP194,1)&gt;0)</formula>
    </cfRule>
  </conditionalFormatting>
  <conditionalFormatting sqref="Z194">
    <cfRule type="expression" dxfId="2101" priority="3956" stopIfTrue="1">
      <formula>LEN(Z194)&gt;$AA$3</formula>
    </cfRule>
    <cfRule type="expression" dxfId="2100" priority="3957" stopIfTrue="1">
      <formula>AND(NOT(ISERROR(SEARCH("~*~*~*",Z194,1))),SEARCH("~*~*~*",Z194,1)&gt;0)</formula>
    </cfRule>
  </conditionalFormatting>
  <conditionalFormatting sqref="AN194">
    <cfRule type="expression" dxfId="2099" priority="3958" stopIfTrue="1">
      <formula>LEN(AN194)&gt;#REF!</formula>
    </cfRule>
    <cfRule type="expression" dxfId="2098" priority="3959" stopIfTrue="1">
      <formula>AND(NOT(ISERROR(SEARCH("~*~*~*",AN194,1))),SEARCH("~*~*~*",AN194,1)&gt;0)</formula>
    </cfRule>
  </conditionalFormatting>
  <conditionalFormatting sqref="AO194 AM194">
    <cfRule type="expression" dxfId="2097" priority="3960" stopIfTrue="1">
      <formula>LEN(AM194)&gt;32</formula>
    </cfRule>
    <cfRule type="expression" dxfId="2096" priority="3961" stopIfTrue="1">
      <formula>AND(NOT(ISERROR(SEARCH("~*~*~*",AM194,1))),SEARCH("~*~*~*",AM194,1)&gt;0)</formula>
    </cfRule>
  </conditionalFormatting>
  <conditionalFormatting sqref="AT194">
    <cfRule type="cellIs" dxfId="2095" priority="3962" stopIfTrue="1" operator="greaterThan">
      <formula>1</formula>
    </cfRule>
  </conditionalFormatting>
  <conditionalFormatting sqref="O195:X195">
    <cfRule type="expression" dxfId="2094" priority="3935" stopIfTrue="1">
      <formula>E195&lt;&gt;""</formula>
    </cfRule>
    <cfRule type="expression" dxfId="2093" priority="3936" stopIfTrue="1">
      <formula>E195=""</formula>
    </cfRule>
  </conditionalFormatting>
  <conditionalFormatting sqref="AP195">
    <cfRule type="expression" dxfId="2092" priority="3940" stopIfTrue="1">
      <formula>LEN(AP195)&gt;AR$3</formula>
    </cfRule>
    <cfRule type="expression" dxfId="2091" priority="3941" stopIfTrue="1">
      <formula>AND(NOT(ISERROR(SEARCH("~*~*~*",AP195,1))),SEARCH("~*~*~*",AP195,1)&gt;0)</formula>
    </cfRule>
  </conditionalFormatting>
  <conditionalFormatting sqref="Z195">
    <cfRule type="expression" dxfId="2090" priority="3942" stopIfTrue="1">
      <formula>LEN(Z195)&gt;$AA$3</formula>
    </cfRule>
    <cfRule type="expression" dxfId="2089" priority="3943" stopIfTrue="1">
      <formula>AND(NOT(ISERROR(SEARCH("~*~*~*",Z195,1))),SEARCH("~*~*~*",Z195,1)&gt;0)</formula>
    </cfRule>
  </conditionalFormatting>
  <conditionalFormatting sqref="AN195">
    <cfRule type="expression" dxfId="2088" priority="3944" stopIfTrue="1">
      <formula>LEN(AN195)&gt;#REF!</formula>
    </cfRule>
    <cfRule type="expression" dxfId="2087" priority="3945" stopIfTrue="1">
      <formula>AND(NOT(ISERROR(SEARCH("~*~*~*",AN195,1))),SEARCH("~*~*~*",AN195,1)&gt;0)</formula>
    </cfRule>
  </conditionalFormatting>
  <conditionalFormatting sqref="AO195 AM195">
    <cfRule type="expression" dxfId="2086" priority="3946" stopIfTrue="1">
      <formula>LEN(AM195)&gt;32</formula>
    </cfRule>
    <cfRule type="expression" dxfId="2085" priority="3947" stopIfTrue="1">
      <formula>AND(NOT(ISERROR(SEARCH("~*~*~*",AM195,1))),SEARCH("~*~*~*",AM195,1)&gt;0)</formula>
    </cfRule>
  </conditionalFormatting>
  <conditionalFormatting sqref="AT195">
    <cfRule type="cellIs" dxfId="2084" priority="3948" stopIfTrue="1" operator="greaterThan">
      <formula>1</formula>
    </cfRule>
  </conditionalFormatting>
  <conditionalFormatting sqref="O196:X196">
    <cfRule type="expression" dxfId="2083" priority="3921" stopIfTrue="1">
      <formula>E196&lt;&gt;""</formula>
    </cfRule>
    <cfRule type="expression" dxfId="2082" priority="3922" stopIfTrue="1">
      <formula>E196=""</formula>
    </cfRule>
  </conditionalFormatting>
  <conditionalFormatting sqref="AP196">
    <cfRule type="expression" dxfId="2081" priority="3926" stopIfTrue="1">
      <formula>LEN(AP196)&gt;AR$3</formula>
    </cfRule>
    <cfRule type="expression" dxfId="2080" priority="3927" stopIfTrue="1">
      <formula>AND(NOT(ISERROR(SEARCH("~*~*~*",AP196,1))),SEARCH("~*~*~*",AP196,1)&gt;0)</formula>
    </cfRule>
  </conditionalFormatting>
  <conditionalFormatting sqref="Z196">
    <cfRule type="expression" dxfId="2079" priority="3928" stopIfTrue="1">
      <formula>LEN(Z196)&gt;$AA$3</formula>
    </cfRule>
    <cfRule type="expression" dxfId="2078" priority="3929" stopIfTrue="1">
      <formula>AND(NOT(ISERROR(SEARCH("~*~*~*",Z196,1))),SEARCH("~*~*~*",Z196,1)&gt;0)</formula>
    </cfRule>
  </conditionalFormatting>
  <conditionalFormatting sqref="AN196">
    <cfRule type="expression" dxfId="2077" priority="3930" stopIfTrue="1">
      <formula>LEN(AN196)&gt;#REF!</formula>
    </cfRule>
    <cfRule type="expression" dxfId="2076" priority="3931" stopIfTrue="1">
      <formula>AND(NOT(ISERROR(SEARCH("~*~*~*",AN196,1))),SEARCH("~*~*~*",AN196,1)&gt;0)</formula>
    </cfRule>
  </conditionalFormatting>
  <conditionalFormatting sqref="AO196 AM196">
    <cfRule type="expression" dxfId="2075" priority="3932" stopIfTrue="1">
      <formula>LEN(AM196)&gt;32</formula>
    </cfRule>
    <cfRule type="expression" dxfId="2074" priority="3933" stopIfTrue="1">
      <formula>AND(NOT(ISERROR(SEARCH("~*~*~*",AM196,1))),SEARCH("~*~*~*",AM196,1)&gt;0)</formula>
    </cfRule>
  </conditionalFormatting>
  <conditionalFormatting sqref="AT196">
    <cfRule type="cellIs" dxfId="2073" priority="3934" stopIfTrue="1" operator="greaterThan">
      <formula>1</formula>
    </cfRule>
  </conditionalFormatting>
  <conditionalFormatting sqref="O197:X197">
    <cfRule type="expression" dxfId="2072" priority="3907" stopIfTrue="1">
      <formula>E197&lt;&gt;""</formula>
    </cfRule>
    <cfRule type="expression" dxfId="2071" priority="3908" stopIfTrue="1">
      <formula>E197=""</formula>
    </cfRule>
  </conditionalFormatting>
  <conditionalFormatting sqref="AP197">
    <cfRule type="expression" dxfId="2070" priority="3912" stopIfTrue="1">
      <formula>LEN(AP197)&gt;AR$3</formula>
    </cfRule>
    <cfRule type="expression" dxfId="2069" priority="3913" stopIfTrue="1">
      <formula>AND(NOT(ISERROR(SEARCH("~*~*~*",AP197,1))),SEARCH("~*~*~*",AP197,1)&gt;0)</formula>
    </cfRule>
  </conditionalFormatting>
  <conditionalFormatting sqref="Z197">
    <cfRule type="expression" dxfId="2068" priority="3914" stopIfTrue="1">
      <formula>LEN(Z197)&gt;$AA$3</formula>
    </cfRule>
    <cfRule type="expression" dxfId="2067" priority="3915" stopIfTrue="1">
      <formula>AND(NOT(ISERROR(SEARCH("~*~*~*",Z197,1))),SEARCH("~*~*~*",Z197,1)&gt;0)</formula>
    </cfRule>
  </conditionalFormatting>
  <conditionalFormatting sqref="AN197">
    <cfRule type="expression" dxfId="2066" priority="3916" stopIfTrue="1">
      <formula>LEN(AN197)&gt;#REF!</formula>
    </cfRule>
    <cfRule type="expression" dxfId="2065" priority="3917" stopIfTrue="1">
      <formula>AND(NOT(ISERROR(SEARCH("~*~*~*",AN197,1))),SEARCH("~*~*~*",AN197,1)&gt;0)</formula>
    </cfRule>
  </conditionalFormatting>
  <conditionalFormatting sqref="AO197 AM197">
    <cfRule type="expression" dxfId="2064" priority="3918" stopIfTrue="1">
      <formula>LEN(AM197)&gt;32</formula>
    </cfRule>
    <cfRule type="expression" dxfId="2063" priority="3919" stopIfTrue="1">
      <formula>AND(NOT(ISERROR(SEARCH("~*~*~*",AM197,1))),SEARCH("~*~*~*",AM197,1)&gt;0)</formula>
    </cfRule>
  </conditionalFormatting>
  <conditionalFormatting sqref="AT197">
    <cfRule type="cellIs" dxfId="2062" priority="3920" stopIfTrue="1" operator="greaterThan">
      <formula>1</formula>
    </cfRule>
  </conditionalFormatting>
  <conditionalFormatting sqref="O198:X198">
    <cfRule type="expression" dxfId="2061" priority="3893" stopIfTrue="1">
      <formula>E198&lt;&gt;""</formula>
    </cfRule>
    <cfRule type="expression" dxfId="2060" priority="3894" stopIfTrue="1">
      <formula>E198=""</formula>
    </cfRule>
  </conditionalFormatting>
  <conditionalFormatting sqref="AP198">
    <cfRule type="expression" dxfId="2059" priority="3898" stopIfTrue="1">
      <formula>LEN(AP198)&gt;AR$3</formula>
    </cfRule>
    <cfRule type="expression" dxfId="2058" priority="3899" stopIfTrue="1">
      <formula>AND(NOT(ISERROR(SEARCH("~*~*~*",AP198,1))),SEARCH("~*~*~*",AP198,1)&gt;0)</formula>
    </cfRule>
  </conditionalFormatting>
  <conditionalFormatting sqref="Z198">
    <cfRule type="expression" dxfId="2057" priority="3900" stopIfTrue="1">
      <formula>LEN(Z198)&gt;$AA$3</formula>
    </cfRule>
    <cfRule type="expression" dxfId="2056" priority="3901" stopIfTrue="1">
      <formula>AND(NOT(ISERROR(SEARCH("~*~*~*",Z198,1))),SEARCH("~*~*~*",Z198,1)&gt;0)</formula>
    </cfRule>
  </conditionalFormatting>
  <conditionalFormatting sqref="AN198">
    <cfRule type="expression" dxfId="2055" priority="3902" stopIfTrue="1">
      <formula>LEN(AN198)&gt;#REF!</formula>
    </cfRule>
    <cfRule type="expression" dxfId="2054" priority="3903" stopIfTrue="1">
      <formula>AND(NOT(ISERROR(SEARCH("~*~*~*",AN198,1))),SEARCH("~*~*~*",AN198,1)&gt;0)</formula>
    </cfRule>
  </conditionalFormatting>
  <conditionalFormatting sqref="AO198 AM198">
    <cfRule type="expression" dxfId="2053" priority="3904" stopIfTrue="1">
      <formula>LEN(AM198)&gt;32</formula>
    </cfRule>
    <cfRule type="expression" dxfId="2052" priority="3905" stopIfTrue="1">
      <formula>AND(NOT(ISERROR(SEARCH("~*~*~*",AM198,1))),SEARCH("~*~*~*",AM198,1)&gt;0)</formula>
    </cfRule>
  </conditionalFormatting>
  <conditionalFormatting sqref="AT198">
    <cfRule type="cellIs" dxfId="2051" priority="3906" stopIfTrue="1" operator="greaterThan">
      <formula>1</formula>
    </cfRule>
  </conditionalFormatting>
  <conditionalFormatting sqref="O199:X199">
    <cfRule type="expression" dxfId="2050" priority="3879" stopIfTrue="1">
      <formula>E199&lt;&gt;""</formula>
    </cfRule>
    <cfRule type="expression" dxfId="2049" priority="3880" stopIfTrue="1">
      <formula>E199=""</formula>
    </cfRule>
  </conditionalFormatting>
  <conditionalFormatting sqref="AP199">
    <cfRule type="expression" dxfId="2048" priority="3884" stopIfTrue="1">
      <formula>LEN(AP199)&gt;AR$3</formula>
    </cfRule>
    <cfRule type="expression" dxfId="2047" priority="3885" stopIfTrue="1">
      <formula>AND(NOT(ISERROR(SEARCH("~*~*~*",AP199,1))),SEARCH("~*~*~*",AP199,1)&gt;0)</formula>
    </cfRule>
  </conditionalFormatting>
  <conditionalFormatting sqref="Z199">
    <cfRule type="expression" dxfId="2046" priority="3886" stopIfTrue="1">
      <formula>LEN(Z199)&gt;$AA$3</formula>
    </cfRule>
    <cfRule type="expression" dxfId="2045" priority="3887" stopIfTrue="1">
      <formula>AND(NOT(ISERROR(SEARCH("~*~*~*",Z199,1))),SEARCH("~*~*~*",Z199,1)&gt;0)</formula>
    </cfRule>
  </conditionalFormatting>
  <conditionalFormatting sqref="AN199">
    <cfRule type="expression" dxfId="2044" priority="3888" stopIfTrue="1">
      <formula>LEN(AN199)&gt;#REF!</formula>
    </cfRule>
    <cfRule type="expression" dxfId="2043" priority="3889" stopIfTrue="1">
      <formula>AND(NOT(ISERROR(SEARCH("~*~*~*",AN199,1))),SEARCH("~*~*~*",AN199,1)&gt;0)</formula>
    </cfRule>
  </conditionalFormatting>
  <conditionalFormatting sqref="AO199 AM199">
    <cfRule type="expression" dxfId="2042" priority="3890" stopIfTrue="1">
      <formula>LEN(AM199)&gt;32</formula>
    </cfRule>
    <cfRule type="expression" dxfId="2041" priority="3891" stopIfTrue="1">
      <formula>AND(NOT(ISERROR(SEARCH("~*~*~*",AM199,1))),SEARCH("~*~*~*",AM199,1)&gt;0)</formula>
    </cfRule>
  </conditionalFormatting>
  <conditionalFormatting sqref="AT199">
    <cfRule type="cellIs" dxfId="2040" priority="3892" stopIfTrue="1" operator="greaterThan">
      <formula>1</formula>
    </cfRule>
  </conditionalFormatting>
  <conditionalFormatting sqref="O200:X200">
    <cfRule type="expression" dxfId="2039" priority="3865" stopIfTrue="1">
      <formula>E200&lt;&gt;""</formula>
    </cfRule>
    <cfRule type="expression" dxfId="2038" priority="3866" stopIfTrue="1">
      <formula>E200=""</formula>
    </cfRule>
  </conditionalFormatting>
  <conditionalFormatting sqref="AP200">
    <cfRule type="expression" dxfId="2037" priority="3870" stopIfTrue="1">
      <formula>LEN(AP200)&gt;AR$3</formula>
    </cfRule>
    <cfRule type="expression" dxfId="2036" priority="3871" stopIfTrue="1">
      <formula>AND(NOT(ISERROR(SEARCH("~*~*~*",AP200,1))),SEARCH("~*~*~*",AP200,1)&gt;0)</formula>
    </cfRule>
  </conditionalFormatting>
  <conditionalFormatting sqref="Z200">
    <cfRule type="expression" dxfId="2035" priority="3872" stopIfTrue="1">
      <formula>LEN(Z200)&gt;$AA$3</formula>
    </cfRule>
    <cfRule type="expression" dxfId="2034" priority="3873" stopIfTrue="1">
      <formula>AND(NOT(ISERROR(SEARCH("~*~*~*",Z200,1))),SEARCH("~*~*~*",Z200,1)&gt;0)</formula>
    </cfRule>
  </conditionalFormatting>
  <conditionalFormatting sqref="AN200">
    <cfRule type="expression" dxfId="2033" priority="3874" stopIfTrue="1">
      <formula>LEN(AN200)&gt;#REF!</formula>
    </cfRule>
    <cfRule type="expression" dxfId="2032" priority="3875" stopIfTrue="1">
      <formula>AND(NOT(ISERROR(SEARCH("~*~*~*",AN200,1))),SEARCH("~*~*~*",AN200,1)&gt;0)</formula>
    </cfRule>
  </conditionalFormatting>
  <conditionalFormatting sqref="AO200 AM200">
    <cfRule type="expression" dxfId="2031" priority="3876" stopIfTrue="1">
      <formula>LEN(AM200)&gt;32</formula>
    </cfRule>
    <cfRule type="expression" dxfId="2030" priority="3877" stopIfTrue="1">
      <formula>AND(NOT(ISERROR(SEARCH("~*~*~*",AM200,1))),SEARCH("~*~*~*",AM200,1)&gt;0)</formula>
    </cfRule>
  </conditionalFormatting>
  <conditionalFormatting sqref="AT200">
    <cfRule type="cellIs" dxfId="2029" priority="3878" stopIfTrue="1" operator="greaterThan">
      <formula>1</formula>
    </cfRule>
  </conditionalFormatting>
  <conditionalFormatting sqref="O201:X201">
    <cfRule type="expression" dxfId="2028" priority="3851" stopIfTrue="1">
      <formula>E201&lt;&gt;""</formula>
    </cfRule>
    <cfRule type="expression" dxfId="2027" priority="3852" stopIfTrue="1">
      <formula>E201=""</formula>
    </cfRule>
  </conditionalFormatting>
  <conditionalFormatting sqref="AP201">
    <cfRule type="expression" dxfId="2026" priority="3856" stopIfTrue="1">
      <formula>LEN(AP201)&gt;AR$3</formula>
    </cfRule>
    <cfRule type="expression" dxfId="2025" priority="3857" stopIfTrue="1">
      <formula>AND(NOT(ISERROR(SEARCH("~*~*~*",AP201,1))),SEARCH("~*~*~*",AP201,1)&gt;0)</formula>
    </cfRule>
  </conditionalFormatting>
  <conditionalFormatting sqref="Z201">
    <cfRule type="expression" dxfId="2024" priority="3858" stopIfTrue="1">
      <formula>LEN(Z201)&gt;$AA$3</formula>
    </cfRule>
    <cfRule type="expression" dxfId="2023" priority="3859" stopIfTrue="1">
      <formula>AND(NOT(ISERROR(SEARCH("~*~*~*",Z201,1))),SEARCH("~*~*~*",Z201,1)&gt;0)</formula>
    </cfRule>
  </conditionalFormatting>
  <conditionalFormatting sqref="AN201">
    <cfRule type="expression" dxfId="2022" priority="3860" stopIfTrue="1">
      <formula>LEN(AN201)&gt;#REF!</formula>
    </cfRule>
    <cfRule type="expression" dxfId="2021" priority="3861" stopIfTrue="1">
      <formula>AND(NOT(ISERROR(SEARCH("~*~*~*",AN201,1))),SEARCH("~*~*~*",AN201,1)&gt;0)</formula>
    </cfRule>
  </conditionalFormatting>
  <conditionalFormatting sqref="AO201 AM201">
    <cfRule type="expression" dxfId="2020" priority="3862" stopIfTrue="1">
      <formula>LEN(AM201)&gt;32</formula>
    </cfRule>
    <cfRule type="expression" dxfId="2019" priority="3863" stopIfTrue="1">
      <formula>AND(NOT(ISERROR(SEARCH("~*~*~*",AM201,1))),SEARCH("~*~*~*",AM201,1)&gt;0)</formula>
    </cfRule>
  </conditionalFormatting>
  <conditionalFormatting sqref="AT201">
    <cfRule type="cellIs" dxfId="2018" priority="3864" stopIfTrue="1" operator="greaterThan">
      <formula>1</formula>
    </cfRule>
  </conditionalFormatting>
  <conditionalFormatting sqref="O202:X202">
    <cfRule type="expression" dxfId="2017" priority="3837" stopIfTrue="1">
      <formula>E202&lt;&gt;""</formula>
    </cfRule>
    <cfRule type="expression" dxfId="2016" priority="3838" stopIfTrue="1">
      <formula>E202=""</formula>
    </cfRule>
  </conditionalFormatting>
  <conditionalFormatting sqref="AP202">
    <cfRule type="expression" dxfId="2015" priority="3842" stopIfTrue="1">
      <formula>LEN(AP202)&gt;AR$3</formula>
    </cfRule>
    <cfRule type="expression" dxfId="2014" priority="3843" stopIfTrue="1">
      <formula>AND(NOT(ISERROR(SEARCH("~*~*~*",AP202,1))),SEARCH("~*~*~*",AP202,1)&gt;0)</formula>
    </cfRule>
  </conditionalFormatting>
  <conditionalFormatting sqref="Z202">
    <cfRule type="expression" dxfId="2013" priority="3844" stopIfTrue="1">
      <formula>LEN(Z202)&gt;$AA$3</formula>
    </cfRule>
    <cfRule type="expression" dxfId="2012" priority="3845" stopIfTrue="1">
      <formula>AND(NOT(ISERROR(SEARCH("~*~*~*",Z202,1))),SEARCH("~*~*~*",Z202,1)&gt;0)</formula>
    </cfRule>
  </conditionalFormatting>
  <conditionalFormatting sqref="AN202">
    <cfRule type="expression" dxfId="2011" priority="3846" stopIfTrue="1">
      <formula>LEN(AN202)&gt;#REF!</formula>
    </cfRule>
    <cfRule type="expression" dxfId="2010" priority="3847" stopIfTrue="1">
      <formula>AND(NOT(ISERROR(SEARCH("~*~*~*",AN202,1))),SEARCH("~*~*~*",AN202,1)&gt;0)</formula>
    </cfRule>
  </conditionalFormatting>
  <conditionalFormatting sqref="AO202 AM202">
    <cfRule type="expression" dxfId="2009" priority="3848" stopIfTrue="1">
      <formula>LEN(AM202)&gt;32</formula>
    </cfRule>
    <cfRule type="expression" dxfId="2008" priority="3849" stopIfTrue="1">
      <formula>AND(NOT(ISERROR(SEARCH("~*~*~*",AM202,1))),SEARCH("~*~*~*",AM202,1)&gt;0)</formula>
    </cfRule>
  </conditionalFormatting>
  <conditionalFormatting sqref="AT202">
    <cfRule type="cellIs" dxfId="2007" priority="3850" stopIfTrue="1" operator="greaterThan">
      <formula>1</formula>
    </cfRule>
  </conditionalFormatting>
  <conditionalFormatting sqref="O203:X203">
    <cfRule type="expression" dxfId="2006" priority="3823" stopIfTrue="1">
      <formula>E203&lt;&gt;""</formula>
    </cfRule>
    <cfRule type="expression" dxfId="2005" priority="3824" stopIfTrue="1">
      <formula>E203=""</formula>
    </cfRule>
  </conditionalFormatting>
  <conditionalFormatting sqref="AP203">
    <cfRule type="expression" dxfId="2004" priority="3828" stopIfTrue="1">
      <formula>LEN(AP203)&gt;AR$3</formula>
    </cfRule>
    <cfRule type="expression" dxfId="2003" priority="3829" stopIfTrue="1">
      <formula>AND(NOT(ISERROR(SEARCH("~*~*~*",AP203,1))),SEARCH("~*~*~*",AP203,1)&gt;0)</formula>
    </cfRule>
  </conditionalFormatting>
  <conditionalFormatting sqref="Z203">
    <cfRule type="expression" dxfId="2002" priority="3830" stopIfTrue="1">
      <formula>LEN(Z203)&gt;$AA$3</formula>
    </cfRule>
    <cfRule type="expression" dxfId="2001" priority="3831" stopIfTrue="1">
      <formula>AND(NOT(ISERROR(SEARCH("~*~*~*",Z203,1))),SEARCH("~*~*~*",Z203,1)&gt;0)</formula>
    </cfRule>
  </conditionalFormatting>
  <conditionalFormatting sqref="AN203">
    <cfRule type="expression" dxfId="2000" priority="3832" stopIfTrue="1">
      <formula>LEN(AN203)&gt;#REF!</formula>
    </cfRule>
    <cfRule type="expression" dxfId="1999" priority="3833" stopIfTrue="1">
      <formula>AND(NOT(ISERROR(SEARCH("~*~*~*",AN203,1))),SEARCH("~*~*~*",AN203,1)&gt;0)</formula>
    </cfRule>
  </conditionalFormatting>
  <conditionalFormatting sqref="AO203 AM203">
    <cfRule type="expression" dxfId="1998" priority="3834" stopIfTrue="1">
      <formula>LEN(AM203)&gt;32</formula>
    </cfRule>
    <cfRule type="expression" dxfId="1997" priority="3835" stopIfTrue="1">
      <formula>AND(NOT(ISERROR(SEARCH("~*~*~*",AM203,1))),SEARCH("~*~*~*",AM203,1)&gt;0)</formula>
    </cfRule>
  </conditionalFormatting>
  <conditionalFormatting sqref="AT203">
    <cfRule type="cellIs" dxfId="1996" priority="3836" stopIfTrue="1" operator="greaterThan">
      <formula>1</formula>
    </cfRule>
  </conditionalFormatting>
  <conditionalFormatting sqref="O178:X178">
    <cfRule type="expression" dxfId="1995" priority="3809" stopIfTrue="1">
      <formula>E178&lt;&gt;""</formula>
    </cfRule>
    <cfRule type="expression" dxfId="1994" priority="3810" stopIfTrue="1">
      <formula>E178=""</formula>
    </cfRule>
  </conditionalFormatting>
  <conditionalFormatting sqref="AP178">
    <cfRule type="expression" dxfId="1993" priority="3814" stopIfTrue="1">
      <formula>LEN(AP178)&gt;AR$3</formula>
    </cfRule>
    <cfRule type="expression" dxfId="1992" priority="3815" stopIfTrue="1">
      <formula>AND(NOT(ISERROR(SEARCH("~*~*~*",AP178,1))),SEARCH("~*~*~*",AP178,1)&gt;0)</formula>
    </cfRule>
  </conditionalFormatting>
  <conditionalFormatting sqref="Z178">
    <cfRule type="expression" dxfId="1991" priority="3816" stopIfTrue="1">
      <formula>LEN(Z178)&gt;$AA$3</formula>
    </cfRule>
    <cfRule type="expression" dxfId="1990" priority="3817" stopIfTrue="1">
      <formula>AND(NOT(ISERROR(SEARCH("~*~*~*",Z178,1))),SEARCH("~*~*~*",Z178,1)&gt;0)</formula>
    </cfRule>
  </conditionalFormatting>
  <conditionalFormatting sqref="AN178">
    <cfRule type="expression" dxfId="1989" priority="3818" stopIfTrue="1">
      <formula>LEN(AN178)&gt;#REF!</formula>
    </cfRule>
    <cfRule type="expression" dxfId="1988" priority="3819" stopIfTrue="1">
      <formula>AND(NOT(ISERROR(SEARCH("~*~*~*",AN178,1))),SEARCH("~*~*~*",AN178,1)&gt;0)</formula>
    </cfRule>
  </conditionalFormatting>
  <conditionalFormatting sqref="AO178 AM178">
    <cfRule type="expression" dxfId="1987" priority="3820" stopIfTrue="1">
      <formula>LEN(AM178)&gt;32</formula>
    </cfRule>
    <cfRule type="expression" dxfId="1986" priority="3821" stopIfTrue="1">
      <formula>AND(NOT(ISERROR(SEARCH("~*~*~*",AM178,1))),SEARCH("~*~*~*",AM178,1)&gt;0)</formula>
    </cfRule>
  </conditionalFormatting>
  <conditionalFormatting sqref="AT178">
    <cfRule type="cellIs" dxfId="1985" priority="3822" stopIfTrue="1" operator="greaterThan">
      <formula>1</formula>
    </cfRule>
  </conditionalFormatting>
  <conditionalFormatting sqref="O179:X179">
    <cfRule type="expression" dxfId="1984" priority="3795" stopIfTrue="1">
      <formula>E179&lt;&gt;""</formula>
    </cfRule>
    <cfRule type="expression" dxfId="1983" priority="3796" stopIfTrue="1">
      <formula>E179=""</formula>
    </cfRule>
  </conditionalFormatting>
  <conditionalFormatting sqref="AP179">
    <cfRule type="expression" dxfId="1982" priority="3800" stopIfTrue="1">
      <formula>LEN(AP179)&gt;AR$3</formula>
    </cfRule>
    <cfRule type="expression" dxfId="1981" priority="3801" stopIfTrue="1">
      <formula>AND(NOT(ISERROR(SEARCH("~*~*~*",AP179,1))),SEARCH("~*~*~*",AP179,1)&gt;0)</formula>
    </cfRule>
  </conditionalFormatting>
  <conditionalFormatting sqref="Z179">
    <cfRule type="expression" dxfId="1980" priority="3802" stopIfTrue="1">
      <formula>LEN(Z179)&gt;$AA$3</formula>
    </cfRule>
    <cfRule type="expression" dxfId="1979" priority="3803" stopIfTrue="1">
      <formula>AND(NOT(ISERROR(SEARCH("~*~*~*",Z179,1))),SEARCH("~*~*~*",Z179,1)&gt;0)</formula>
    </cfRule>
  </conditionalFormatting>
  <conditionalFormatting sqref="AN179">
    <cfRule type="expression" dxfId="1978" priority="3804" stopIfTrue="1">
      <formula>LEN(AN179)&gt;#REF!</formula>
    </cfRule>
    <cfRule type="expression" dxfId="1977" priority="3805" stopIfTrue="1">
      <formula>AND(NOT(ISERROR(SEARCH("~*~*~*",AN179,1))),SEARCH("~*~*~*",AN179,1)&gt;0)</formula>
    </cfRule>
  </conditionalFormatting>
  <conditionalFormatting sqref="AO179 AM179">
    <cfRule type="expression" dxfId="1976" priority="3806" stopIfTrue="1">
      <formula>LEN(AM179)&gt;32</formula>
    </cfRule>
    <cfRule type="expression" dxfId="1975" priority="3807" stopIfTrue="1">
      <formula>AND(NOT(ISERROR(SEARCH("~*~*~*",AM179,1))),SEARCH("~*~*~*",AM179,1)&gt;0)</formula>
    </cfRule>
  </conditionalFormatting>
  <conditionalFormatting sqref="AT179">
    <cfRule type="cellIs" dxfId="1974" priority="3808" stopIfTrue="1" operator="greaterThan">
      <formula>1</formula>
    </cfRule>
  </conditionalFormatting>
  <conditionalFormatting sqref="O180:X180">
    <cfRule type="expression" dxfId="1973" priority="3781" stopIfTrue="1">
      <formula>E180&lt;&gt;""</formula>
    </cfRule>
    <cfRule type="expression" dxfId="1972" priority="3782" stopIfTrue="1">
      <formula>E180=""</formula>
    </cfRule>
  </conditionalFormatting>
  <conditionalFormatting sqref="AP180">
    <cfRule type="expression" dxfId="1971" priority="3786" stopIfTrue="1">
      <formula>LEN(AP180)&gt;AR$3</formula>
    </cfRule>
    <cfRule type="expression" dxfId="1970" priority="3787" stopIfTrue="1">
      <formula>AND(NOT(ISERROR(SEARCH("~*~*~*",AP180,1))),SEARCH("~*~*~*",AP180,1)&gt;0)</formula>
    </cfRule>
  </conditionalFormatting>
  <conditionalFormatting sqref="Z180">
    <cfRule type="expression" dxfId="1969" priority="3788" stopIfTrue="1">
      <formula>LEN(Z180)&gt;$AA$3</formula>
    </cfRule>
    <cfRule type="expression" dxfId="1968" priority="3789" stopIfTrue="1">
      <formula>AND(NOT(ISERROR(SEARCH("~*~*~*",Z180,1))),SEARCH("~*~*~*",Z180,1)&gt;0)</formula>
    </cfRule>
  </conditionalFormatting>
  <conditionalFormatting sqref="AN180">
    <cfRule type="expression" dxfId="1967" priority="3790" stopIfTrue="1">
      <formula>LEN(AN180)&gt;#REF!</formula>
    </cfRule>
    <cfRule type="expression" dxfId="1966" priority="3791" stopIfTrue="1">
      <formula>AND(NOT(ISERROR(SEARCH("~*~*~*",AN180,1))),SEARCH("~*~*~*",AN180,1)&gt;0)</formula>
    </cfRule>
  </conditionalFormatting>
  <conditionalFormatting sqref="AO180 AM180">
    <cfRule type="expression" dxfId="1965" priority="3792" stopIfTrue="1">
      <formula>LEN(AM180)&gt;32</formula>
    </cfRule>
    <cfRule type="expression" dxfId="1964" priority="3793" stopIfTrue="1">
      <formula>AND(NOT(ISERROR(SEARCH("~*~*~*",AM180,1))),SEARCH("~*~*~*",AM180,1)&gt;0)</formula>
    </cfRule>
  </conditionalFormatting>
  <conditionalFormatting sqref="AT180">
    <cfRule type="cellIs" dxfId="1963" priority="3794" stopIfTrue="1" operator="greaterThan">
      <formula>1</formula>
    </cfRule>
  </conditionalFormatting>
  <conditionalFormatting sqref="O181:X181">
    <cfRule type="expression" dxfId="1962" priority="3767" stopIfTrue="1">
      <formula>E181&lt;&gt;""</formula>
    </cfRule>
    <cfRule type="expression" dxfId="1961" priority="3768" stopIfTrue="1">
      <formula>E181=""</formula>
    </cfRule>
  </conditionalFormatting>
  <conditionalFormatting sqref="AP181">
    <cfRule type="expression" dxfId="1960" priority="3772" stopIfTrue="1">
      <formula>LEN(AP181)&gt;AR$3</formula>
    </cfRule>
    <cfRule type="expression" dxfId="1959" priority="3773" stopIfTrue="1">
      <formula>AND(NOT(ISERROR(SEARCH("~*~*~*",AP181,1))),SEARCH("~*~*~*",AP181,1)&gt;0)</formula>
    </cfRule>
  </conditionalFormatting>
  <conditionalFormatting sqref="Z181">
    <cfRule type="expression" dxfId="1958" priority="3774" stopIfTrue="1">
      <formula>LEN(Z181)&gt;$AA$3</formula>
    </cfRule>
    <cfRule type="expression" dxfId="1957" priority="3775" stopIfTrue="1">
      <formula>AND(NOT(ISERROR(SEARCH("~*~*~*",Z181,1))),SEARCH("~*~*~*",Z181,1)&gt;0)</formula>
    </cfRule>
  </conditionalFormatting>
  <conditionalFormatting sqref="AN181">
    <cfRule type="expression" dxfId="1956" priority="3776" stopIfTrue="1">
      <formula>LEN(AN181)&gt;#REF!</formula>
    </cfRule>
    <cfRule type="expression" dxfId="1955" priority="3777" stopIfTrue="1">
      <formula>AND(NOT(ISERROR(SEARCH("~*~*~*",AN181,1))),SEARCH("~*~*~*",AN181,1)&gt;0)</formula>
    </cfRule>
  </conditionalFormatting>
  <conditionalFormatting sqref="AO181 AM181">
    <cfRule type="expression" dxfId="1954" priority="3778" stopIfTrue="1">
      <formula>LEN(AM181)&gt;32</formula>
    </cfRule>
    <cfRule type="expression" dxfId="1953" priority="3779" stopIfTrue="1">
      <formula>AND(NOT(ISERROR(SEARCH("~*~*~*",AM181,1))),SEARCH("~*~*~*",AM181,1)&gt;0)</formula>
    </cfRule>
  </conditionalFormatting>
  <conditionalFormatting sqref="AT181">
    <cfRule type="cellIs" dxfId="1952" priority="3780" stopIfTrue="1" operator="greaterThan">
      <formula>1</formula>
    </cfRule>
  </conditionalFormatting>
  <conditionalFormatting sqref="O182:X182">
    <cfRule type="expression" dxfId="1951" priority="3753" stopIfTrue="1">
      <formula>E182&lt;&gt;""</formula>
    </cfRule>
    <cfRule type="expression" dxfId="1950" priority="3754" stopIfTrue="1">
      <formula>E182=""</formula>
    </cfRule>
  </conditionalFormatting>
  <conditionalFormatting sqref="AP182">
    <cfRule type="expression" dxfId="1949" priority="3758" stopIfTrue="1">
      <formula>LEN(AP182)&gt;AR$3</formula>
    </cfRule>
    <cfRule type="expression" dxfId="1948" priority="3759" stopIfTrue="1">
      <formula>AND(NOT(ISERROR(SEARCH("~*~*~*",AP182,1))),SEARCH("~*~*~*",AP182,1)&gt;0)</formula>
    </cfRule>
  </conditionalFormatting>
  <conditionalFormatting sqref="Z182">
    <cfRule type="expression" dxfId="1947" priority="3760" stopIfTrue="1">
      <formula>LEN(Z182)&gt;$AA$3</formula>
    </cfRule>
    <cfRule type="expression" dxfId="1946" priority="3761" stopIfTrue="1">
      <formula>AND(NOT(ISERROR(SEARCH("~*~*~*",Z182,1))),SEARCH("~*~*~*",Z182,1)&gt;0)</formula>
    </cfRule>
  </conditionalFormatting>
  <conditionalFormatting sqref="AN182">
    <cfRule type="expression" dxfId="1945" priority="3762" stopIfTrue="1">
      <formula>LEN(AN182)&gt;#REF!</formula>
    </cfRule>
    <cfRule type="expression" dxfId="1944" priority="3763" stopIfTrue="1">
      <formula>AND(NOT(ISERROR(SEARCH("~*~*~*",AN182,1))),SEARCH("~*~*~*",AN182,1)&gt;0)</formula>
    </cfRule>
  </conditionalFormatting>
  <conditionalFormatting sqref="AO182 AM182">
    <cfRule type="expression" dxfId="1943" priority="3764" stopIfTrue="1">
      <formula>LEN(AM182)&gt;32</formula>
    </cfRule>
    <cfRule type="expression" dxfId="1942" priority="3765" stopIfTrue="1">
      <formula>AND(NOT(ISERROR(SEARCH("~*~*~*",AM182,1))),SEARCH("~*~*~*",AM182,1)&gt;0)</formula>
    </cfRule>
  </conditionalFormatting>
  <conditionalFormatting sqref="AT182">
    <cfRule type="cellIs" dxfId="1941" priority="3766" stopIfTrue="1" operator="greaterThan">
      <formula>1</formula>
    </cfRule>
  </conditionalFormatting>
  <conditionalFormatting sqref="O183:X183">
    <cfRule type="expression" dxfId="1940" priority="3739" stopIfTrue="1">
      <formula>E183&lt;&gt;""</formula>
    </cfRule>
    <cfRule type="expression" dxfId="1939" priority="3740" stopIfTrue="1">
      <formula>E183=""</formula>
    </cfRule>
  </conditionalFormatting>
  <conditionalFormatting sqref="AP183">
    <cfRule type="expression" dxfId="1938" priority="3744" stopIfTrue="1">
      <formula>LEN(AP183)&gt;AR$3</formula>
    </cfRule>
    <cfRule type="expression" dxfId="1937" priority="3745" stopIfTrue="1">
      <formula>AND(NOT(ISERROR(SEARCH("~*~*~*",AP183,1))),SEARCH("~*~*~*",AP183,1)&gt;0)</formula>
    </cfRule>
  </conditionalFormatting>
  <conditionalFormatting sqref="Z183">
    <cfRule type="expression" dxfId="1936" priority="3746" stopIfTrue="1">
      <formula>LEN(Z183)&gt;$AA$3</formula>
    </cfRule>
    <cfRule type="expression" dxfId="1935" priority="3747" stopIfTrue="1">
      <formula>AND(NOT(ISERROR(SEARCH("~*~*~*",Z183,1))),SEARCH("~*~*~*",Z183,1)&gt;0)</formula>
    </cfRule>
  </conditionalFormatting>
  <conditionalFormatting sqref="AN183">
    <cfRule type="expression" dxfId="1934" priority="3748" stopIfTrue="1">
      <formula>LEN(AN183)&gt;#REF!</formula>
    </cfRule>
    <cfRule type="expression" dxfId="1933" priority="3749" stopIfTrue="1">
      <formula>AND(NOT(ISERROR(SEARCH("~*~*~*",AN183,1))),SEARCH("~*~*~*",AN183,1)&gt;0)</formula>
    </cfRule>
  </conditionalFormatting>
  <conditionalFormatting sqref="AO183 AM183">
    <cfRule type="expression" dxfId="1932" priority="3750" stopIfTrue="1">
      <formula>LEN(AM183)&gt;32</formula>
    </cfRule>
    <cfRule type="expression" dxfId="1931" priority="3751" stopIfTrue="1">
      <formula>AND(NOT(ISERROR(SEARCH("~*~*~*",AM183,1))),SEARCH("~*~*~*",AM183,1)&gt;0)</formula>
    </cfRule>
  </conditionalFormatting>
  <conditionalFormatting sqref="AT183">
    <cfRule type="cellIs" dxfId="1930" priority="3752" stopIfTrue="1" operator="greaterThan">
      <formula>1</formula>
    </cfRule>
  </conditionalFormatting>
  <conditionalFormatting sqref="O184:X184">
    <cfRule type="expression" dxfId="1929" priority="3725" stopIfTrue="1">
      <formula>E184&lt;&gt;""</formula>
    </cfRule>
    <cfRule type="expression" dxfId="1928" priority="3726" stopIfTrue="1">
      <formula>E184=""</formula>
    </cfRule>
  </conditionalFormatting>
  <conditionalFormatting sqref="AP184">
    <cfRule type="expression" dxfId="1927" priority="3730" stopIfTrue="1">
      <formula>LEN(AP184)&gt;AR$3</formula>
    </cfRule>
    <cfRule type="expression" dxfId="1926" priority="3731" stopIfTrue="1">
      <formula>AND(NOT(ISERROR(SEARCH("~*~*~*",AP184,1))),SEARCH("~*~*~*",AP184,1)&gt;0)</formula>
    </cfRule>
  </conditionalFormatting>
  <conditionalFormatting sqref="Z184">
    <cfRule type="expression" dxfId="1925" priority="3732" stopIfTrue="1">
      <formula>LEN(Z184)&gt;$AA$3</formula>
    </cfRule>
    <cfRule type="expression" dxfId="1924" priority="3733" stopIfTrue="1">
      <formula>AND(NOT(ISERROR(SEARCH("~*~*~*",Z184,1))),SEARCH("~*~*~*",Z184,1)&gt;0)</formula>
    </cfRule>
  </conditionalFormatting>
  <conditionalFormatting sqref="AN184">
    <cfRule type="expression" dxfId="1923" priority="3734" stopIfTrue="1">
      <formula>LEN(AN184)&gt;#REF!</formula>
    </cfRule>
    <cfRule type="expression" dxfId="1922" priority="3735" stopIfTrue="1">
      <formula>AND(NOT(ISERROR(SEARCH("~*~*~*",AN184,1))),SEARCH("~*~*~*",AN184,1)&gt;0)</formula>
    </cfRule>
  </conditionalFormatting>
  <conditionalFormatting sqref="AO184 AM184">
    <cfRule type="expression" dxfId="1921" priority="3736" stopIfTrue="1">
      <formula>LEN(AM184)&gt;32</formula>
    </cfRule>
    <cfRule type="expression" dxfId="1920" priority="3737" stopIfTrue="1">
      <formula>AND(NOT(ISERROR(SEARCH("~*~*~*",AM184,1))),SEARCH("~*~*~*",AM184,1)&gt;0)</formula>
    </cfRule>
  </conditionalFormatting>
  <conditionalFormatting sqref="AT184">
    <cfRule type="cellIs" dxfId="1919" priority="3738" stopIfTrue="1" operator="greaterThan">
      <formula>1</formula>
    </cfRule>
  </conditionalFormatting>
  <conditionalFormatting sqref="O185:X185">
    <cfRule type="expression" dxfId="1918" priority="3711" stopIfTrue="1">
      <formula>E185&lt;&gt;""</formula>
    </cfRule>
    <cfRule type="expression" dxfId="1917" priority="3712" stopIfTrue="1">
      <formula>E185=""</formula>
    </cfRule>
  </conditionalFormatting>
  <conditionalFormatting sqref="AP185">
    <cfRule type="expression" dxfId="1916" priority="3716" stopIfTrue="1">
      <formula>LEN(AP185)&gt;AR$3</formula>
    </cfRule>
    <cfRule type="expression" dxfId="1915" priority="3717" stopIfTrue="1">
      <formula>AND(NOT(ISERROR(SEARCH("~*~*~*",AP185,1))),SEARCH("~*~*~*",AP185,1)&gt;0)</formula>
    </cfRule>
  </conditionalFormatting>
  <conditionalFormatting sqref="Z185">
    <cfRule type="expression" dxfId="1914" priority="3718" stopIfTrue="1">
      <formula>LEN(Z185)&gt;$AA$3</formula>
    </cfRule>
    <cfRule type="expression" dxfId="1913" priority="3719" stopIfTrue="1">
      <formula>AND(NOT(ISERROR(SEARCH("~*~*~*",Z185,1))),SEARCH("~*~*~*",Z185,1)&gt;0)</formula>
    </cfRule>
  </conditionalFormatting>
  <conditionalFormatting sqref="AN185">
    <cfRule type="expression" dxfId="1912" priority="3720" stopIfTrue="1">
      <formula>LEN(AN185)&gt;#REF!</formula>
    </cfRule>
    <cfRule type="expression" dxfId="1911" priority="3721" stopIfTrue="1">
      <formula>AND(NOT(ISERROR(SEARCH("~*~*~*",AN185,1))),SEARCH("~*~*~*",AN185,1)&gt;0)</formula>
    </cfRule>
  </conditionalFormatting>
  <conditionalFormatting sqref="AO185 AM185">
    <cfRule type="expression" dxfId="1910" priority="3722" stopIfTrue="1">
      <formula>LEN(AM185)&gt;32</formula>
    </cfRule>
    <cfRule type="expression" dxfId="1909" priority="3723" stopIfTrue="1">
      <formula>AND(NOT(ISERROR(SEARCH("~*~*~*",AM185,1))),SEARCH("~*~*~*",AM185,1)&gt;0)</formula>
    </cfRule>
  </conditionalFormatting>
  <conditionalFormatting sqref="AT185">
    <cfRule type="cellIs" dxfId="1908" priority="3724" stopIfTrue="1" operator="greaterThan">
      <formula>1</formula>
    </cfRule>
  </conditionalFormatting>
  <conditionalFormatting sqref="O186:X186">
    <cfRule type="expression" dxfId="1907" priority="3697" stopIfTrue="1">
      <formula>E186&lt;&gt;""</formula>
    </cfRule>
    <cfRule type="expression" dxfId="1906" priority="3698" stopIfTrue="1">
      <formula>E186=""</formula>
    </cfRule>
  </conditionalFormatting>
  <conditionalFormatting sqref="AP186">
    <cfRule type="expression" dxfId="1905" priority="3702" stopIfTrue="1">
      <formula>LEN(AP186)&gt;AR$3</formula>
    </cfRule>
    <cfRule type="expression" dxfId="1904" priority="3703" stopIfTrue="1">
      <formula>AND(NOT(ISERROR(SEARCH("~*~*~*",AP186,1))),SEARCH("~*~*~*",AP186,1)&gt;0)</formula>
    </cfRule>
  </conditionalFormatting>
  <conditionalFormatting sqref="Z186">
    <cfRule type="expression" dxfId="1903" priority="3704" stopIfTrue="1">
      <formula>LEN(Z186)&gt;$AA$3</formula>
    </cfRule>
    <cfRule type="expression" dxfId="1902" priority="3705" stopIfTrue="1">
      <formula>AND(NOT(ISERROR(SEARCH("~*~*~*",Z186,1))),SEARCH("~*~*~*",Z186,1)&gt;0)</formula>
    </cfRule>
  </conditionalFormatting>
  <conditionalFormatting sqref="AN186">
    <cfRule type="expression" dxfId="1901" priority="3706" stopIfTrue="1">
      <formula>LEN(AN186)&gt;#REF!</formula>
    </cfRule>
    <cfRule type="expression" dxfId="1900" priority="3707" stopIfTrue="1">
      <formula>AND(NOT(ISERROR(SEARCH("~*~*~*",AN186,1))),SEARCH("~*~*~*",AN186,1)&gt;0)</formula>
    </cfRule>
  </conditionalFormatting>
  <conditionalFormatting sqref="AO186 AM186">
    <cfRule type="expression" dxfId="1899" priority="3708" stopIfTrue="1">
      <formula>LEN(AM186)&gt;32</formula>
    </cfRule>
    <cfRule type="expression" dxfId="1898" priority="3709" stopIfTrue="1">
      <formula>AND(NOT(ISERROR(SEARCH("~*~*~*",AM186,1))),SEARCH("~*~*~*",AM186,1)&gt;0)</formula>
    </cfRule>
  </conditionalFormatting>
  <conditionalFormatting sqref="AT186">
    <cfRule type="cellIs" dxfId="1897" priority="3710" stopIfTrue="1" operator="greaterThan">
      <formula>1</formula>
    </cfRule>
  </conditionalFormatting>
  <conditionalFormatting sqref="O187:X187">
    <cfRule type="expression" dxfId="1896" priority="3683" stopIfTrue="1">
      <formula>E187&lt;&gt;""</formula>
    </cfRule>
    <cfRule type="expression" dxfId="1895" priority="3684" stopIfTrue="1">
      <formula>E187=""</formula>
    </cfRule>
  </conditionalFormatting>
  <conditionalFormatting sqref="AP187">
    <cfRule type="expression" dxfId="1894" priority="3688" stopIfTrue="1">
      <formula>LEN(AP187)&gt;AR$3</formula>
    </cfRule>
    <cfRule type="expression" dxfId="1893" priority="3689" stopIfTrue="1">
      <formula>AND(NOT(ISERROR(SEARCH("~*~*~*",AP187,1))),SEARCH("~*~*~*",AP187,1)&gt;0)</formula>
    </cfRule>
  </conditionalFormatting>
  <conditionalFormatting sqref="Z187">
    <cfRule type="expression" dxfId="1892" priority="3690" stopIfTrue="1">
      <formula>LEN(Z187)&gt;$AA$3</formula>
    </cfRule>
    <cfRule type="expression" dxfId="1891" priority="3691" stopIfTrue="1">
      <formula>AND(NOT(ISERROR(SEARCH("~*~*~*",Z187,1))),SEARCH("~*~*~*",Z187,1)&gt;0)</formula>
    </cfRule>
  </conditionalFormatting>
  <conditionalFormatting sqref="AN187">
    <cfRule type="expression" dxfId="1890" priority="3692" stopIfTrue="1">
      <formula>LEN(AN187)&gt;#REF!</formula>
    </cfRule>
    <cfRule type="expression" dxfId="1889" priority="3693" stopIfTrue="1">
      <formula>AND(NOT(ISERROR(SEARCH("~*~*~*",AN187,1))),SEARCH("~*~*~*",AN187,1)&gt;0)</formula>
    </cfRule>
  </conditionalFormatting>
  <conditionalFormatting sqref="AO187 AM187">
    <cfRule type="expression" dxfId="1888" priority="3694" stopIfTrue="1">
      <formula>LEN(AM187)&gt;32</formula>
    </cfRule>
    <cfRule type="expression" dxfId="1887" priority="3695" stopIfTrue="1">
      <formula>AND(NOT(ISERROR(SEARCH("~*~*~*",AM187,1))),SEARCH("~*~*~*",AM187,1)&gt;0)</formula>
    </cfRule>
  </conditionalFormatting>
  <conditionalFormatting sqref="AT187">
    <cfRule type="cellIs" dxfId="1886" priority="3696" stopIfTrue="1" operator="greaterThan">
      <formula>1</formula>
    </cfRule>
  </conditionalFormatting>
  <conditionalFormatting sqref="O188:X188">
    <cfRule type="expression" dxfId="1885" priority="3669" stopIfTrue="1">
      <formula>E188&lt;&gt;""</formula>
    </cfRule>
    <cfRule type="expression" dxfId="1884" priority="3670" stopIfTrue="1">
      <formula>E188=""</formula>
    </cfRule>
  </conditionalFormatting>
  <conditionalFormatting sqref="AP188">
    <cfRule type="expression" dxfId="1883" priority="3674" stopIfTrue="1">
      <formula>LEN(AP188)&gt;AR$3</formula>
    </cfRule>
    <cfRule type="expression" dxfId="1882" priority="3675" stopIfTrue="1">
      <formula>AND(NOT(ISERROR(SEARCH("~*~*~*",AP188,1))),SEARCH("~*~*~*",AP188,1)&gt;0)</formula>
    </cfRule>
  </conditionalFormatting>
  <conditionalFormatting sqref="Z188">
    <cfRule type="expression" dxfId="1881" priority="3676" stopIfTrue="1">
      <formula>LEN(Z188)&gt;$AA$3</formula>
    </cfRule>
    <cfRule type="expression" dxfId="1880" priority="3677" stopIfTrue="1">
      <formula>AND(NOT(ISERROR(SEARCH("~*~*~*",Z188,1))),SEARCH("~*~*~*",Z188,1)&gt;0)</formula>
    </cfRule>
  </conditionalFormatting>
  <conditionalFormatting sqref="AN188">
    <cfRule type="expression" dxfId="1879" priority="3678" stopIfTrue="1">
      <formula>LEN(AN188)&gt;#REF!</formula>
    </cfRule>
    <cfRule type="expression" dxfId="1878" priority="3679" stopIfTrue="1">
      <formula>AND(NOT(ISERROR(SEARCH("~*~*~*",AN188,1))),SEARCH("~*~*~*",AN188,1)&gt;0)</formula>
    </cfRule>
  </conditionalFormatting>
  <conditionalFormatting sqref="AO188 AM188">
    <cfRule type="expression" dxfId="1877" priority="3680" stopIfTrue="1">
      <formula>LEN(AM188)&gt;32</formula>
    </cfRule>
    <cfRule type="expression" dxfId="1876" priority="3681" stopIfTrue="1">
      <formula>AND(NOT(ISERROR(SEARCH("~*~*~*",AM188,1))),SEARCH("~*~*~*",AM188,1)&gt;0)</formula>
    </cfRule>
  </conditionalFormatting>
  <conditionalFormatting sqref="AT188">
    <cfRule type="cellIs" dxfId="1875" priority="3682" stopIfTrue="1" operator="greaterThan">
      <formula>1</formula>
    </cfRule>
  </conditionalFormatting>
  <conditionalFormatting sqref="O189:X189">
    <cfRule type="expression" dxfId="1874" priority="3655" stopIfTrue="1">
      <formula>E189&lt;&gt;""</formula>
    </cfRule>
    <cfRule type="expression" dxfId="1873" priority="3656" stopIfTrue="1">
      <formula>E189=""</formula>
    </cfRule>
  </conditionalFormatting>
  <conditionalFormatting sqref="AP189">
    <cfRule type="expression" dxfId="1872" priority="3660" stopIfTrue="1">
      <formula>LEN(AP189)&gt;AR$3</formula>
    </cfRule>
    <cfRule type="expression" dxfId="1871" priority="3661" stopIfTrue="1">
      <formula>AND(NOT(ISERROR(SEARCH("~*~*~*",AP189,1))),SEARCH("~*~*~*",AP189,1)&gt;0)</formula>
    </cfRule>
  </conditionalFormatting>
  <conditionalFormatting sqref="Z189">
    <cfRule type="expression" dxfId="1870" priority="3662" stopIfTrue="1">
      <formula>LEN(Z189)&gt;$AA$3</formula>
    </cfRule>
    <cfRule type="expression" dxfId="1869" priority="3663" stopIfTrue="1">
      <formula>AND(NOT(ISERROR(SEARCH("~*~*~*",Z189,1))),SEARCH("~*~*~*",Z189,1)&gt;0)</formula>
    </cfRule>
  </conditionalFormatting>
  <conditionalFormatting sqref="AN189">
    <cfRule type="expression" dxfId="1868" priority="3664" stopIfTrue="1">
      <formula>LEN(AN189)&gt;#REF!</formula>
    </cfRule>
    <cfRule type="expression" dxfId="1867" priority="3665" stopIfTrue="1">
      <formula>AND(NOT(ISERROR(SEARCH("~*~*~*",AN189,1))),SEARCH("~*~*~*",AN189,1)&gt;0)</formula>
    </cfRule>
  </conditionalFormatting>
  <conditionalFormatting sqref="AO189 AM189">
    <cfRule type="expression" dxfId="1866" priority="3666" stopIfTrue="1">
      <formula>LEN(AM189)&gt;32</formula>
    </cfRule>
    <cfRule type="expression" dxfId="1865" priority="3667" stopIfTrue="1">
      <formula>AND(NOT(ISERROR(SEARCH("~*~*~*",AM189,1))),SEARCH("~*~*~*",AM189,1)&gt;0)</formula>
    </cfRule>
  </conditionalFormatting>
  <conditionalFormatting sqref="AT189">
    <cfRule type="cellIs" dxfId="1864" priority="3668" stopIfTrue="1" operator="greaterThan">
      <formula>1</formula>
    </cfRule>
  </conditionalFormatting>
  <conditionalFormatting sqref="O190:X190">
    <cfRule type="expression" dxfId="1863" priority="3641" stopIfTrue="1">
      <formula>E190&lt;&gt;""</formula>
    </cfRule>
    <cfRule type="expression" dxfId="1862" priority="3642" stopIfTrue="1">
      <formula>E190=""</formula>
    </cfRule>
  </conditionalFormatting>
  <conditionalFormatting sqref="AP190">
    <cfRule type="expression" dxfId="1861" priority="3646" stopIfTrue="1">
      <formula>LEN(AP190)&gt;AR$3</formula>
    </cfRule>
    <cfRule type="expression" dxfId="1860" priority="3647" stopIfTrue="1">
      <formula>AND(NOT(ISERROR(SEARCH("~*~*~*",AP190,1))),SEARCH("~*~*~*",AP190,1)&gt;0)</formula>
    </cfRule>
  </conditionalFormatting>
  <conditionalFormatting sqref="Z190">
    <cfRule type="expression" dxfId="1859" priority="3648" stopIfTrue="1">
      <formula>LEN(Z190)&gt;$AA$3</formula>
    </cfRule>
    <cfRule type="expression" dxfId="1858" priority="3649" stopIfTrue="1">
      <formula>AND(NOT(ISERROR(SEARCH("~*~*~*",Z190,1))),SEARCH("~*~*~*",Z190,1)&gt;0)</formula>
    </cfRule>
  </conditionalFormatting>
  <conditionalFormatting sqref="AN190">
    <cfRule type="expression" dxfId="1857" priority="3650" stopIfTrue="1">
      <formula>LEN(AN190)&gt;#REF!</formula>
    </cfRule>
    <cfRule type="expression" dxfId="1856" priority="3651" stopIfTrue="1">
      <formula>AND(NOT(ISERROR(SEARCH("~*~*~*",AN190,1))),SEARCH("~*~*~*",AN190,1)&gt;0)</formula>
    </cfRule>
  </conditionalFormatting>
  <conditionalFormatting sqref="AO190 AM190">
    <cfRule type="expression" dxfId="1855" priority="3652" stopIfTrue="1">
      <formula>LEN(AM190)&gt;32</formula>
    </cfRule>
    <cfRule type="expression" dxfId="1854" priority="3653" stopIfTrue="1">
      <formula>AND(NOT(ISERROR(SEARCH("~*~*~*",AM190,1))),SEARCH("~*~*~*",AM190,1)&gt;0)</formula>
    </cfRule>
  </conditionalFormatting>
  <conditionalFormatting sqref="AT190">
    <cfRule type="cellIs" dxfId="1853" priority="3654" stopIfTrue="1" operator="greaterThan">
      <formula>1</formula>
    </cfRule>
  </conditionalFormatting>
  <conditionalFormatting sqref="O165:X165">
    <cfRule type="expression" dxfId="1852" priority="3627" stopIfTrue="1">
      <formula>E165&lt;&gt;""</formula>
    </cfRule>
    <cfRule type="expression" dxfId="1851" priority="3628" stopIfTrue="1">
      <formula>E165=""</formula>
    </cfRule>
  </conditionalFormatting>
  <conditionalFormatting sqref="AP165">
    <cfRule type="expression" dxfId="1850" priority="3632" stopIfTrue="1">
      <formula>LEN(AP165)&gt;AR$3</formula>
    </cfRule>
    <cfRule type="expression" dxfId="1849" priority="3633" stopIfTrue="1">
      <formula>AND(NOT(ISERROR(SEARCH("~*~*~*",AP165,1))),SEARCH("~*~*~*",AP165,1)&gt;0)</formula>
    </cfRule>
  </conditionalFormatting>
  <conditionalFormatting sqref="Z165">
    <cfRule type="expression" dxfId="1848" priority="3634" stopIfTrue="1">
      <formula>LEN(Z165)&gt;$AA$3</formula>
    </cfRule>
    <cfRule type="expression" dxfId="1847" priority="3635" stopIfTrue="1">
      <formula>AND(NOT(ISERROR(SEARCH("~*~*~*",Z165,1))),SEARCH("~*~*~*",Z165,1)&gt;0)</formula>
    </cfRule>
  </conditionalFormatting>
  <conditionalFormatting sqref="AN165">
    <cfRule type="expression" dxfId="1846" priority="3636" stopIfTrue="1">
      <formula>LEN(AN165)&gt;#REF!</formula>
    </cfRule>
    <cfRule type="expression" dxfId="1845" priority="3637" stopIfTrue="1">
      <formula>AND(NOT(ISERROR(SEARCH("~*~*~*",AN165,1))),SEARCH("~*~*~*",AN165,1)&gt;0)</formula>
    </cfRule>
  </conditionalFormatting>
  <conditionalFormatting sqref="AO165 AM165">
    <cfRule type="expression" dxfId="1844" priority="3638" stopIfTrue="1">
      <formula>LEN(AM165)&gt;32</formula>
    </cfRule>
    <cfRule type="expression" dxfId="1843" priority="3639" stopIfTrue="1">
      <formula>AND(NOT(ISERROR(SEARCH("~*~*~*",AM165,1))),SEARCH("~*~*~*",AM165,1)&gt;0)</formula>
    </cfRule>
  </conditionalFormatting>
  <conditionalFormatting sqref="AT165">
    <cfRule type="cellIs" dxfId="1842" priority="3640" stopIfTrue="1" operator="greaterThan">
      <formula>1</formula>
    </cfRule>
  </conditionalFormatting>
  <conditionalFormatting sqref="O166:X166">
    <cfRule type="expression" dxfId="1841" priority="3613" stopIfTrue="1">
      <formula>E166&lt;&gt;""</formula>
    </cfRule>
    <cfRule type="expression" dxfId="1840" priority="3614" stopIfTrue="1">
      <formula>E166=""</formula>
    </cfRule>
  </conditionalFormatting>
  <conditionalFormatting sqref="AP166">
    <cfRule type="expression" dxfId="1839" priority="3618" stopIfTrue="1">
      <formula>LEN(AP166)&gt;AR$3</formula>
    </cfRule>
    <cfRule type="expression" dxfId="1838" priority="3619" stopIfTrue="1">
      <formula>AND(NOT(ISERROR(SEARCH("~*~*~*",AP166,1))),SEARCH("~*~*~*",AP166,1)&gt;0)</formula>
    </cfRule>
  </conditionalFormatting>
  <conditionalFormatting sqref="Z166">
    <cfRule type="expression" dxfId="1837" priority="3620" stopIfTrue="1">
      <formula>LEN(Z166)&gt;$AA$3</formula>
    </cfRule>
    <cfRule type="expression" dxfId="1836" priority="3621" stopIfTrue="1">
      <formula>AND(NOT(ISERROR(SEARCH("~*~*~*",Z166,1))),SEARCH("~*~*~*",Z166,1)&gt;0)</formula>
    </cfRule>
  </conditionalFormatting>
  <conditionalFormatting sqref="AN166">
    <cfRule type="expression" dxfId="1835" priority="3622" stopIfTrue="1">
      <formula>LEN(AN166)&gt;#REF!</formula>
    </cfRule>
    <cfRule type="expression" dxfId="1834" priority="3623" stopIfTrue="1">
      <formula>AND(NOT(ISERROR(SEARCH("~*~*~*",AN166,1))),SEARCH("~*~*~*",AN166,1)&gt;0)</formula>
    </cfRule>
  </conditionalFormatting>
  <conditionalFormatting sqref="AO166 AM166">
    <cfRule type="expression" dxfId="1833" priority="3624" stopIfTrue="1">
      <formula>LEN(AM166)&gt;32</formula>
    </cfRule>
    <cfRule type="expression" dxfId="1832" priority="3625" stopIfTrue="1">
      <formula>AND(NOT(ISERROR(SEARCH("~*~*~*",AM166,1))),SEARCH("~*~*~*",AM166,1)&gt;0)</formula>
    </cfRule>
  </conditionalFormatting>
  <conditionalFormatting sqref="AT166">
    <cfRule type="cellIs" dxfId="1831" priority="3626" stopIfTrue="1" operator="greaterThan">
      <formula>1</formula>
    </cfRule>
  </conditionalFormatting>
  <conditionalFormatting sqref="O167:X167">
    <cfRule type="expression" dxfId="1830" priority="3599" stopIfTrue="1">
      <formula>E167&lt;&gt;""</formula>
    </cfRule>
    <cfRule type="expression" dxfId="1829" priority="3600" stopIfTrue="1">
      <formula>E167=""</formula>
    </cfRule>
  </conditionalFormatting>
  <conditionalFormatting sqref="AP167">
    <cfRule type="expression" dxfId="1828" priority="3604" stopIfTrue="1">
      <formula>LEN(AP167)&gt;AR$3</formula>
    </cfRule>
    <cfRule type="expression" dxfId="1827" priority="3605" stopIfTrue="1">
      <formula>AND(NOT(ISERROR(SEARCH("~*~*~*",AP167,1))),SEARCH("~*~*~*",AP167,1)&gt;0)</formula>
    </cfRule>
  </conditionalFormatting>
  <conditionalFormatting sqref="Z167">
    <cfRule type="expression" dxfId="1826" priority="3606" stopIfTrue="1">
      <formula>LEN(Z167)&gt;$AA$3</formula>
    </cfRule>
    <cfRule type="expression" dxfId="1825" priority="3607" stopIfTrue="1">
      <formula>AND(NOT(ISERROR(SEARCH("~*~*~*",Z167,1))),SEARCH("~*~*~*",Z167,1)&gt;0)</formula>
    </cfRule>
  </conditionalFormatting>
  <conditionalFormatting sqref="AN167">
    <cfRule type="expression" dxfId="1824" priority="3608" stopIfTrue="1">
      <formula>LEN(AN167)&gt;#REF!</formula>
    </cfRule>
    <cfRule type="expression" dxfId="1823" priority="3609" stopIfTrue="1">
      <formula>AND(NOT(ISERROR(SEARCH("~*~*~*",AN167,1))),SEARCH("~*~*~*",AN167,1)&gt;0)</formula>
    </cfRule>
  </conditionalFormatting>
  <conditionalFormatting sqref="AO167 AM167">
    <cfRule type="expression" dxfId="1822" priority="3610" stopIfTrue="1">
      <formula>LEN(AM167)&gt;32</formula>
    </cfRule>
    <cfRule type="expression" dxfId="1821" priority="3611" stopIfTrue="1">
      <formula>AND(NOT(ISERROR(SEARCH("~*~*~*",AM167,1))),SEARCH("~*~*~*",AM167,1)&gt;0)</formula>
    </cfRule>
  </conditionalFormatting>
  <conditionalFormatting sqref="AT167">
    <cfRule type="cellIs" dxfId="1820" priority="3612" stopIfTrue="1" operator="greaterThan">
      <formula>1</formula>
    </cfRule>
  </conditionalFormatting>
  <conditionalFormatting sqref="O168:X168">
    <cfRule type="expression" dxfId="1819" priority="3585" stopIfTrue="1">
      <formula>E168&lt;&gt;""</formula>
    </cfRule>
    <cfRule type="expression" dxfId="1818" priority="3586" stopIfTrue="1">
      <formula>E168=""</formula>
    </cfRule>
  </conditionalFormatting>
  <conditionalFormatting sqref="AP168">
    <cfRule type="expression" dxfId="1817" priority="3590" stopIfTrue="1">
      <formula>LEN(AP168)&gt;AR$3</formula>
    </cfRule>
    <cfRule type="expression" dxfId="1816" priority="3591" stopIfTrue="1">
      <formula>AND(NOT(ISERROR(SEARCH("~*~*~*",AP168,1))),SEARCH("~*~*~*",AP168,1)&gt;0)</formula>
    </cfRule>
  </conditionalFormatting>
  <conditionalFormatting sqref="Z168">
    <cfRule type="expression" dxfId="1815" priority="3592" stopIfTrue="1">
      <formula>LEN(Z168)&gt;$AA$3</formula>
    </cfRule>
    <cfRule type="expression" dxfId="1814" priority="3593" stopIfTrue="1">
      <formula>AND(NOT(ISERROR(SEARCH("~*~*~*",Z168,1))),SEARCH("~*~*~*",Z168,1)&gt;0)</formula>
    </cfRule>
  </conditionalFormatting>
  <conditionalFormatting sqref="AN168">
    <cfRule type="expression" dxfId="1813" priority="3594" stopIfTrue="1">
      <formula>LEN(AN168)&gt;#REF!</formula>
    </cfRule>
    <cfRule type="expression" dxfId="1812" priority="3595" stopIfTrue="1">
      <formula>AND(NOT(ISERROR(SEARCH("~*~*~*",AN168,1))),SEARCH("~*~*~*",AN168,1)&gt;0)</formula>
    </cfRule>
  </conditionalFormatting>
  <conditionalFormatting sqref="AO168 AM168">
    <cfRule type="expression" dxfId="1811" priority="3596" stopIfTrue="1">
      <formula>LEN(AM168)&gt;32</formula>
    </cfRule>
    <cfRule type="expression" dxfId="1810" priority="3597" stopIfTrue="1">
      <formula>AND(NOT(ISERROR(SEARCH("~*~*~*",AM168,1))),SEARCH("~*~*~*",AM168,1)&gt;0)</formula>
    </cfRule>
  </conditionalFormatting>
  <conditionalFormatting sqref="AT168">
    <cfRule type="cellIs" dxfId="1809" priority="3598" stopIfTrue="1" operator="greaterThan">
      <formula>1</formula>
    </cfRule>
  </conditionalFormatting>
  <conditionalFormatting sqref="O169:X169">
    <cfRule type="expression" dxfId="1808" priority="3571" stopIfTrue="1">
      <formula>E169&lt;&gt;""</formula>
    </cfRule>
    <cfRule type="expression" dxfId="1807" priority="3572" stopIfTrue="1">
      <formula>E169=""</formula>
    </cfRule>
  </conditionalFormatting>
  <conditionalFormatting sqref="AP169">
    <cfRule type="expression" dxfId="1806" priority="3576" stopIfTrue="1">
      <formula>LEN(AP169)&gt;AR$3</formula>
    </cfRule>
    <cfRule type="expression" dxfId="1805" priority="3577" stopIfTrue="1">
      <formula>AND(NOT(ISERROR(SEARCH("~*~*~*",AP169,1))),SEARCH("~*~*~*",AP169,1)&gt;0)</formula>
    </cfRule>
  </conditionalFormatting>
  <conditionalFormatting sqref="Z169">
    <cfRule type="expression" dxfId="1804" priority="3578" stopIfTrue="1">
      <formula>LEN(Z169)&gt;$AA$3</formula>
    </cfRule>
    <cfRule type="expression" dxfId="1803" priority="3579" stopIfTrue="1">
      <formula>AND(NOT(ISERROR(SEARCH("~*~*~*",Z169,1))),SEARCH("~*~*~*",Z169,1)&gt;0)</formula>
    </cfRule>
  </conditionalFormatting>
  <conditionalFormatting sqref="AN169">
    <cfRule type="expression" dxfId="1802" priority="3580" stopIfTrue="1">
      <formula>LEN(AN169)&gt;#REF!</formula>
    </cfRule>
    <cfRule type="expression" dxfId="1801" priority="3581" stopIfTrue="1">
      <formula>AND(NOT(ISERROR(SEARCH("~*~*~*",AN169,1))),SEARCH("~*~*~*",AN169,1)&gt;0)</formula>
    </cfRule>
  </conditionalFormatting>
  <conditionalFormatting sqref="AO169 AM169">
    <cfRule type="expression" dxfId="1800" priority="3582" stopIfTrue="1">
      <formula>LEN(AM169)&gt;32</formula>
    </cfRule>
    <cfRule type="expression" dxfId="1799" priority="3583" stopIfTrue="1">
      <formula>AND(NOT(ISERROR(SEARCH("~*~*~*",AM169,1))),SEARCH("~*~*~*",AM169,1)&gt;0)</formula>
    </cfRule>
  </conditionalFormatting>
  <conditionalFormatting sqref="AT169">
    <cfRule type="cellIs" dxfId="1798" priority="3584" stopIfTrue="1" operator="greaterThan">
      <formula>1</formula>
    </cfRule>
  </conditionalFormatting>
  <conditionalFormatting sqref="O170:X170">
    <cfRule type="expression" dxfId="1797" priority="3557" stopIfTrue="1">
      <formula>E170&lt;&gt;""</formula>
    </cfRule>
    <cfRule type="expression" dxfId="1796" priority="3558" stopIfTrue="1">
      <formula>E170=""</formula>
    </cfRule>
  </conditionalFormatting>
  <conditionalFormatting sqref="AP170">
    <cfRule type="expression" dxfId="1795" priority="3562" stopIfTrue="1">
      <formula>LEN(AP170)&gt;AR$3</formula>
    </cfRule>
    <cfRule type="expression" dxfId="1794" priority="3563" stopIfTrue="1">
      <formula>AND(NOT(ISERROR(SEARCH("~*~*~*",AP170,1))),SEARCH("~*~*~*",AP170,1)&gt;0)</formula>
    </cfRule>
  </conditionalFormatting>
  <conditionalFormatting sqref="Z170">
    <cfRule type="expression" dxfId="1793" priority="3564" stopIfTrue="1">
      <formula>LEN(Z170)&gt;$AA$3</formula>
    </cfRule>
    <cfRule type="expression" dxfId="1792" priority="3565" stopIfTrue="1">
      <formula>AND(NOT(ISERROR(SEARCH("~*~*~*",Z170,1))),SEARCH("~*~*~*",Z170,1)&gt;0)</formula>
    </cfRule>
  </conditionalFormatting>
  <conditionalFormatting sqref="AN170">
    <cfRule type="expression" dxfId="1791" priority="3566" stopIfTrue="1">
      <formula>LEN(AN170)&gt;#REF!</formula>
    </cfRule>
    <cfRule type="expression" dxfId="1790" priority="3567" stopIfTrue="1">
      <formula>AND(NOT(ISERROR(SEARCH("~*~*~*",AN170,1))),SEARCH("~*~*~*",AN170,1)&gt;0)</formula>
    </cfRule>
  </conditionalFormatting>
  <conditionalFormatting sqref="AO170 AM170">
    <cfRule type="expression" dxfId="1789" priority="3568" stopIfTrue="1">
      <formula>LEN(AM170)&gt;32</formula>
    </cfRule>
    <cfRule type="expression" dxfId="1788" priority="3569" stopIfTrue="1">
      <formula>AND(NOT(ISERROR(SEARCH("~*~*~*",AM170,1))),SEARCH("~*~*~*",AM170,1)&gt;0)</formula>
    </cfRule>
  </conditionalFormatting>
  <conditionalFormatting sqref="AT170">
    <cfRule type="cellIs" dxfId="1787" priority="3570" stopIfTrue="1" operator="greaterThan">
      <formula>1</formula>
    </cfRule>
  </conditionalFormatting>
  <conditionalFormatting sqref="O171:X171">
    <cfRule type="expression" dxfId="1786" priority="3543" stopIfTrue="1">
      <formula>E171&lt;&gt;""</formula>
    </cfRule>
    <cfRule type="expression" dxfId="1785" priority="3544" stopIfTrue="1">
      <formula>E171=""</formula>
    </cfRule>
  </conditionalFormatting>
  <conditionalFormatting sqref="AP171">
    <cfRule type="expression" dxfId="1784" priority="3548" stopIfTrue="1">
      <formula>LEN(AP171)&gt;AR$3</formula>
    </cfRule>
    <cfRule type="expression" dxfId="1783" priority="3549" stopIfTrue="1">
      <formula>AND(NOT(ISERROR(SEARCH("~*~*~*",AP171,1))),SEARCH("~*~*~*",AP171,1)&gt;0)</formula>
    </cfRule>
  </conditionalFormatting>
  <conditionalFormatting sqref="Z171">
    <cfRule type="expression" dxfId="1782" priority="3550" stopIfTrue="1">
      <formula>LEN(Z171)&gt;$AA$3</formula>
    </cfRule>
    <cfRule type="expression" dxfId="1781" priority="3551" stopIfTrue="1">
      <formula>AND(NOT(ISERROR(SEARCH("~*~*~*",Z171,1))),SEARCH("~*~*~*",Z171,1)&gt;0)</formula>
    </cfRule>
  </conditionalFormatting>
  <conditionalFormatting sqref="AN171">
    <cfRule type="expression" dxfId="1780" priority="3552" stopIfTrue="1">
      <formula>LEN(AN171)&gt;#REF!</formula>
    </cfRule>
    <cfRule type="expression" dxfId="1779" priority="3553" stopIfTrue="1">
      <formula>AND(NOT(ISERROR(SEARCH("~*~*~*",AN171,1))),SEARCH("~*~*~*",AN171,1)&gt;0)</formula>
    </cfRule>
  </conditionalFormatting>
  <conditionalFormatting sqref="AO171 AM171">
    <cfRule type="expression" dxfId="1778" priority="3554" stopIfTrue="1">
      <formula>LEN(AM171)&gt;32</formula>
    </cfRule>
    <cfRule type="expression" dxfId="1777" priority="3555" stopIfTrue="1">
      <formula>AND(NOT(ISERROR(SEARCH("~*~*~*",AM171,1))),SEARCH("~*~*~*",AM171,1)&gt;0)</formula>
    </cfRule>
  </conditionalFormatting>
  <conditionalFormatting sqref="AT171">
    <cfRule type="cellIs" dxfId="1776" priority="3556" stopIfTrue="1" operator="greaterThan">
      <formula>1</formula>
    </cfRule>
  </conditionalFormatting>
  <conditionalFormatting sqref="O172:X172">
    <cfRule type="expression" dxfId="1775" priority="3529" stopIfTrue="1">
      <formula>E172&lt;&gt;""</formula>
    </cfRule>
    <cfRule type="expression" dxfId="1774" priority="3530" stopIfTrue="1">
      <formula>E172=""</formula>
    </cfRule>
  </conditionalFormatting>
  <conditionalFormatting sqref="AP172">
    <cfRule type="expression" dxfId="1773" priority="3534" stopIfTrue="1">
      <formula>LEN(AP172)&gt;AR$3</formula>
    </cfRule>
    <cfRule type="expression" dxfId="1772" priority="3535" stopIfTrue="1">
      <formula>AND(NOT(ISERROR(SEARCH("~*~*~*",AP172,1))),SEARCH("~*~*~*",AP172,1)&gt;0)</formula>
    </cfRule>
  </conditionalFormatting>
  <conditionalFormatting sqref="Z172">
    <cfRule type="expression" dxfId="1771" priority="3536" stopIfTrue="1">
      <formula>LEN(Z172)&gt;$AA$3</formula>
    </cfRule>
    <cfRule type="expression" dxfId="1770" priority="3537" stopIfTrue="1">
      <formula>AND(NOT(ISERROR(SEARCH("~*~*~*",Z172,1))),SEARCH("~*~*~*",Z172,1)&gt;0)</formula>
    </cfRule>
  </conditionalFormatting>
  <conditionalFormatting sqref="AN172">
    <cfRule type="expression" dxfId="1769" priority="3538" stopIfTrue="1">
      <formula>LEN(AN172)&gt;#REF!</formula>
    </cfRule>
    <cfRule type="expression" dxfId="1768" priority="3539" stopIfTrue="1">
      <formula>AND(NOT(ISERROR(SEARCH("~*~*~*",AN172,1))),SEARCH("~*~*~*",AN172,1)&gt;0)</formula>
    </cfRule>
  </conditionalFormatting>
  <conditionalFormatting sqref="AO172 AM172">
    <cfRule type="expression" dxfId="1767" priority="3540" stopIfTrue="1">
      <formula>LEN(AM172)&gt;32</formula>
    </cfRule>
    <cfRule type="expression" dxfId="1766" priority="3541" stopIfTrue="1">
      <formula>AND(NOT(ISERROR(SEARCH("~*~*~*",AM172,1))),SEARCH("~*~*~*",AM172,1)&gt;0)</formula>
    </cfRule>
  </conditionalFormatting>
  <conditionalFormatting sqref="AT172">
    <cfRule type="cellIs" dxfId="1765" priority="3542" stopIfTrue="1" operator="greaterThan">
      <formula>1</formula>
    </cfRule>
  </conditionalFormatting>
  <conditionalFormatting sqref="O173:X173">
    <cfRule type="expression" dxfId="1764" priority="3515" stopIfTrue="1">
      <formula>E173&lt;&gt;""</formula>
    </cfRule>
    <cfRule type="expression" dxfId="1763" priority="3516" stopIfTrue="1">
      <formula>E173=""</formula>
    </cfRule>
  </conditionalFormatting>
  <conditionalFormatting sqref="AP173">
    <cfRule type="expression" dxfId="1762" priority="3520" stopIfTrue="1">
      <formula>LEN(AP173)&gt;AR$3</formula>
    </cfRule>
    <cfRule type="expression" dxfId="1761" priority="3521" stopIfTrue="1">
      <formula>AND(NOT(ISERROR(SEARCH("~*~*~*",AP173,1))),SEARCH("~*~*~*",AP173,1)&gt;0)</formula>
    </cfRule>
  </conditionalFormatting>
  <conditionalFormatting sqref="Z173">
    <cfRule type="expression" dxfId="1760" priority="3522" stopIfTrue="1">
      <formula>LEN(Z173)&gt;$AA$3</formula>
    </cfRule>
    <cfRule type="expression" dxfId="1759" priority="3523" stopIfTrue="1">
      <formula>AND(NOT(ISERROR(SEARCH("~*~*~*",Z173,1))),SEARCH("~*~*~*",Z173,1)&gt;0)</formula>
    </cfRule>
  </conditionalFormatting>
  <conditionalFormatting sqref="AN173">
    <cfRule type="expression" dxfId="1758" priority="3524" stopIfTrue="1">
      <formula>LEN(AN173)&gt;#REF!</formula>
    </cfRule>
    <cfRule type="expression" dxfId="1757" priority="3525" stopIfTrue="1">
      <formula>AND(NOT(ISERROR(SEARCH("~*~*~*",AN173,1))),SEARCH("~*~*~*",AN173,1)&gt;0)</formula>
    </cfRule>
  </conditionalFormatting>
  <conditionalFormatting sqref="AO173 AM173">
    <cfRule type="expression" dxfId="1756" priority="3526" stopIfTrue="1">
      <formula>LEN(AM173)&gt;32</formula>
    </cfRule>
    <cfRule type="expression" dxfId="1755" priority="3527" stopIfTrue="1">
      <formula>AND(NOT(ISERROR(SEARCH("~*~*~*",AM173,1))),SEARCH("~*~*~*",AM173,1)&gt;0)</formula>
    </cfRule>
  </conditionalFormatting>
  <conditionalFormatting sqref="AT173">
    <cfRule type="cellIs" dxfId="1754" priority="3528" stopIfTrue="1" operator="greaterThan">
      <formula>1</formula>
    </cfRule>
  </conditionalFormatting>
  <conditionalFormatting sqref="O174:X174">
    <cfRule type="expression" dxfId="1753" priority="3501" stopIfTrue="1">
      <formula>E174&lt;&gt;""</formula>
    </cfRule>
    <cfRule type="expression" dxfId="1752" priority="3502" stopIfTrue="1">
      <formula>E174=""</formula>
    </cfRule>
  </conditionalFormatting>
  <conditionalFormatting sqref="AP174">
    <cfRule type="expression" dxfId="1751" priority="3506" stopIfTrue="1">
      <formula>LEN(AP174)&gt;AR$3</formula>
    </cfRule>
    <cfRule type="expression" dxfId="1750" priority="3507" stopIfTrue="1">
      <formula>AND(NOT(ISERROR(SEARCH("~*~*~*",AP174,1))),SEARCH("~*~*~*",AP174,1)&gt;0)</formula>
    </cfRule>
  </conditionalFormatting>
  <conditionalFormatting sqref="Z174">
    <cfRule type="expression" dxfId="1749" priority="3508" stopIfTrue="1">
      <formula>LEN(Z174)&gt;$AA$3</formula>
    </cfRule>
    <cfRule type="expression" dxfId="1748" priority="3509" stopIfTrue="1">
      <formula>AND(NOT(ISERROR(SEARCH("~*~*~*",Z174,1))),SEARCH("~*~*~*",Z174,1)&gt;0)</formula>
    </cfRule>
  </conditionalFormatting>
  <conditionalFormatting sqref="AN174">
    <cfRule type="expression" dxfId="1747" priority="3510" stopIfTrue="1">
      <formula>LEN(AN174)&gt;#REF!</formula>
    </cfRule>
    <cfRule type="expression" dxfId="1746" priority="3511" stopIfTrue="1">
      <formula>AND(NOT(ISERROR(SEARCH("~*~*~*",AN174,1))),SEARCH("~*~*~*",AN174,1)&gt;0)</formula>
    </cfRule>
  </conditionalFormatting>
  <conditionalFormatting sqref="AO174 AM174">
    <cfRule type="expression" dxfId="1745" priority="3512" stopIfTrue="1">
      <formula>LEN(AM174)&gt;32</formula>
    </cfRule>
    <cfRule type="expression" dxfId="1744" priority="3513" stopIfTrue="1">
      <formula>AND(NOT(ISERROR(SEARCH("~*~*~*",AM174,1))),SEARCH("~*~*~*",AM174,1)&gt;0)</formula>
    </cfRule>
  </conditionalFormatting>
  <conditionalFormatting sqref="AT174">
    <cfRule type="cellIs" dxfId="1743" priority="3514" stopIfTrue="1" operator="greaterThan">
      <formula>1</formula>
    </cfRule>
  </conditionalFormatting>
  <conditionalFormatting sqref="O175:X175">
    <cfRule type="expression" dxfId="1742" priority="3487" stopIfTrue="1">
      <formula>E175&lt;&gt;""</formula>
    </cfRule>
    <cfRule type="expression" dxfId="1741" priority="3488" stopIfTrue="1">
      <formula>E175=""</formula>
    </cfRule>
  </conditionalFormatting>
  <conditionalFormatting sqref="AP175">
    <cfRule type="expression" dxfId="1740" priority="3492" stopIfTrue="1">
      <formula>LEN(AP175)&gt;AR$3</formula>
    </cfRule>
    <cfRule type="expression" dxfId="1739" priority="3493" stopIfTrue="1">
      <formula>AND(NOT(ISERROR(SEARCH("~*~*~*",AP175,1))),SEARCH("~*~*~*",AP175,1)&gt;0)</formula>
    </cfRule>
  </conditionalFormatting>
  <conditionalFormatting sqref="Z175">
    <cfRule type="expression" dxfId="1738" priority="3494" stopIfTrue="1">
      <formula>LEN(Z175)&gt;$AA$3</formula>
    </cfRule>
    <cfRule type="expression" dxfId="1737" priority="3495" stopIfTrue="1">
      <formula>AND(NOT(ISERROR(SEARCH("~*~*~*",Z175,1))),SEARCH("~*~*~*",Z175,1)&gt;0)</formula>
    </cfRule>
  </conditionalFormatting>
  <conditionalFormatting sqref="AN175">
    <cfRule type="expression" dxfId="1736" priority="3496" stopIfTrue="1">
      <formula>LEN(AN175)&gt;#REF!</formula>
    </cfRule>
    <cfRule type="expression" dxfId="1735" priority="3497" stopIfTrue="1">
      <formula>AND(NOT(ISERROR(SEARCH("~*~*~*",AN175,1))),SEARCH("~*~*~*",AN175,1)&gt;0)</formula>
    </cfRule>
  </conditionalFormatting>
  <conditionalFormatting sqref="AO175 AM175">
    <cfRule type="expression" dxfId="1734" priority="3498" stopIfTrue="1">
      <formula>LEN(AM175)&gt;32</formula>
    </cfRule>
    <cfRule type="expression" dxfId="1733" priority="3499" stopIfTrue="1">
      <formula>AND(NOT(ISERROR(SEARCH("~*~*~*",AM175,1))),SEARCH("~*~*~*",AM175,1)&gt;0)</formula>
    </cfRule>
  </conditionalFormatting>
  <conditionalFormatting sqref="AT175">
    <cfRule type="cellIs" dxfId="1732" priority="3500" stopIfTrue="1" operator="greaterThan">
      <formula>1</formula>
    </cfRule>
  </conditionalFormatting>
  <conditionalFormatting sqref="O176:X176">
    <cfRule type="expression" dxfId="1731" priority="3473" stopIfTrue="1">
      <formula>E176&lt;&gt;""</formula>
    </cfRule>
    <cfRule type="expression" dxfId="1730" priority="3474" stopIfTrue="1">
      <formula>E176=""</formula>
    </cfRule>
  </conditionalFormatting>
  <conditionalFormatting sqref="AP176">
    <cfRule type="expression" dxfId="1729" priority="3478" stopIfTrue="1">
      <formula>LEN(AP176)&gt;AR$3</formula>
    </cfRule>
    <cfRule type="expression" dxfId="1728" priority="3479" stopIfTrue="1">
      <formula>AND(NOT(ISERROR(SEARCH("~*~*~*",AP176,1))),SEARCH("~*~*~*",AP176,1)&gt;0)</formula>
    </cfRule>
  </conditionalFormatting>
  <conditionalFormatting sqref="Z176">
    <cfRule type="expression" dxfId="1727" priority="3480" stopIfTrue="1">
      <formula>LEN(Z176)&gt;$AA$3</formula>
    </cfRule>
    <cfRule type="expression" dxfId="1726" priority="3481" stopIfTrue="1">
      <formula>AND(NOT(ISERROR(SEARCH("~*~*~*",Z176,1))),SEARCH("~*~*~*",Z176,1)&gt;0)</formula>
    </cfRule>
  </conditionalFormatting>
  <conditionalFormatting sqref="AN176">
    <cfRule type="expression" dxfId="1725" priority="3482" stopIfTrue="1">
      <formula>LEN(AN176)&gt;#REF!</formula>
    </cfRule>
    <cfRule type="expression" dxfId="1724" priority="3483" stopIfTrue="1">
      <formula>AND(NOT(ISERROR(SEARCH("~*~*~*",AN176,1))),SEARCH("~*~*~*",AN176,1)&gt;0)</formula>
    </cfRule>
  </conditionalFormatting>
  <conditionalFormatting sqref="AO176 AM176">
    <cfRule type="expression" dxfId="1723" priority="3484" stopIfTrue="1">
      <formula>LEN(AM176)&gt;32</formula>
    </cfRule>
    <cfRule type="expression" dxfId="1722" priority="3485" stopIfTrue="1">
      <formula>AND(NOT(ISERROR(SEARCH("~*~*~*",AM176,1))),SEARCH("~*~*~*",AM176,1)&gt;0)</formula>
    </cfRule>
  </conditionalFormatting>
  <conditionalFormatting sqref="AT176">
    <cfRule type="cellIs" dxfId="1721" priority="3486" stopIfTrue="1" operator="greaterThan">
      <formula>1</formula>
    </cfRule>
  </conditionalFormatting>
  <conditionalFormatting sqref="O177:X177">
    <cfRule type="expression" dxfId="1720" priority="3459" stopIfTrue="1">
      <formula>E177&lt;&gt;""</formula>
    </cfRule>
    <cfRule type="expression" dxfId="1719" priority="3460" stopIfTrue="1">
      <formula>E177=""</formula>
    </cfRule>
  </conditionalFormatting>
  <conditionalFormatting sqref="AP177">
    <cfRule type="expression" dxfId="1718" priority="3464" stopIfTrue="1">
      <formula>LEN(AP177)&gt;AR$3</formula>
    </cfRule>
    <cfRule type="expression" dxfId="1717" priority="3465" stopIfTrue="1">
      <formula>AND(NOT(ISERROR(SEARCH("~*~*~*",AP177,1))),SEARCH("~*~*~*",AP177,1)&gt;0)</formula>
    </cfRule>
  </conditionalFormatting>
  <conditionalFormatting sqref="Z177">
    <cfRule type="expression" dxfId="1716" priority="3466" stopIfTrue="1">
      <formula>LEN(Z177)&gt;$AA$3</formula>
    </cfRule>
    <cfRule type="expression" dxfId="1715" priority="3467" stopIfTrue="1">
      <formula>AND(NOT(ISERROR(SEARCH("~*~*~*",Z177,1))),SEARCH("~*~*~*",Z177,1)&gt;0)</formula>
    </cfRule>
  </conditionalFormatting>
  <conditionalFormatting sqref="AN177">
    <cfRule type="expression" dxfId="1714" priority="3468" stopIfTrue="1">
      <formula>LEN(AN177)&gt;#REF!</formula>
    </cfRule>
    <cfRule type="expression" dxfId="1713" priority="3469" stopIfTrue="1">
      <formula>AND(NOT(ISERROR(SEARCH("~*~*~*",AN177,1))),SEARCH("~*~*~*",AN177,1)&gt;0)</formula>
    </cfRule>
  </conditionalFormatting>
  <conditionalFormatting sqref="AO177 AM177">
    <cfRule type="expression" dxfId="1712" priority="3470" stopIfTrue="1">
      <formula>LEN(AM177)&gt;32</formula>
    </cfRule>
    <cfRule type="expression" dxfId="1711" priority="3471" stopIfTrue="1">
      <formula>AND(NOT(ISERROR(SEARCH("~*~*~*",AM177,1))),SEARCH("~*~*~*",AM177,1)&gt;0)</formula>
    </cfRule>
  </conditionalFormatting>
  <conditionalFormatting sqref="AT177">
    <cfRule type="cellIs" dxfId="1710" priority="3472" stopIfTrue="1" operator="greaterThan">
      <formula>1</formula>
    </cfRule>
  </conditionalFormatting>
  <conditionalFormatting sqref="O152:X152">
    <cfRule type="expression" dxfId="1709" priority="3445" stopIfTrue="1">
      <formula>E152&lt;&gt;""</formula>
    </cfRule>
    <cfRule type="expression" dxfId="1708" priority="3446" stopIfTrue="1">
      <formula>E152=""</formula>
    </cfRule>
  </conditionalFormatting>
  <conditionalFormatting sqref="AP152">
    <cfRule type="expression" dxfId="1707" priority="3450" stopIfTrue="1">
      <formula>LEN(AP152)&gt;AR$3</formula>
    </cfRule>
    <cfRule type="expression" dxfId="1706" priority="3451" stopIfTrue="1">
      <formula>AND(NOT(ISERROR(SEARCH("~*~*~*",AP152,1))),SEARCH("~*~*~*",AP152,1)&gt;0)</formula>
    </cfRule>
  </conditionalFormatting>
  <conditionalFormatting sqref="Z152">
    <cfRule type="expression" dxfId="1705" priority="3452" stopIfTrue="1">
      <formula>LEN(Z152)&gt;$AA$3</formula>
    </cfRule>
    <cfRule type="expression" dxfId="1704" priority="3453" stopIfTrue="1">
      <formula>AND(NOT(ISERROR(SEARCH("~*~*~*",Z152,1))),SEARCH("~*~*~*",Z152,1)&gt;0)</formula>
    </cfRule>
  </conditionalFormatting>
  <conditionalFormatting sqref="AN152">
    <cfRule type="expression" dxfId="1703" priority="3454" stopIfTrue="1">
      <formula>LEN(AN152)&gt;#REF!</formula>
    </cfRule>
    <cfRule type="expression" dxfId="1702" priority="3455" stopIfTrue="1">
      <formula>AND(NOT(ISERROR(SEARCH("~*~*~*",AN152,1))),SEARCH("~*~*~*",AN152,1)&gt;0)</formula>
    </cfRule>
  </conditionalFormatting>
  <conditionalFormatting sqref="AO152 AM152">
    <cfRule type="expression" dxfId="1701" priority="3456" stopIfTrue="1">
      <formula>LEN(AM152)&gt;32</formula>
    </cfRule>
    <cfRule type="expression" dxfId="1700" priority="3457" stopIfTrue="1">
      <formula>AND(NOT(ISERROR(SEARCH("~*~*~*",AM152,1))),SEARCH("~*~*~*",AM152,1)&gt;0)</formula>
    </cfRule>
  </conditionalFormatting>
  <conditionalFormatting sqref="AT152">
    <cfRule type="cellIs" dxfId="1699" priority="3458" stopIfTrue="1" operator="greaterThan">
      <formula>1</formula>
    </cfRule>
  </conditionalFormatting>
  <conditionalFormatting sqref="O153:X153">
    <cfRule type="expression" dxfId="1698" priority="3431" stopIfTrue="1">
      <formula>E153&lt;&gt;""</formula>
    </cfRule>
    <cfRule type="expression" dxfId="1697" priority="3432" stopIfTrue="1">
      <formula>E153=""</formula>
    </cfRule>
  </conditionalFormatting>
  <conditionalFormatting sqref="AP153">
    <cfRule type="expression" dxfId="1696" priority="3436" stopIfTrue="1">
      <formula>LEN(AP153)&gt;AR$3</formula>
    </cfRule>
    <cfRule type="expression" dxfId="1695" priority="3437" stopIfTrue="1">
      <formula>AND(NOT(ISERROR(SEARCH("~*~*~*",AP153,1))),SEARCH("~*~*~*",AP153,1)&gt;0)</formula>
    </cfRule>
  </conditionalFormatting>
  <conditionalFormatting sqref="Z153">
    <cfRule type="expression" dxfId="1694" priority="3438" stopIfTrue="1">
      <formula>LEN(Z153)&gt;$AA$3</formula>
    </cfRule>
    <cfRule type="expression" dxfId="1693" priority="3439" stopIfTrue="1">
      <formula>AND(NOT(ISERROR(SEARCH("~*~*~*",Z153,1))),SEARCH("~*~*~*",Z153,1)&gt;0)</formula>
    </cfRule>
  </conditionalFormatting>
  <conditionalFormatting sqref="AN153">
    <cfRule type="expression" dxfId="1692" priority="3440" stopIfTrue="1">
      <formula>LEN(AN153)&gt;#REF!</formula>
    </cfRule>
    <cfRule type="expression" dxfId="1691" priority="3441" stopIfTrue="1">
      <formula>AND(NOT(ISERROR(SEARCH("~*~*~*",AN153,1))),SEARCH("~*~*~*",AN153,1)&gt;0)</formula>
    </cfRule>
  </conditionalFormatting>
  <conditionalFormatting sqref="AO153 AM153">
    <cfRule type="expression" dxfId="1690" priority="3442" stopIfTrue="1">
      <formula>LEN(AM153)&gt;32</formula>
    </cfRule>
    <cfRule type="expression" dxfId="1689" priority="3443" stopIfTrue="1">
      <formula>AND(NOT(ISERROR(SEARCH("~*~*~*",AM153,1))),SEARCH("~*~*~*",AM153,1)&gt;0)</formula>
    </cfRule>
  </conditionalFormatting>
  <conditionalFormatting sqref="AT153">
    <cfRule type="cellIs" dxfId="1688" priority="3444" stopIfTrue="1" operator="greaterThan">
      <formula>1</formula>
    </cfRule>
  </conditionalFormatting>
  <conditionalFormatting sqref="O154:X154">
    <cfRule type="expression" dxfId="1687" priority="3417" stopIfTrue="1">
      <formula>E154&lt;&gt;""</formula>
    </cfRule>
    <cfRule type="expression" dxfId="1686" priority="3418" stopIfTrue="1">
      <formula>E154=""</formula>
    </cfRule>
  </conditionalFormatting>
  <conditionalFormatting sqref="AP154">
    <cfRule type="expression" dxfId="1685" priority="3422" stopIfTrue="1">
      <formula>LEN(AP154)&gt;AR$3</formula>
    </cfRule>
    <cfRule type="expression" dxfId="1684" priority="3423" stopIfTrue="1">
      <formula>AND(NOT(ISERROR(SEARCH("~*~*~*",AP154,1))),SEARCH("~*~*~*",AP154,1)&gt;0)</formula>
    </cfRule>
  </conditionalFormatting>
  <conditionalFormatting sqref="Z154">
    <cfRule type="expression" dxfId="1683" priority="3424" stopIfTrue="1">
      <formula>LEN(Z154)&gt;$AA$3</formula>
    </cfRule>
    <cfRule type="expression" dxfId="1682" priority="3425" stopIfTrue="1">
      <formula>AND(NOT(ISERROR(SEARCH("~*~*~*",Z154,1))),SEARCH("~*~*~*",Z154,1)&gt;0)</formula>
    </cfRule>
  </conditionalFormatting>
  <conditionalFormatting sqref="AN154">
    <cfRule type="expression" dxfId="1681" priority="3426" stopIfTrue="1">
      <formula>LEN(AN154)&gt;#REF!</formula>
    </cfRule>
    <cfRule type="expression" dxfId="1680" priority="3427" stopIfTrue="1">
      <formula>AND(NOT(ISERROR(SEARCH("~*~*~*",AN154,1))),SEARCH("~*~*~*",AN154,1)&gt;0)</formula>
    </cfRule>
  </conditionalFormatting>
  <conditionalFormatting sqref="AO154 AM154">
    <cfRule type="expression" dxfId="1679" priority="3428" stopIfTrue="1">
      <formula>LEN(AM154)&gt;32</formula>
    </cfRule>
    <cfRule type="expression" dxfId="1678" priority="3429" stopIfTrue="1">
      <formula>AND(NOT(ISERROR(SEARCH("~*~*~*",AM154,1))),SEARCH("~*~*~*",AM154,1)&gt;0)</formula>
    </cfRule>
  </conditionalFormatting>
  <conditionalFormatting sqref="AT154">
    <cfRule type="cellIs" dxfId="1677" priority="3430" stopIfTrue="1" operator="greaterThan">
      <formula>1</formula>
    </cfRule>
  </conditionalFormatting>
  <conditionalFormatting sqref="O155:X155">
    <cfRule type="expression" dxfId="1676" priority="3403" stopIfTrue="1">
      <formula>E155&lt;&gt;""</formula>
    </cfRule>
    <cfRule type="expression" dxfId="1675" priority="3404" stopIfTrue="1">
      <formula>E155=""</formula>
    </cfRule>
  </conditionalFormatting>
  <conditionalFormatting sqref="AP155">
    <cfRule type="expression" dxfId="1674" priority="3408" stopIfTrue="1">
      <formula>LEN(AP155)&gt;AR$3</formula>
    </cfRule>
    <cfRule type="expression" dxfId="1673" priority="3409" stopIfTrue="1">
      <formula>AND(NOT(ISERROR(SEARCH("~*~*~*",AP155,1))),SEARCH("~*~*~*",AP155,1)&gt;0)</formula>
    </cfRule>
  </conditionalFormatting>
  <conditionalFormatting sqref="Z155">
    <cfRule type="expression" dxfId="1672" priority="3410" stopIfTrue="1">
      <formula>LEN(Z155)&gt;$AA$3</formula>
    </cfRule>
    <cfRule type="expression" dxfId="1671" priority="3411" stopIfTrue="1">
      <formula>AND(NOT(ISERROR(SEARCH("~*~*~*",Z155,1))),SEARCH("~*~*~*",Z155,1)&gt;0)</formula>
    </cfRule>
  </conditionalFormatting>
  <conditionalFormatting sqref="AN155">
    <cfRule type="expression" dxfId="1670" priority="3412" stopIfTrue="1">
      <formula>LEN(AN155)&gt;#REF!</formula>
    </cfRule>
    <cfRule type="expression" dxfId="1669" priority="3413" stopIfTrue="1">
      <formula>AND(NOT(ISERROR(SEARCH("~*~*~*",AN155,1))),SEARCH("~*~*~*",AN155,1)&gt;0)</formula>
    </cfRule>
  </conditionalFormatting>
  <conditionalFormatting sqref="AO155 AM155">
    <cfRule type="expression" dxfId="1668" priority="3414" stopIfTrue="1">
      <formula>LEN(AM155)&gt;32</formula>
    </cfRule>
    <cfRule type="expression" dxfId="1667" priority="3415" stopIfTrue="1">
      <formula>AND(NOT(ISERROR(SEARCH("~*~*~*",AM155,1))),SEARCH("~*~*~*",AM155,1)&gt;0)</formula>
    </cfRule>
  </conditionalFormatting>
  <conditionalFormatting sqref="AT155">
    <cfRule type="cellIs" dxfId="1666" priority="3416" stopIfTrue="1" operator="greaterThan">
      <formula>1</formula>
    </cfRule>
  </conditionalFormatting>
  <conditionalFormatting sqref="O156:X156">
    <cfRule type="expression" dxfId="1665" priority="3389" stopIfTrue="1">
      <formula>E156&lt;&gt;""</formula>
    </cfRule>
    <cfRule type="expression" dxfId="1664" priority="3390" stopIfTrue="1">
      <formula>E156=""</formula>
    </cfRule>
  </conditionalFormatting>
  <conditionalFormatting sqref="AP156">
    <cfRule type="expression" dxfId="1663" priority="3394" stopIfTrue="1">
      <formula>LEN(AP156)&gt;AR$3</formula>
    </cfRule>
    <cfRule type="expression" dxfId="1662" priority="3395" stopIfTrue="1">
      <formula>AND(NOT(ISERROR(SEARCH("~*~*~*",AP156,1))),SEARCH("~*~*~*",AP156,1)&gt;0)</formula>
    </cfRule>
  </conditionalFormatting>
  <conditionalFormatting sqref="Z156">
    <cfRule type="expression" dxfId="1661" priority="3396" stopIfTrue="1">
      <formula>LEN(Z156)&gt;$AA$3</formula>
    </cfRule>
    <cfRule type="expression" dxfId="1660" priority="3397" stopIfTrue="1">
      <formula>AND(NOT(ISERROR(SEARCH("~*~*~*",Z156,1))),SEARCH("~*~*~*",Z156,1)&gt;0)</formula>
    </cfRule>
  </conditionalFormatting>
  <conditionalFormatting sqref="AN156">
    <cfRule type="expression" dxfId="1659" priority="3398" stopIfTrue="1">
      <formula>LEN(AN156)&gt;#REF!</formula>
    </cfRule>
    <cfRule type="expression" dxfId="1658" priority="3399" stopIfTrue="1">
      <formula>AND(NOT(ISERROR(SEARCH("~*~*~*",AN156,1))),SEARCH("~*~*~*",AN156,1)&gt;0)</formula>
    </cfRule>
  </conditionalFormatting>
  <conditionalFormatting sqref="AO156 AM156">
    <cfRule type="expression" dxfId="1657" priority="3400" stopIfTrue="1">
      <formula>LEN(AM156)&gt;32</formula>
    </cfRule>
    <cfRule type="expression" dxfId="1656" priority="3401" stopIfTrue="1">
      <formula>AND(NOT(ISERROR(SEARCH("~*~*~*",AM156,1))),SEARCH("~*~*~*",AM156,1)&gt;0)</formula>
    </cfRule>
  </conditionalFormatting>
  <conditionalFormatting sqref="AT156">
    <cfRule type="cellIs" dxfId="1655" priority="3402" stopIfTrue="1" operator="greaterThan">
      <formula>1</formula>
    </cfRule>
  </conditionalFormatting>
  <conditionalFormatting sqref="O157:X157">
    <cfRule type="expression" dxfId="1654" priority="3375" stopIfTrue="1">
      <formula>E157&lt;&gt;""</formula>
    </cfRule>
    <cfRule type="expression" dxfId="1653" priority="3376" stopIfTrue="1">
      <formula>E157=""</formula>
    </cfRule>
  </conditionalFormatting>
  <conditionalFormatting sqref="AP157">
    <cfRule type="expression" dxfId="1652" priority="3380" stopIfTrue="1">
      <formula>LEN(AP157)&gt;AR$3</formula>
    </cfRule>
    <cfRule type="expression" dxfId="1651" priority="3381" stopIfTrue="1">
      <formula>AND(NOT(ISERROR(SEARCH("~*~*~*",AP157,1))),SEARCH("~*~*~*",AP157,1)&gt;0)</formula>
    </cfRule>
  </conditionalFormatting>
  <conditionalFormatting sqref="Z157">
    <cfRule type="expression" dxfId="1650" priority="3382" stopIfTrue="1">
      <formula>LEN(Z157)&gt;$AA$3</formula>
    </cfRule>
    <cfRule type="expression" dxfId="1649" priority="3383" stopIfTrue="1">
      <formula>AND(NOT(ISERROR(SEARCH("~*~*~*",Z157,1))),SEARCH("~*~*~*",Z157,1)&gt;0)</formula>
    </cfRule>
  </conditionalFormatting>
  <conditionalFormatting sqref="AN157">
    <cfRule type="expression" dxfId="1648" priority="3384" stopIfTrue="1">
      <formula>LEN(AN157)&gt;#REF!</formula>
    </cfRule>
    <cfRule type="expression" dxfId="1647" priority="3385" stopIfTrue="1">
      <formula>AND(NOT(ISERROR(SEARCH("~*~*~*",AN157,1))),SEARCH("~*~*~*",AN157,1)&gt;0)</formula>
    </cfRule>
  </conditionalFormatting>
  <conditionalFormatting sqref="AO157 AM157">
    <cfRule type="expression" dxfId="1646" priority="3386" stopIfTrue="1">
      <formula>LEN(AM157)&gt;32</formula>
    </cfRule>
    <cfRule type="expression" dxfId="1645" priority="3387" stopIfTrue="1">
      <formula>AND(NOT(ISERROR(SEARCH("~*~*~*",AM157,1))),SEARCH("~*~*~*",AM157,1)&gt;0)</formula>
    </cfRule>
  </conditionalFormatting>
  <conditionalFormatting sqref="AT157">
    <cfRule type="cellIs" dxfId="1644" priority="3388" stopIfTrue="1" operator="greaterThan">
      <formula>1</formula>
    </cfRule>
  </conditionalFormatting>
  <conditionalFormatting sqref="O158:X158">
    <cfRule type="expression" dxfId="1643" priority="3361" stopIfTrue="1">
      <formula>E158&lt;&gt;""</formula>
    </cfRule>
    <cfRule type="expression" dxfId="1642" priority="3362" stopIfTrue="1">
      <formula>E158=""</formula>
    </cfRule>
  </conditionalFormatting>
  <conditionalFormatting sqref="AP158">
    <cfRule type="expression" dxfId="1641" priority="3366" stopIfTrue="1">
      <formula>LEN(AP158)&gt;AR$3</formula>
    </cfRule>
    <cfRule type="expression" dxfId="1640" priority="3367" stopIfTrue="1">
      <formula>AND(NOT(ISERROR(SEARCH("~*~*~*",AP158,1))),SEARCH("~*~*~*",AP158,1)&gt;0)</formula>
    </cfRule>
  </conditionalFormatting>
  <conditionalFormatting sqref="Z158">
    <cfRule type="expression" dxfId="1639" priority="3368" stopIfTrue="1">
      <formula>LEN(Z158)&gt;$AA$3</formula>
    </cfRule>
    <cfRule type="expression" dxfId="1638" priority="3369" stopIfTrue="1">
      <formula>AND(NOT(ISERROR(SEARCH("~*~*~*",Z158,1))),SEARCH("~*~*~*",Z158,1)&gt;0)</formula>
    </cfRule>
  </conditionalFormatting>
  <conditionalFormatting sqref="AN158">
    <cfRule type="expression" dxfId="1637" priority="3370" stopIfTrue="1">
      <formula>LEN(AN158)&gt;#REF!</formula>
    </cfRule>
    <cfRule type="expression" dxfId="1636" priority="3371" stopIfTrue="1">
      <formula>AND(NOT(ISERROR(SEARCH("~*~*~*",AN158,1))),SEARCH("~*~*~*",AN158,1)&gt;0)</formula>
    </cfRule>
  </conditionalFormatting>
  <conditionalFormatting sqref="AO158 AM158">
    <cfRule type="expression" dxfId="1635" priority="3372" stopIfTrue="1">
      <formula>LEN(AM158)&gt;32</formula>
    </cfRule>
    <cfRule type="expression" dxfId="1634" priority="3373" stopIfTrue="1">
      <formula>AND(NOT(ISERROR(SEARCH("~*~*~*",AM158,1))),SEARCH("~*~*~*",AM158,1)&gt;0)</formula>
    </cfRule>
  </conditionalFormatting>
  <conditionalFormatting sqref="AT158">
    <cfRule type="cellIs" dxfId="1633" priority="3374" stopIfTrue="1" operator="greaterThan">
      <formula>1</formula>
    </cfRule>
  </conditionalFormatting>
  <conditionalFormatting sqref="O159:X159">
    <cfRule type="expression" dxfId="1632" priority="3347" stopIfTrue="1">
      <formula>E159&lt;&gt;""</formula>
    </cfRule>
    <cfRule type="expression" dxfId="1631" priority="3348" stopIfTrue="1">
      <formula>E159=""</formula>
    </cfRule>
  </conditionalFormatting>
  <conditionalFormatting sqref="AP159">
    <cfRule type="expression" dxfId="1630" priority="3352" stopIfTrue="1">
      <formula>LEN(AP159)&gt;AR$3</formula>
    </cfRule>
    <cfRule type="expression" dxfId="1629" priority="3353" stopIfTrue="1">
      <formula>AND(NOT(ISERROR(SEARCH("~*~*~*",AP159,1))),SEARCH("~*~*~*",AP159,1)&gt;0)</formula>
    </cfRule>
  </conditionalFormatting>
  <conditionalFormatting sqref="Z159">
    <cfRule type="expression" dxfId="1628" priority="3354" stopIfTrue="1">
      <formula>LEN(Z159)&gt;$AA$3</formula>
    </cfRule>
    <cfRule type="expression" dxfId="1627" priority="3355" stopIfTrue="1">
      <formula>AND(NOT(ISERROR(SEARCH("~*~*~*",Z159,1))),SEARCH("~*~*~*",Z159,1)&gt;0)</formula>
    </cfRule>
  </conditionalFormatting>
  <conditionalFormatting sqref="AN159">
    <cfRule type="expression" dxfId="1626" priority="3356" stopIfTrue="1">
      <formula>LEN(AN159)&gt;#REF!</formula>
    </cfRule>
    <cfRule type="expression" dxfId="1625" priority="3357" stopIfTrue="1">
      <formula>AND(NOT(ISERROR(SEARCH("~*~*~*",AN159,1))),SEARCH("~*~*~*",AN159,1)&gt;0)</formula>
    </cfRule>
  </conditionalFormatting>
  <conditionalFormatting sqref="AO159 AM159">
    <cfRule type="expression" dxfId="1624" priority="3358" stopIfTrue="1">
      <formula>LEN(AM159)&gt;32</formula>
    </cfRule>
    <cfRule type="expression" dxfId="1623" priority="3359" stopIfTrue="1">
      <formula>AND(NOT(ISERROR(SEARCH("~*~*~*",AM159,1))),SEARCH("~*~*~*",AM159,1)&gt;0)</formula>
    </cfRule>
  </conditionalFormatting>
  <conditionalFormatting sqref="AT159">
    <cfRule type="cellIs" dxfId="1622" priority="3360" stopIfTrue="1" operator="greaterThan">
      <formula>1</formula>
    </cfRule>
  </conditionalFormatting>
  <conditionalFormatting sqref="O160:X160">
    <cfRule type="expression" dxfId="1621" priority="3333" stopIfTrue="1">
      <formula>E160&lt;&gt;""</formula>
    </cfRule>
    <cfRule type="expression" dxfId="1620" priority="3334" stopIfTrue="1">
      <formula>E160=""</formula>
    </cfRule>
  </conditionalFormatting>
  <conditionalFormatting sqref="AP160">
    <cfRule type="expression" dxfId="1619" priority="3338" stopIfTrue="1">
      <formula>LEN(AP160)&gt;AR$3</formula>
    </cfRule>
    <cfRule type="expression" dxfId="1618" priority="3339" stopIfTrue="1">
      <formula>AND(NOT(ISERROR(SEARCH("~*~*~*",AP160,1))),SEARCH("~*~*~*",AP160,1)&gt;0)</formula>
    </cfRule>
  </conditionalFormatting>
  <conditionalFormatting sqref="Z160">
    <cfRule type="expression" dxfId="1617" priority="3340" stopIfTrue="1">
      <formula>LEN(Z160)&gt;$AA$3</formula>
    </cfRule>
    <cfRule type="expression" dxfId="1616" priority="3341" stopIfTrue="1">
      <formula>AND(NOT(ISERROR(SEARCH("~*~*~*",Z160,1))),SEARCH("~*~*~*",Z160,1)&gt;0)</formula>
    </cfRule>
  </conditionalFormatting>
  <conditionalFormatting sqref="AN160">
    <cfRule type="expression" dxfId="1615" priority="3342" stopIfTrue="1">
      <formula>LEN(AN160)&gt;#REF!</formula>
    </cfRule>
    <cfRule type="expression" dxfId="1614" priority="3343" stopIfTrue="1">
      <formula>AND(NOT(ISERROR(SEARCH("~*~*~*",AN160,1))),SEARCH("~*~*~*",AN160,1)&gt;0)</formula>
    </cfRule>
  </conditionalFormatting>
  <conditionalFormatting sqref="AO160 AM160">
    <cfRule type="expression" dxfId="1613" priority="3344" stopIfTrue="1">
      <formula>LEN(AM160)&gt;32</formula>
    </cfRule>
    <cfRule type="expression" dxfId="1612" priority="3345" stopIfTrue="1">
      <formula>AND(NOT(ISERROR(SEARCH("~*~*~*",AM160,1))),SEARCH("~*~*~*",AM160,1)&gt;0)</formula>
    </cfRule>
  </conditionalFormatting>
  <conditionalFormatting sqref="AT160">
    <cfRule type="cellIs" dxfId="1611" priority="3346" stopIfTrue="1" operator="greaterThan">
      <formula>1</formula>
    </cfRule>
  </conditionalFormatting>
  <conditionalFormatting sqref="O161:X161">
    <cfRule type="expression" dxfId="1610" priority="3319" stopIfTrue="1">
      <formula>E161&lt;&gt;""</formula>
    </cfRule>
    <cfRule type="expression" dxfId="1609" priority="3320" stopIfTrue="1">
      <formula>E161=""</formula>
    </cfRule>
  </conditionalFormatting>
  <conditionalFormatting sqref="AP161">
    <cfRule type="expression" dxfId="1608" priority="3324" stopIfTrue="1">
      <formula>LEN(AP161)&gt;AR$3</formula>
    </cfRule>
    <cfRule type="expression" dxfId="1607" priority="3325" stopIfTrue="1">
      <formula>AND(NOT(ISERROR(SEARCH("~*~*~*",AP161,1))),SEARCH("~*~*~*",AP161,1)&gt;0)</formula>
    </cfRule>
  </conditionalFormatting>
  <conditionalFormatting sqref="Z161">
    <cfRule type="expression" dxfId="1606" priority="3326" stopIfTrue="1">
      <formula>LEN(Z161)&gt;$AA$3</formula>
    </cfRule>
    <cfRule type="expression" dxfId="1605" priority="3327" stopIfTrue="1">
      <formula>AND(NOT(ISERROR(SEARCH("~*~*~*",Z161,1))),SEARCH("~*~*~*",Z161,1)&gt;0)</formula>
    </cfRule>
  </conditionalFormatting>
  <conditionalFormatting sqref="AN161">
    <cfRule type="expression" dxfId="1604" priority="3328" stopIfTrue="1">
      <formula>LEN(AN161)&gt;#REF!</formula>
    </cfRule>
    <cfRule type="expression" dxfId="1603" priority="3329" stopIfTrue="1">
      <formula>AND(NOT(ISERROR(SEARCH("~*~*~*",AN161,1))),SEARCH("~*~*~*",AN161,1)&gt;0)</formula>
    </cfRule>
  </conditionalFormatting>
  <conditionalFormatting sqref="AO161 AM161">
    <cfRule type="expression" dxfId="1602" priority="3330" stopIfTrue="1">
      <formula>LEN(AM161)&gt;32</formula>
    </cfRule>
    <cfRule type="expression" dxfId="1601" priority="3331" stopIfTrue="1">
      <formula>AND(NOT(ISERROR(SEARCH("~*~*~*",AM161,1))),SEARCH("~*~*~*",AM161,1)&gt;0)</formula>
    </cfRule>
  </conditionalFormatting>
  <conditionalFormatting sqref="AT161">
    <cfRule type="cellIs" dxfId="1600" priority="3332" stopIfTrue="1" operator="greaterThan">
      <formula>1</formula>
    </cfRule>
  </conditionalFormatting>
  <conditionalFormatting sqref="O162:X162">
    <cfRule type="expression" dxfId="1599" priority="3305" stopIfTrue="1">
      <formula>E162&lt;&gt;""</formula>
    </cfRule>
    <cfRule type="expression" dxfId="1598" priority="3306" stopIfTrue="1">
      <formula>E162=""</formula>
    </cfRule>
  </conditionalFormatting>
  <conditionalFormatting sqref="AP162">
    <cfRule type="expression" dxfId="1597" priority="3310" stopIfTrue="1">
      <formula>LEN(AP162)&gt;AR$3</formula>
    </cfRule>
    <cfRule type="expression" dxfId="1596" priority="3311" stopIfTrue="1">
      <formula>AND(NOT(ISERROR(SEARCH("~*~*~*",AP162,1))),SEARCH("~*~*~*",AP162,1)&gt;0)</formula>
    </cfRule>
  </conditionalFormatting>
  <conditionalFormatting sqref="Z162">
    <cfRule type="expression" dxfId="1595" priority="3312" stopIfTrue="1">
      <formula>LEN(Z162)&gt;$AA$3</formula>
    </cfRule>
    <cfRule type="expression" dxfId="1594" priority="3313" stopIfTrue="1">
      <formula>AND(NOT(ISERROR(SEARCH("~*~*~*",Z162,1))),SEARCH("~*~*~*",Z162,1)&gt;0)</formula>
    </cfRule>
  </conditionalFormatting>
  <conditionalFormatting sqref="AN162">
    <cfRule type="expression" dxfId="1593" priority="3314" stopIfTrue="1">
      <formula>LEN(AN162)&gt;#REF!</formula>
    </cfRule>
    <cfRule type="expression" dxfId="1592" priority="3315" stopIfTrue="1">
      <formula>AND(NOT(ISERROR(SEARCH("~*~*~*",AN162,1))),SEARCH("~*~*~*",AN162,1)&gt;0)</formula>
    </cfRule>
  </conditionalFormatting>
  <conditionalFormatting sqref="AO162 AM162">
    <cfRule type="expression" dxfId="1591" priority="3316" stopIfTrue="1">
      <formula>LEN(AM162)&gt;32</formula>
    </cfRule>
    <cfRule type="expression" dxfId="1590" priority="3317" stopIfTrue="1">
      <formula>AND(NOT(ISERROR(SEARCH("~*~*~*",AM162,1))),SEARCH("~*~*~*",AM162,1)&gt;0)</formula>
    </cfRule>
  </conditionalFormatting>
  <conditionalFormatting sqref="AT162">
    <cfRule type="cellIs" dxfId="1589" priority="3318" stopIfTrue="1" operator="greaterThan">
      <formula>1</formula>
    </cfRule>
  </conditionalFormatting>
  <conditionalFormatting sqref="O163:X163">
    <cfRule type="expression" dxfId="1588" priority="3291" stopIfTrue="1">
      <formula>E163&lt;&gt;""</formula>
    </cfRule>
    <cfRule type="expression" dxfId="1587" priority="3292" stopIfTrue="1">
      <formula>E163=""</formula>
    </cfRule>
  </conditionalFormatting>
  <conditionalFormatting sqref="AP163">
    <cfRule type="expression" dxfId="1586" priority="3296" stopIfTrue="1">
      <formula>LEN(AP163)&gt;AR$3</formula>
    </cfRule>
    <cfRule type="expression" dxfId="1585" priority="3297" stopIfTrue="1">
      <formula>AND(NOT(ISERROR(SEARCH("~*~*~*",AP163,1))),SEARCH("~*~*~*",AP163,1)&gt;0)</formula>
    </cfRule>
  </conditionalFormatting>
  <conditionalFormatting sqref="Z163">
    <cfRule type="expression" dxfId="1584" priority="3298" stopIfTrue="1">
      <formula>LEN(Z163)&gt;$AA$3</formula>
    </cfRule>
    <cfRule type="expression" dxfId="1583" priority="3299" stopIfTrue="1">
      <formula>AND(NOT(ISERROR(SEARCH("~*~*~*",Z163,1))),SEARCH("~*~*~*",Z163,1)&gt;0)</formula>
    </cfRule>
  </conditionalFormatting>
  <conditionalFormatting sqref="AN163">
    <cfRule type="expression" dxfId="1582" priority="3300" stopIfTrue="1">
      <formula>LEN(AN163)&gt;#REF!</formula>
    </cfRule>
    <cfRule type="expression" dxfId="1581" priority="3301" stopIfTrue="1">
      <formula>AND(NOT(ISERROR(SEARCH("~*~*~*",AN163,1))),SEARCH("~*~*~*",AN163,1)&gt;0)</formula>
    </cfRule>
  </conditionalFormatting>
  <conditionalFormatting sqref="AO163 AM163">
    <cfRule type="expression" dxfId="1580" priority="3302" stopIfTrue="1">
      <formula>LEN(AM163)&gt;32</formula>
    </cfRule>
    <cfRule type="expression" dxfId="1579" priority="3303" stopIfTrue="1">
      <formula>AND(NOT(ISERROR(SEARCH("~*~*~*",AM163,1))),SEARCH("~*~*~*",AM163,1)&gt;0)</formula>
    </cfRule>
  </conditionalFormatting>
  <conditionalFormatting sqref="AT163">
    <cfRule type="cellIs" dxfId="1578" priority="3304" stopIfTrue="1" operator="greaterThan">
      <formula>1</formula>
    </cfRule>
  </conditionalFormatting>
  <conditionalFormatting sqref="O164:X164">
    <cfRule type="expression" dxfId="1577" priority="3277" stopIfTrue="1">
      <formula>E164&lt;&gt;""</formula>
    </cfRule>
    <cfRule type="expression" dxfId="1576" priority="3278" stopIfTrue="1">
      <formula>E164=""</formula>
    </cfRule>
  </conditionalFormatting>
  <conditionalFormatting sqref="AP164">
    <cfRule type="expression" dxfId="1575" priority="3282" stopIfTrue="1">
      <formula>LEN(AP164)&gt;AR$3</formula>
    </cfRule>
    <cfRule type="expression" dxfId="1574" priority="3283" stopIfTrue="1">
      <formula>AND(NOT(ISERROR(SEARCH("~*~*~*",AP164,1))),SEARCH("~*~*~*",AP164,1)&gt;0)</formula>
    </cfRule>
  </conditionalFormatting>
  <conditionalFormatting sqref="Z164">
    <cfRule type="expression" dxfId="1573" priority="3284" stopIfTrue="1">
      <formula>LEN(Z164)&gt;$AA$3</formula>
    </cfRule>
    <cfRule type="expression" dxfId="1572" priority="3285" stopIfTrue="1">
      <formula>AND(NOT(ISERROR(SEARCH("~*~*~*",Z164,1))),SEARCH("~*~*~*",Z164,1)&gt;0)</formula>
    </cfRule>
  </conditionalFormatting>
  <conditionalFormatting sqref="AN164">
    <cfRule type="expression" dxfId="1571" priority="3286" stopIfTrue="1">
      <formula>LEN(AN164)&gt;#REF!</formula>
    </cfRule>
    <cfRule type="expression" dxfId="1570" priority="3287" stopIfTrue="1">
      <formula>AND(NOT(ISERROR(SEARCH("~*~*~*",AN164,1))),SEARCH("~*~*~*",AN164,1)&gt;0)</formula>
    </cfRule>
  </conditionalFormatting>
  <conditionalFormatting sqref="AO164 AM164">
    <cfRule type="expression" dxfId="1569" priority="3288" stopIfTrue="1">
      <formula>LEN(AM164)&gt;32</formula>
    </cfRule>
    <cfRule type="expression" dxfId="1568" priority="3289" stopIfTrue="1">
      <formula>AND(NOT(ISERROR(SEARCH("~*~*~*",AM164,1))),SEARCH("~*~*~*",AM164,1)&gt;0)</formula>
    </cfRule>
  </conditionalFormatting>
  <conditionalFormatting sqref="AT164">
    <cfRule type="cellIs" dxfId="1567" priority="3290" stopIfTrue="1" operator="greaterThan">
      <formula>1</formula>
    </cfRule>
  </conditionalFormatting>
  <conditionalFormatting sqref="O139:X139">
    <cfRule type="expression" dxfId="1566" priority="3263" stopIfTrue="1">
      <formula>E139&lt;&gt;""</formula>
    </cfRule>
    <cfRule type="expression" dxfId="1565" priority="3264" stopIfTrue="1">
      <formula>E139=""</formula>
    </cfRule>
  </conditionalFormatting>
  <conditionalFormatting sqref="AP139">
    <cfRule type="expression" dxfId="1564" priority="3268" stopIfTrue="1">
      <formula>LEN(AP139)&gt;AR$3</formula>
    </cfRule>
    <cfRule type="expression" dxfId="1563" priority="3269" stopIfTrue="1">
      <formula>AND(NOT(ISERROR(SEARCH("~*~*~*",AP139,1))),SEARCH("~*~*~*",AP139,1)&gt;0)</formula>
    </cfRule>
  </conditionalFormatting>
  <conditionalFormatting sqref="Z139">
    <cfRule type="expression" dxfId="1562" priority="3270" stopIfTrue="1">
      <formula>LEN(Z139)&gt;$AA$3</formula>
    </cfRule>
    <cfRule type="expression" dxfId="1561" priority="3271" stopIfTrue="1">
      <formula>AND(NOT(ISERROR(SEARCH("~*~*~*",Z139,1))),SEARCH("~*~*~*",Z139,1)&gt;0)</formula>
    </cfRule>
  </conditionalFormatting>
  <conditionalFormatting sqref="AN139">
    <cfRule type="expression" dxfId="1560" priority="3272" stopIfTrue="1">
      <formula>LEN(AN139)&gt;#REF!</formula>
    </cfRule>
    <cfRule type="expression" dxfId="1559" priority="3273" stopIfTrue="1">
      <formula>AND(NOT(ISERROR(SEARCH("~*~*~*",AN139,1))),SEARCH("~*~*~*",AN139,1)&gt;0)</formula>
    </cfRule>
  </conditionalFormatting>
  <conditionalFormatting sqref="AO139 AM139">
    <cfRule type="expression" dxfId="1558" priority="3274" stopIfTrue="1">
      <formula>LEN(AM139)&gt;32</formula>
    </cfRule>
    <cfRule type="expression" dxfId="1557" priority="3275" stopIfTrue="1">
      <formula>AND(NOT(ISERROR(SEARCH("~*~*~*",AM139,1))),SEARCH("~*~*~*",AM139,1)&gt;0)</formula>
    </cfRule>
  </conditionalFormatting>
  <conditionalFormatting sqref="AT139">
    <cfRule type="cellIs" dxfId="1556" priority="3276" stopIfTrue="1" operator="greaterThan">
      <formula>1</formula>
    </cfRule>
  </conditionalFormatting>
  <conditionalFormatting sqref="O140:X140">
    <cfRule type="expression" dxfId="1555" priority="3249" stopIfTrue="1">
      <formula>E140&lt;&gt;""</formula>
    </cfRule>
    <cfRule type="expression" dxfId="1554" priority="3250" stopIfTrue="1">
      <formula>E140=""</formula>
    </cfRule>
  </conditionalFormatting>
  <conditionalFormatting sqref="AP140">
    <cfRule type="expression" dxfId="1553" priority="3254" stopIfTrue="1">
      <formula>LEN(AP140)&gt;AR$3</formula>
    </cfRule>
    <cfRule type="expression" dxfId="1552" priority="3255" stopIfTrue="1">
      <formula>AND(NOT(ISERROR(SEARCH("~*~*~*",AP140,1))),SEARCH("~*~*~*",AP140,1)&gt;0)</formula>
    </cfRule>
  </conditionalFormatting>
  <conditionalFormatting sqref="Z140">
    <cfRule type="expression" dxfId="1551" priority="3256" stopIfTrue="1">
      <formula>LEN(Z140)&gt;$AA$3</formula>
    </cfRule>
    <cfRule type="expression" dxfId="1550" priority="3257" stopIfTrue="1">
      <formula>AND(NOT(ISERROR(SEARCH("~*~*~*",Z140,1))),SEARCH("~*~*~*",Z140,1)&gt;0)</formula>
    </cfRule>
  </conditionalFormatting>
  <conditionalFormatting sqref="AN140">
    <cfRule type="expression" dxfId="1549" priority="3258" stopIfTrue="1">
      <formula>LEN(AN140)&gt;#REF!</formula>
    </cfRule>
    <cfRule type="expression" dxfId="1548" priority="3259" stopIfTrue="1">
      <formula>AND(NOT(ISERROR(SEARCH("~*~*~*",AN140,1))),SEARCH("~*~*~*",AN140,1)&gt;0)</formula>
    </cfRule>
  </conditionalFormatting>
  <conditionalFormatting sqref="AO140 AM140">
    <cfRule type="expression" dxfId="1547" priority="3260" stopIfTrue="1">
      <formula>LEN(AM140)&gt;32</formula>
    </cfRule>
    <cfRule type="expression" dxfId="1546" priority="3261" stopIfTrue="1">
      <formula>AND(NOT(ISERROR(SEARCH("~*~*~*",AM140,1))),SEARCH("~*~*~*",AM140,1)&gt;0)</formula>
    </cfRule>
  </conditionalFormatting>
  <conditionalFormatting sqref="AT140">
    <cfRule type="cellIs" dxfId="1545" priority="3262" stopIfTrue="1" operator="greaterThan">
      <formula>1</formula>
    </cfRule>
  </conditionalFormatting>
  <conditionalFormatting sqref="O141:X141">
    <cfRule type="expression" dxfId="1544" priority="3235" stopIfTrue="1">
      <formula>E141&lt;&gt;""</formula>
    </cfRule>
    <cfRule type="expression" dxfId="1543" priority="3236" stopIfTrue="1">
      <formula>E141=""</formula>
    </cfRule>
  </conditionalFormatting>
  <conditionalFormatting sqref="AP141">
    <cfRule type="expression" dxfId="1542" priority="3240" stopIfTrue="1">
      <formula>LEN(AP141)&gt;AR$3</formula>
    </cfRule>
    <cfRule type="expression" dxfId="1541" priority="3241" stopIfTrue="1">
      <formula>AND(NOT(ISERROR(SEARCH("~*~*~*",AP141,1))),SEARCH("~*~*~*",AP141,1)&gt;0)</formula>
    </cfRule>
  </conditionalFormatting>
  <conditionalFormatting sqref="Z141">
    <cfRule type="expression" dxfId="1540" priority="3242" stopIfTrue="1">
      <formula>LEN(Z141)&gt;$AA$3</formula>
    </cfRule>
    <cfRule type="expression" dxfId="1539" priority="3243" stopIfTrue="1">
      <formula>AND(NOT(ISERROR(SEARCH("~*~*~*",Z141,1))),SEARCH("~*~*~*",Z141,1)&gt;0)</formula>
    </cfRule>
  </conditionalFormatting>
  <conditionalFormatting sqref="AN141">
    <cfRule type="expression" dxfId="1538" priority="3244" stopIfTrue="1">
      <formula>LEN(AN141)&gt;#REF!</formula>
    </cfRule>
    <cfRule type="expression" dxfId="1537" priority="3245" stopIfTrue="1">
      <formula>AND(NOT(ISERROR(SEARCH("~*~*~*",AN141,1))),SEARCH("~*~*~*",AN141,1)&gt;0)</formula>
    </cfRule>
  </conditionalFormatting>
  <conditionalFormatting sqref="AO141 AM141">
    <cfRule type="expression" dxfId="1536" priority="3246" stopIfTrue="1">
      <formula>LEN(AM141)&gt;32</formula>
    </cfRule>
    <cfRule type="expression" dxfId="1535" priority="3247" stopIfTrue="1">
      <formula>AND(NOT(ISERROR(SEARCH("~*~*~*",AM141,1))),SEARCH("~*~*~*",AM141,1)&gt;0)</formula>
    </cfRule>
  </conditionalFormatting>
  <conditionalFormatting sqref="AT141">
    <cfRule type="cellIs" dxfId="1534" priority="3248" stopIfTrue="1" operator="greaterThan">
      <formula>1</formula>
    </cfRule>
  </conditionalFormatting>
  <conditionalFormatting sqref="O142:X142">
    <cfRule type="expression" dxfId="1533" priority="3221" stopIfTrue="1">
      <formula>E142&lt;&gt;""</formula>
    </cfRule>
    <cfRule type="expression" dxfId="1532" priority="3222" stopIfTrue="1">
      <formula>E142=""</formula>
    </cfRule>
  </conditionalFormatting>
  <conditionalFormatting sqref="AP142">
    <cfRule type="expression" dxfId="1531" priority="3226" stopIfTrue="1">
      <formula>LEN(AP142)&gt;AR$3</formula>
    </cfRule>
    <cfRule type="expression" dxfId="1530" priority="3227" stopIfTrue="1">
      <formula>AND(NOT(ISERROR(SEARCH("~*~*~*",AP142,1))),SEARCH("~*~*~*",AP142,1)&gt;0)</formula>
    </cfRule>
  </conditionalFormatting>
  <conditionalFormatting sqref="Z142">
    <cfRule type="expression" dxfId="1529" priority="3228" stopIfTrue="1">
      <formula>LEN(Z142)&gt;$AA$3</formula>
    </cfRule>
    <cfRule type="expression" dxfId="1528" priority="3229" stopIfTrue="1">
      <formula>AND(NOT(ISERROR(SEARCH("~*~*~*",Z142,1))),SEARCH("~*~*~*",Z142,1)&gt;0)</formula>
    </cfRule>
  </conditionalFormatting>
  <conditionalFormatting sqref="AN142">
    <cfRule type="expression" dxfId="1527" priority="3230" stopIfTrue="1">
      <formula>LEN(AN142)&gt;#REF!</formula>
    </cfRule>
    <cfRule type="expression" dxfId="1526" priority="3231" stopIfTrue="1">
      <formula>AND(NOT(ISERROR(SEARCH("~*~*~*",AN142,1))),SEARCH("~*~*~*",AN142,1)&gt;0)</formula>
    </cfRule>
  </conditionalFormatting>
  <conditionalFormatting sqref="AO142 AM142">
    <cfRule type="expression" dxfId="1525" priority="3232" stopIfTrue="1">
      <formula>LEN(AM142)&gt;32</formula>
    </cfRule>
    <cfRule type="expression" dxfId="1524" priority="3233" stopIfTrue="1">
      <formula>AND(NOT(ISERROR(SEARCH("~*~*~*",AM142,1))),SEARCH("~*~*~*",AM142,1)&gt;0)</formula>
    </cfRule>
  </conditionalFormatting>
  <conditionalFormatting sqref="AT142">
    <cfRule type="cellIs" dxfId="1523" priority="3234" stopIfTrue="1" operator="greaterThan">
      <formula>1</formula>
    </cfRule>
  </conditionalFormatting>
  <conditionalFormatting sqref="O143:X143">
    <cfRule type="expression" dxfId="1522" priority="3207" stopIfTrue="1">
      <formula>E143&lt;&gt;""</formula>
    </cfRule>
    <cfRule type="expression" dxfId="1521" priority="3208" stopIfTrue="1">
      <formula>E143=""</formula>
    </cfRule>
  </conditionalFormatting>
  <conditionalFormatting sqref="AP143">
    <cfRule type="expression" dxfId="1520" priority="3212" stopIfTrue="1">
      <formula>LEN(AP143)&gt;AR$3</formula>
    </cfRule>
    <cfRule type="expression" dxfId="1519" priority="3213" stopIfTrue="1">
      <formula>AND(NOT(ISERROR(SEARCH("~*~*~*",AP143,1))),SEARCH("~*~*~*",AP143,1)&gt;0)</formula>
    </cfRule>
  </conditionalFormatting>
  <conditionalFormatting sqref="Z143">
    <cfRule type="expression" dxfId="1518" priority="3214" stopIfTrue="1">
      <formula>LEN(Z143)&gt;$AA$3</formula>
    </cfRule>
    <cfRule type="expression" dxfId="1517" priority="3215" stopIfTrue="1">
      <formula>AND(NOT(ISERROR(SEARCH("~*~*~*",Z143,1))),SEARCH("~*~*~*",Z143,1)&gt;0)</formula>
    </cfRule>
  </conditionalFormatting>
  <conditionalFormatting sqref="AN143">
    <cfRule type="expression" dxfId="1516" priority="3216" stopIfTrue="1">
      <formula>LEN(AN143)&gt;#REF!</formula>
    </cfRule>
    <cfRule type="expression" dxfId="1515" priority="3217" stopIfTrue="1">
      <formula>AND(NOT(ISERROR(SEARCH("~*~*~*",AN143,1))),SEARCH("~*~*~*",AN143,1)&gt;0)</formula>
    </cfRule>
  </conditionalFormatting>
  <conditionalFormatting sqref="AO143 AM143">
    <cfRule type="expression" dxfId="1514" priority="3218" stopIfTrue="1">
      <formula>LEN(AM143)&gt;32</formula>
    </cfRule>
    <cfRule type="expression" dxfId="1513" priority="3219" stopIfTrue="1">
      <formula>AND(NOT(ISERROR(SEARCH("~*~*~*",AM143,1))),SEARCH("~*~*~*",AM143,1)&gt;0)</formula>
    </cfRule>
  </conditionalFormatting>
  <conditionalFormatting sqref="AT143">
    <cfRule type="cellIs" dxfId="1512" priority="3220" stopIfTrue="1" operator="greaterThan">
      <formula>1</formula>
    </cfRule>
  </conditionalFormatting>
  <conditionalFormatting sqref="O144:X144">
    <cfRule type="expression" dxfId="1511" priority="3193" stopIfTrue="1">
      <formula>E144&lt;&gt;""</formula>
    </cfRule>
    <cfRule type="expression" dxfId="1510" priority="3194" stopIfTrue="1">
      <formula>E144=""</formula>
    </cfRule>
  </conditionalFormatting>
  <conditionalFormatting sqref="AP144">
    <cfRule type="expression" dxfId="1509" priority="3198" stopIfTrue="1">
      <formula>LEN(AP144)&gt;AR$3</formula>
    </cfRule>
    <cfRule type="expression" dxfId="1508" priority="3199" stopIfTrue="1">
      <formula>AND(NOT(ISERROR(SEARCH("~*~*~*",AP144,1))),SEARCH("~*~*~*",AP144,1)&gt;0)</formula>
    </cfRule>
  </conditionalFormatting>
  <conditionalFormatting sqref="Z144">
    <cfRule type="expression" dxfId="1507" priority="3200" stopIfTrue="1">
      <formula>LEN(Z144)&gt;$AA$3</formula>
    </cfRule>
    <cfRule type="expression" dxfId="1506" priority="3201" stopIfTrue="1">
      <formula>AND(NOT(ISERROR(SEARCH("~*~*~*",Z144,1))),SEARCH("~*~*~*",Z144,1)&gt;0)</formula>
    </cfRule>
  </conditionalFormatting>
  <conditionalFormatting sqref="AN144">
    <cfRule type="expression" dxfId="1505" priority="3202" stopIfTrue="1">
      <formula>LEN(AN144)&gt;#REF!</formula>
    </cfRule>
    <cfRule type="expression" dxfId="1504" priority="3203" stopIfTrue="1">
      <formula>AND(NOT(ISERROR(SEARCH("~*~*~*",AN144,1))),SEARCH("~*~*~*",AN144,1)&gt;0)</formula>
    </cfRule>
  </conditionalFormatting>
  <conditionalFormatting sqref="AO144 AM144">
    <cfRule type="expression" dxfId="1503" priority="3204" stopIfTrue="1">
      <formula>LEN(AM144)&gt;32</formula>
    </cfRule>
    <cfRule type="expression" dxfId="1502" priority="3205" stopIfTrue="1">
      <formula>AND(NOT(ISERROR(SEARCH("~*~*~*",AM144,1))),SEARCH("~*~*~*",AM144,1)&gt;0)</formula>
    </cfRule>
  </conditionalFormatting>
  <conditionalFormatting sqref="AT144">
    <cfRule type="cellIs" dxfId="1501" priority="3206" stopIfTrue="1" operator="greaterThan">
      <formula>1</formula>
    </cfRule>
  </conditionalFormatting>
  <conditionalFormatting sqref="O145:X145">
    <cfRule type="expression" dxfId="1500" priority="3179" stopIfTrue="1">
      <formula>E145&lt;&gt;""</formula>
    </cfRule>
    <cfRule type="expression" dxfId="1499" priority="3180" stopIfTrue="1">
      <formula>E145=""</formula>
    </cfRule>
  </conditionalFormatting>
  <conditionalFormatting sqref="AP145">
    <cfRule type="expression" dxfId="1498" priority="3184" stopIfTrue="1">
      <formula>LEN(AP145)&gt;AR$3</formula>
    </cfRule>
    <cfRule type="expression" dxfId="1497" priority="3185" stopIfTrue="1">
      <formula>AND(NOT(ISERROR(SEARCH("~*~*~*",AP145,1))),SEARCH("~*~*~*",AP145,1)&gt;0)</formula>
    </cfRule>
  </conditionalFormatting>
  <conditionalFormatting sqref="Z145">
    <cfRule type="expression" dxfId="1496" priority="3186" stopIfTrue="1">
      <formula>LEN(Z145)&gt;$AA$3</formula>
    </cfRule>
    <cfRule type="expression" dxfId="1495" priority="3187" stopIfTrue="1">
      <formula>AND(NOT(ISERROR(SEARCH("~*~*~*",Z145,1))),SEARCH("~*~*~*",Z145,1)&gt;0)</formula>
    </cfRule>
  </conditionalFormatting>
  <conditionalFormatting sqref="AN145">
    <cfRule type="expression" dxfId="1494" priority="3188" stopIfTrue="1">
      <formula>LEN(AN145)&gt;#REF!</formula>
    </cfRule>
    <cfRule type="expression" dxfId="1493" priority="3189" stopIfTrue="1">
      <formula>AND(NOT(ISERROR(SEARCH("~*~*~*",AN145,1))),SEARCH("~*~*~*",AN145,1)&gt;0)</formula>
    </cfRule>
  </conditionalFormatting>
  <conditionalFormatting sqref="AO145 AM145">
    <cfRule type="expression" dxfId="1492" priority="3190" stopIfTrue="1">
      <formula>LEN(AM145)&gt;32</formula>
    </cfRule>
    <cfRule type="expression" dxfId="1491" priority="3191" stopIfTrue="1">
      <formula>AND(NOT(ISERROR(SEARCH("~*~*~*",AM145,1))),SEARCH("~*~*~*",AM145,1)&gt;0)</formula>
    </cfRule>
  </conditionalFormatting>
  <conditionalFormatting sqref="AT145">
    <cfRule type="cellIs" dxfId="1490" priority="3192" stopIfTrue="1" operator="greaterThan">
      <formula>1</formula>
    </cfRule>
  </conditionalFormatting>
  <conditionalFormatting sqref="O146:X146">
    <cfRule type="expression" dxfId="1489" priority="3165" stopIfTrue="1">
      <formula>E146&lt;&gt;""</formula>
    </cfRule>
    <cfRule type="expression" dxfId="1488" priority="3166" stopIfTrue="1">
      <formula>E146=""</formula>
    </cfRule>
  </conditionalFormatting>
  <conditionalFormatting sqref="AP146">
    <cfRule type="expression" dxfId="1487" priority="3170" stopIfTrue="1">
      <formula>LEN(AP146)&gt;AR$3</formula>
    </cfRule>
    <cfRule type="expression" dxfId="1486" priority="3171" stopIfTrue="1">
      <formula>AND(NOT(ISERROR(SEARCH("~*~*~*",AP146,1))),SEARCH("~*~*~*",AP146,1)&gt;0)</formula>
    </cfRule>
  </conditionalFormatting>
  <conditionalFormatting sqref="Z146">
    <cfRule type="expression" dxfId="1485" priority="3172" stopIfTrue="1">
      <formula>LEN(Z146)&gt;$AA$3</formula>
    </cfRule>
    <cfRule type="expression" dxfId="1484" priority="3173" stopIfTrue="1">
      <formula>AND(NOT(ISERROR(SEARCH("~*~*~*",Z146,1))),SEARCH("~*~*~*",Z146,1)&gt;0)</formula>
    </cfRule>
  </conditionalFormatting>
  <conditionalFormatting sqref="AN146">
    <cfRule type="expression" dxfId="1483" priority="3174" stopIfTrue="1">
      <formula>LEN(AN146)&gt;#REF!</formula>
    </cfRule>
    <cfRule type="expression" dxfId="1482" priority="3175" stopIfTrue="1">
      <formula>AND(NOT(ISERROR(SEARCH("~*~*~*",AN146,1))),SEARCH("~*~*~*",AN146,1)&gt;0)</formula>
    </cfRule>
  </conditionalFormatting>
  <conditionalFormatting sqref="AO146 AM146">
    <cfRule type="expression" dxfId="1481" priority="3176" stopIfTrue="1">
      <formula>LEN(AM146)&gt;32</formula>
    </cfRule>
    <cfRule type="expression" dxfId="1480" priority="3177" stopIfTrue="1">
      <formula>AND(NOT(ISERROR(SEARCH("~*~*~*",AM146,1))),SEARCH("~*~*~*",AM146,1)&gt;0)</formula>
    </cfRule>
  </conditionalFormatting>
  <conditionalFormatting sqref="AT146">
    <cfRule type="cellIs" dxfId="1479" priority="3178" stopIfTrue="1" operator="greaterThan">
      <formula>1</formula>
    </cfRule>
  </conditionalFormatting>
  <conditionalFormatting sqref="O147:X147">
    <cfRule type="expression" dxfId="1478" priority="3151" stopIfTrue="1">
      <formula>E147&lt;&gt;""</formula>
    </cfRule>
    <cfRule type="expression" dxfId="1477" priority="3152" stopIfTrue="1">
      <formula>E147=""</formula>
    </cfRule>
  </conditionalFormatting>
  <conditionalFormatting sqref="AP147">
    <cfRule type="expression" dxfId="1476" priority="3156" stopIfTrue="1">
      <formula>LEN(AP147)&gt;AR$3</formula>
    </cfRule>
    <cfRule type="expression" dxfId="1475" priority="3157" stopIfTrue="1">
      <formula>AND(NOT(ISERROR(SEARCH("~*~*~*",AP147,1))),SEARCH("~*~*~*",AP147,1)&gt;0)</formula>
    </cfRule>
  </conditionalFormatting>
  <conditionalFormatting sqref="Z147">
    <cfRule type="expression" dxfId="1474" priority="3158" stopIfTrue="1">
      <formula>LEN(Z147)&gt;$AA$3</formula>
    </cfRule>
    <cfRule type="expression" dxfId="1473" priority="3159" stopIfTrue="1">
      <formula>AND(NOT(ISERROR(SEARCH("~*~*~*",Z147,1))),SEARCH("~*~*~*",Z147,1)&gt;0)</formula>
    </cfRule>
  </conditionalFormatting>
  <conditionalFormatting sqref="AN147">
    <cfRule type="expression" dxfId="1472" priority="3160" stopIfTrue="1">
      <formula>LEN(AN147)&gt;#REF!</formula>
    </cfRule>
    <cfRule type="expression" dxfId="1471" priority="3161" stopIfTrue="1">
      <formula>AND(NOT(ISERROR(SEARCH("~*~*~*",AN147,1))),SEARCH("~*~*~*",AN147,1)&gt;0)</formula>
    </cfRule>
  </conditionalFormatting>
  <conditionalFormatting sqref="AO147 AM147">
    <cfRule type="expression" dxfId="1470" priority="3162" stopIfTrue="1">
      <formula>LEN(AM147)&gt;32</formula>
    </cfRule>
    <cfRule type="expression" dxfId="1469" priority="3163" stopIfTrue="1">
      <formula>AND(NOT(ISERROR(SEARCH("~*~*~*",AM147,1))),SEARCH("~*~*~*",AM147,1)&gt;0)</formula>
    </cfRule>
  </conditionalFormatting>
  <conditionalFormatting sqref="AT147">
    <cfRule type="cellIs" dxfId="1468" priority="3164" stopIfTrue="1" operator="greaterThan">
      <formula>1</formula>
    </cfRule>
  </conditionalFormatting>
  <conditionalFormatting sqref="O148:X148">
    <cfRule type="expression" dxfId="1467" priority="3137" stopIfTrue="1">
      <formula>E148&lt;&gt;""</formula>
    </cfRule>
    <cfRule type="expression" dxfId="1466" priority="3138" stopIfTrue="1">
      <formula>E148=""</formula>
    </cfRule>
  </conditionalFormatting>
  <conditionalFormatting sqref="AP148">
    <cfRule type="expression" dxfId="1465" priority="3142" stopIfTrue="1">
      <formula>LEN(AP148)&gt;AR$3</formula>
    </cfRule>
    <cfRule type="expression" dxfId="1464" priority="3143" stopIfTrue="1">
      <formula>AND(NOT(ISERROR(SEARCH("~*~*~*",AP148,1))),SEARCH("~*~*~*",AP148,1)&gt;0)</formula>
    </cfRule>
  </conditionalFormatting>
  <conditionalFormatting sqref="Z148">
    <cfRule type="expression" dxfId="1463" priority="3144" stopIfTrue="1">
      <formula>LEN(Z148)&gt;$AA$3</formula>
    </cfRule>
    <cfRule type="expression" dxfId="1462" priority="3145" stopIfTrue="1">
      <formula>AND(NOT(ISERROR(SEARCH("~*~*~*",Z148,1))),SEARCH("~*~*~*",Z148,1)&gt;0)</formula>
    </cfRule>
  </conditionalFormatting>
  <conditionalFormatting sqref="AN148">
    <cfRule type="expression" dxfId="1461" priority="3146" stopIfTrue="1">
      <formula>LEN(AN148)&gt;#REF!</formula>
    </cfRule>
    <cfRule type="expression" dxfId="1460" priority="3147" stopIfTrue="1">
      <formula>AND(NOT(ISERROR(SEARCH("~*~*~*",AN148,1))),SEARCH("~*~*~*",AN148,1)&gt;0)</formula>
    </cfRule>
  </conditionalFormatting>
  <conditionalFormatting sqref="AO148 AM148">
    <cfRule type="expression" dxfId="1459" priority="3148" stopIfTrue="1">
      <formula>LEN(AM148)&gt;32</formula>
    </cfRule>
    <cfRule type="expression" dxfId="1458" priority="3149" stopIfTrue="1">
      <formula>AND(NOT(ISERROR(SEARCH("~*~*~*",AM148,1))),SEARCH("~*~*~*",AM148,1)&gt;0)</formula>
    </cfRule>
  </conditionalFormatting>
  <conditionalFormatting sqref="AT148">
    <cfRule type="cellIs" dxfId="1457" priority="3150" stopIfTrue="1" operator="greaterThan">
      <formula>1</formula>
    </cfRule>
  </conditionalFormatting>
  <conditionalFormatting sqref="O149:X149">
    <cfRule type="expression" dxfId="1456" priority="3123" stopIfTrue="1">
      <formula>E149&lt;&gt;""</formula>
    </cfRule>
    <cfRule type="expression" dxfId="1455" priority="3124" stopIfTrue="1">
      <formula>E149=""</formula>
    </cfRule>
  </conditionalFormatting>
  <conditionalFormatting sqref="AP149">
    <cfRule type="expression" dxfId="1454" priority="3128" stopIfTrue="1">
      <formula>LEN(AP149)&gt;AR$3</formula>
    </cfRule>
    <cfRule type="expression" dxfId="1453" priority="3129" stopIfTrue="1">
      <formula>AND(NOT(ISERROR(SEARCH("~*~*~*",AP149,1))),SEARCH("~*~*~*",AP149,1)&gt;0)</formula>
    </cfRule>
  </conditionalFormatting>
  <conditionalFormatting sqref="Z149">
    <cfRule type="expression" dxfId="1452" priority="3130" stopIfTrue="1">
      <formula>LEN(Z149)&gt;$AA$3</formula>
    </cfRule>
    <cfRule type="expression" dxfId="1451" priority="3131" stopIfTrue="1">
      <formula>AND(NOT(ISERROR(SEARCH("~*~*~*",Z149,1))),SEARCH("~*~*~*",Z149,1)&gt;0)</formula>
    </cfRule>
  </conditionalFormatting>
  <conditionalFormatting sqref="AN149">
    <cfRule type="expression" dxfId="1450" priority="3132" stopIfTrue="1">
      <formula>LEN(AN149)&gt;#REF!</formula>
    </cfRule>
    <cfRule type="expression" dxfId="1449" priority="3133" stopIfTrue="1">
      <formula>AND(NOT(ISERROR(SEARCH("~*~*~*",AN149,1))),SEARCH("~*~*~*",AN149,1)&gt;0)</formula>
    </cfRule>
  </conditionalFormatting>
  <conditionalFormatting sqref="AO149 AM149">
    <cfRule type="expression" dxfId="1448" priority="3134" stopIfTrue="1">
      <formula>LEN(AM149)&gt;32</formula>
    </cfRule>
    <cfRule type="expression" dxfId="1447" priority="3135" stopIfTrue="1">
      <formula>AND(NOT(ISERROR(SEARCH("~*~*~*",AM149,1))),SEARCH("~*~*~*",AM149,1)&gt;0)</formula>
    </cfRule>
  </conditionalFormatting>
  <conditionalFormatting sqref="AT149">
    <cfRule type="cellIs" dxfId="1446" priority="3136" stopIfTrue="1" operator="greaterThan">
      <formula>1</formula>
    </cfRule>
  </conditionalFormatting>
  <conditionalFormatting sqref="O150:X150">
    <cfRule type="expression" dxfId="1445" priority="3109" stopIfTrue="1">
      <formula>E150&lt;&gt;""</formula>
    </cfRule>
    <cfRule type="expression" dxfId="1444" priority="3110" stopIfTrue="1">
      <formula>E150=""</formula>
    </cfRule>
  </conditionalFormatting>
  <conditionalFormatting sqref="AP150">
    <cfRule type="expression" dxfId="1443" priority="3114" stopIfTrue="1">
      <formula>LEN(AP150)&gt;AR$3</formula>
    </cfRule>
    <cfRule type="expression" dxfId="1442" priority="3115" stopIfTrue="1">
      <formula>AND(NOT(ISERROR(SEARCH("~*~*~*",AP150,1))),SEARCH("~*~*~*",AP150,1)&gt;0)</formula>
    </cfRule>
  </conditionalFormatting>
  <conditionalFormatting sqref="Z150">
    <cfRule type="expression" dxfId="1441" priority="3116" stopIfTrue="1">
      <formula>LEN(Z150)&gt;$AA$3</formula>
    </cfRule>
    <cfRule type="expression" dxfId="1440" priority="3117" stopIfTrue="1">
      <formula>AND(NOT(ISERROR(SEARCH("~*~*~*",Z150,1))),SEARCH("~*~*~*",Z150,1)&gt;0)</formula>
    </cfRule>
  </conditionalFormatting>
  <conditionalFormatting sqref="AN150">
    <cfRule type="expression" dxfId="1439" priority="3118" stopIfTrue="1">
      <formula>LEN(AN150)&gt;#REF!</formula>
    </cfRule>
    <cfRule type="expression" dxfId="1438" priority="3119" stopIfTrue="1">
      <formula>AND(NOT(ISERROR(SEARCH("~*~*~*",AN150,1))),SEARCH("~*~*~*",AN150,1)&gt;0)</formula>
    </cfRule>
  </conditionalFormatting>
  <conditionalFormatting sqref="AO150 AM150">
    <cfRule type="expression" dxfId="1437" priority="3120" stopIfTrue="1">
      <formula>LEN(AM150)&gt;32</formula>
    </cfRule>
    <cfRule type="expression" dxfId="1436" priority="3121" stopIfTrue="1">
      <formula>AND(NOT(ISERROR(SEARCH("~*~*~*",AM150,1))),SEARCH("~*~*~*",AM150,1)&gt;0)</formula>
    </cfRule>
  </conditionalFormatting>
  <conditionalFormatting sqref="AT150">
    <cfRule type="cellIs" dxfId="1435" priority="3122" stopIfTrue="1" operator="greaterThan">
      <formula>1</formula>
    </cfRule>
  </conditionalFormatting>
  <conditionalFormatting sqref="O151:X151">
    <cfRule type="expression" dxfId="1434" priority="3095" stopIfTrue="1">
      <formula>E151&lt;&gt;""</formula>
    </cfRule>
    <cfRule type="expression" dxfId="1433" priority="3096" stopIfTrue="1">
      <formula>E151=""</formula>
    </cfRule>
  </conditionalFormatting>
  <conditionalFormatting sqref="AP151">
    <cfRule type="expression" dxfId="1432" priority="3100" stopIfTrue="1">
      <formula>LEN(AP151)&gt;AR$3</formula>
    </cfRule>
    <cfRule type="expression" dxfId="1431" priority="3101" stopIfTrue="1">
      <formula>AND(NOT(ISERROR(SEARCH("~*~*~*",AP151,1))),SEARCH("~*~*~*",AP151,1)&gt;0)</formula>
    </cfRule>
  </conditionalFormatting>
  <conditionalFormatting sqref="Z151">
    <cfRule type="expression" dxfId="1430" priority="3102" stopIfTrue="1">
      <formula>LEN(Z151)&gt;$AA$3</formula>
    </cfRule>
    <cfRule type="expression" dxfId="1429" priority="3103" stopIfTrue="1">
      <formula>AND(NOT(ISERROR(SEARCH("~*~*~*",Z151,1))),SEARCH("~*~*~*",Z151,1)&gt;0)</formula>
    </cfRule>
  </conditionalFormatting>
  <conditionalFormatting sqref="AN151">
    <cfRule type="expression" dxfId="1428" priority="3104" stopIfTrue="1">
      <formula>LEN(AN151)&gt;#REF!</formula>
    </cfRule>
    <cfRule type="expression" dxfId="1427" priority="3105" stopIfTrue="1">
      <formula>AND(NOT(ISERROR(SEARCH("~*~*~*",AN151,1))),SEARCH("~*~*~*",AN151,1)&gt;0)</formula>
    </cfRule>
  </conditionalFormatting>
  <conditionalFormatting sqref="AO151 AM151">
    <cfRule type="expression" dxfId="1426" priority="3106" stopIfTrue="1">
      <formula>LEN(AM151)&gt;32</formula>
    </cfRule>
    <cfRule type="expression" dxfId="1425" priority="3107" stopIfTrue="1">
      <formula>AND(NOT(ISERROR(SEARCH("~*~*~*",AM151,1))),SEARCH("~*~*~*",AM151,1)&gt;0)</formula>
    </cfRule>
  </conditionalFormatting>
  <conditionalFormatting sqref="AT151">
    <cfRule type="cellIs" dxfId="1424" priority="3108" stopIfTrue="1" operator="greaterThan">
      <formula>1</formula>
    </cfRule>
  </conditionalFormatting>
  <conditionalFormatting sqref="O126:X126">
    <cfRule type="expression" dxfId="1423" priority="3081" stopIfTrue="1">
      <formula>E126&lt;&gt;""</formula>
    </cfRule>
    <cfRule type="expression" dxfId="1422" priority="3082" stopIfTrue="1">
      <formula>E126=""</formula>
    </cfRule>
  </conditionalFormatting>
  <conditionalFormatting sqref="AP126">
    <cfRule type="expression" dxfId="1421" priority="3086" stopIfTrue="1">
      <formula>LEN(AP126)&gt;AR$3</formula>
    </cfRule>
    <cfRule type="expression" dxfId="1420" priority="3087" stopIfTrue="1">
      <formula>AND(NOT(ISERROR(SEARCH("~*~*~*",AP126,1))),SEARCH("~*~*~*",AP126,1)&gt;0)</formula>
    </cfRule>
  </conditionalFormatting>
  <conditionalFormatting sqref="Z126">
    <cfRule type="expression" dxfId="1419" priority="3088" stopIfTrue="1">
      <formula>LEN(Z126)&gt;$AA$3</formula>
    </cfRule>
    <cfRule type="expression" dxfId="1418" priority="3089" stopIfTrue="1">
      <formula>AND(NOT(ISERROR(SEARCH("~*~*~*",Z126,1))),SEARCH("~*~*~*",Z126,1)&gt;0)</formula>
    </cfRule>
  </conditionalFormatting>
  <conditionalFormatting sqref="AN126">
    <cfRule type="expression" dxfId="1417" priority="3090" stopIfTrue="1">
      <formula>LEN(AN126)&gt;#REF!</formula>
    </cfRule>
    <cfRule type="expression" dxfId="1416" priority="3091" stopIfTrue="1">
      <formula>AND(NOT(ISERROR(SEARCH("~*~*~*",AN126,1))),SEARCH("~*~*~*",AN126,1)&gt;0)</formula>
    </cfRule>
  </conditionalFormatting>
  <conditionalFormatting sqref="AO126 AM126">
    <cfRule type="expression" dxfId="1415" priority="3092" stopIfTrue="1">
      <formula>LEN(AM126)&gt;32</formula>
    </cfRule>
    <cfRule type="expression" dxfId="1414" priority="3093" stopIfTrue="1">
      <formula>AND(NOT(ISERROR(SEARCH("~*~*~*",AM126,1))),SEARCH("~*~*~*",AM126,1)&gt;0)</formula>
    </cfRule>
  </conditionalFormatting>
  <conditionalFormatting sqref="AT126">
    <cfRule type="cellIs" dxfId="1413" priority="3094" stopIfTrue="1" operator="greaterThan">
      <formula>1</formula>
    </cfRule>
  </conditionalFormatting>
  <conditionalFormatting sqref="O127:X127">
    <cfRule type="expression" dxfId="1412" priority="3067" stopIfTrue="1">
      <formula>E127&lt;&gt;""</formula>
    </cfRule>
    <cfRule type="expression" dxfId="1411" priority="3068" stopIfTrue="1">
      <formula>E127=""</formula>
    </cfRule>
  </conditionalFormatting>
  <conditionalFormatting sqref="AP127">
    <cfRule type="expression" dxfId="1410" priority="3072" stopIfTrue="1">
      <formula>LEN(AP127)&gt;AR$3</formula>
    </cfRule>
    <cfRule type="expression" dxfId="1409" priority="3073" stopIfTrue="1">
      <formula>AND(NOT(ISERROR(SEARCH("~*~*~*",AP127,1))),SEARCH("~*~*~*",AP127,1)&gt;0)</formula>
    </cfRule>
  </conditionalFormatting>
  <conditionalFormatting sqref="Z127">
    <cfRule type="expression" dxfId="1408" priority="3074" stopIfTrue="1">
      <formula>LEN(Z127)&gt;$AA$3</formula>
    </cfRule>
    <cfRule type="expression" dxfId="1407" priority="3075" stopIfTrue="1">
      <formula>AND(NOT(ISERROR(SEARCH("~*~*~*",Z127,1))),SEARCH("~*~*~*",Z127,1)&gt;0)</formula>
    </cfRule>
  </conditionalFormatting>
  <conditionalFormatting sqref="AN127">
    <cfRule type="expression" dxfId="1406" priority="3076" stopIfTrue="1">
      <formula>LEN(AN127)&gt;#REF!</formula>
    </cfRule>
    <cfRule type="expression" dxfId="1405" priority="3077" stopIfTrue="1">
      <formula>AND(NOT(ISERROR(SEARCH("~*~*~*",AN127,1))),SEARCH("~*~*~*",AN127,1)&gt;0)</formula>
    </cfRule>
  </conditionalFormatting>
  <conditionalFormatting sqref="AO127 AM127">
    <cfRule type="expression" dxfId="1404" priority="3078" stopIfTrue="1">
      <formula>LEN(AM127)&gt;32</formula>
    </cfRule>
    <cfRule type="expression" dxfId="1403" priority="3079" stopIfTrue="1">
      <formula>AND(NOT(ISERROR(SEARCH("~*~*~*",AM127,1))),SEARCH("~*~*~*",AM127,1)&gt;0)</formula>
    </cfRule>
  </conditionalFormatting>
  <conditionalFormatting sqref="AT127">
    <cfRule type="cellIs" dxfId="1402" priority="3080" stopIfTrue="1" operator="greaterThan">
      <formula>1</formula>
    </cfRule>
  </conditionalFormatting>
  <conditionalFormatting sqref="O128:X128">
    <cfRule type="expression" dxfId="1401" priority="3053" stopIfTrue="1">
      <formula>E128&lt;&gt;""</formula>
    </cfRule>
    <cfRule type="expression" dxfId="1400" priority="3054" stopIfTrue="1">
      <formula>E128=""</formula>
    </cfRule>
  </conditionalFormatting>
  <conditionalFormatting sqref="AP128">
    <cfRule type="expression" dxfId="1399" priority="3058" stopIfTrue="1">
      <formula>LEN(AP128)&gt;AR$3</formula>
    </cfRule>
    <cfRule type="expression" dxfId="1398" priority="3059" stopIfTrue="1">
      <formula>AND(NOT(ISERROR(SEARCH("~*~*~*",AP128,1))),SEARCH("~*~*~*",AP128,1)&gt;0)</formula>
    </cfRule>
  </conditionalFormatting>
  <conditionalFormatting sqref="Z128">
    <cfRule type="expression" dxfId="1397" priority="3060" stopIfTrue="1">
      <formula>LEN(Z128)&gt;$AA$3</formula>
    </cfRule>
    <cfRule type="expression" dxfId="1396" priority="3061" stopIfTrue="1">
      <formula>AND(NOT(ISERROR(SEARCH("~*~*~*",Z128,1))),SEARCH("~*~*~*",Z128,1)&gt;0)</formula>
    </cfRule>
  </conditionalFormatting>
  <conditionalFormatting sqref="AN128">
    <cfRule type="expression" dxfId="1395" priority="3062" stopIfTrue="1">
      <formula>LEN(AN128)&gt;#REF!</formula>
    </cfRule>
    <cfRule type="expression" dxfId="1394" priority="3063" stopIfTrue="1">
      <formula>AND(NOT(ISERROR(SEARCH("~*~*~*",AN128,1))),SEARCH("~*~*~*",AN128,1)&gt;0)</formula>
    </cfRule>
  </conditionalFormatting>
  <conditionalFormatting sqref="AO128 AM128">
    <cfRule type="expression" dxfId="1393" priority="3064" stopIfTrue="1">
      <formula>LEN(AM128)&gt;32</formula>
    </cfRule>
    <cfRule type="expression" dxfId="1392" priority="3065" stopIfTrue="1">
      <formula>AND(NOT(ISERROR(SEARCH("~*~*~*",AM128,1))),SEARCH("~*~*~*",AM128,1)&gt;0)</formula>
    </cfRule>
  </conditionalFormatting>
  <conditionalFormatting sqref="AT128">
    <cfRule type="cellIs" dxfId="1391" priority="3066" stopIfTrue="1" operator="greaterThan">
      <formula>1</formula>
    </cfRule>
  </conditionalFormatting>
  <conditionalFormatting sqref="O129:X129">
    <cfRule type="expression" dxfId="1390" priority="3039" stopIfTrue="1">
      <formula>E129&lt;&gt;""</formula>
    </cfRule>
    <cfRule type="expression" dxfId="1389" priority="3040" stopIfTrue="1">
      <formula>E129=""</formula>
    </cfRule>
  </conditionalFormatting>
  <conditionalFormatting sqref="AP129">
    <cfRule type="expression" dxfId="1388" priority="3044" stopIfTrue="1">
      <formula>LEN(AP129)&gt;AR$3</formula>
    </cfRule>
    <cfRule type="expression" dxfId="1387" priority="3045" stopIfTrue="1">
      <formula>AND(NOT(ISERROR(SEARCH("~*~*~*",AP129,1))),SEARCH("~*~*~*",AP129,1)&gt;0)</formula>
    </cfRule>
  </conditionalFormatting>
  <conditionalFormatting sqref="Z129">
    <cfRule type="expression" dxfId="1386" priority="3046" stopIfTrue="1">
      <formula>LEN(Z129)&gt;$AA$3</formula>
    </cfRule>
    <cfRule type="expression" dxfId="1385" priority="3047" stopIfTrue="1">
      <formula>AND(NOT(ISERROR(SEARCH("~*~*~*",Z129,1))),SEARCH("~*~*~*",Z129,1)&gt;0)</formula>
    </cfRule>
  </conditionalFormatting>
  <conditionalFormatting sqref="AN129">
    <cfRule type="expression" dxfId="1384" priority="3048" stopIfTrue="1">
      <formula>LEN(AN129)&gt;#REF!</formula>
    </cfRule>
    <cfRule type="expression" dxfId="1383" priority="3049" stopIfTrue="1">
      <formula>AND(NOT(ISERROR(SEARCH("~*~*~*",AN129,1))),SEARCH("~*~*~*",AN129,1)&gt;0)</formula>
    </cfRule>
  </conditionalFormatting>
  <conditionalFormatting sqref="AO129 AM129">
    <cfRule type="expression" dxfId="1382" priority="3050" stopIfTrue="1">
      <formula>LEN(AM129)&gt;32</formula>
    </cfRule>
    <cfRule type="expression" dxfId="1381" priority="3051" stopIfTrue="1">
      <formula>AND(NOT(ISERROR(SEARCH("~*~*~*",AM129,1))),SEARCH("~*~*~*",AM129,1)&gt;0)</formula>
    </cfRule>
  </conditionalFormatting>
  <conditionalFormatting sqref="AT129">
    <cfRule type="cellIs" dxfId="1380" priority="3052" stopIfTrue="1" operator="greaterThan">
      <formula>1</formula>
    </cfRule>
  </conditionalFormatting>
  <conditionalFormatting sqref="O130:X130">
    <cfRule type="expression" dxfId="1379" priority="3025" stopIfTrue="1">
      <formula>E130&lt;&gt;""</formula>
    </cfRule>
    <cfRule type="expression" dxfId="1378" priority="3026" stopIfTrue="1">
      <formula>E130=""</formula>
    </cfRule>
  </conditionalFormatting>
  <conditionalFormatting sqref="AP130">
    <cfRule type="expression" dxfId="1377" priority="3030" stopIfTrue="1">
      <formula>LEN(AP130)&gt;AR$3</formula>
    </cfRule>
    <cfRule type="expression" dxfId="1376" priority="3031" stopIfTrue="1">
      <formula>AND(NOT(ISERROR(SEARCH("~*~*~*",AP130,1))),SEARCH("~*~*~*",AP130,1)&gt;0)</formula>
    </cfRule>
  </conditionalFormatting>
  <conditionalFormatting sqref="Z130">
    <cfRule type="expression" dxfId="1375" priority="3032" stopIfTrue="1">
      <formula>LEN(Z130)&gt;$AA$3</formula>
    </cfRule>
    <cfRule type="expression" dxfId="1374" priority="3033" stopIfTrue="1">
      <formula>AND(NOT(ISERROR(SEARCH("~*~*~*",Z130,1))),SEARCH("~*~*~*",Z130,1)&gt;0)</formula>
    </cfRule>
  </conditionalFormatting>
  <conditionalFormatting sqref="AN130">
    <cfRule type="expression" dxfId="1373" priority="3034" stopIfTrue="1">
      <formula>LEN(AN130)&gt;#REF!</formula>
    </cfRule>
    <cfRule type="expression" dxfId="1372" priority="3035" stopIfTrue="1">
      <formula>AND(NOT(ISERROR(SEARCH("~*~*~*",AN130,1))),SEARCH("~*~*~*",AN130,1)&gt;0)</formula>
    </cfRule>
  </conditionalFormatting>
  <conditionalFormatting sqref="AO130 AM130">
    <cfRule type="expression" dxfId="1371" priority="3036" stopIfTrue="1">
      <formula>LEN(AM130)&gt;32</formula>
    </cfRule>
    <cfRule type="expression" dxfId="1370" priority="3037" stopIfTrue="1">
      <formula>AND(NOT(ISERROR(SEARCH("~*~*~*",AM130,1))),SEARCH("~*~*~*",AM130,1)&gt;0)</formula>
    </cfRule>
  </conditionalFormatting>
  <conditionalFormatting sqref="AT130">
    <cfRule type="cellIs" dxfId="1369" priority="3038" stopIfTrue="1" operator="greaterThan">
      <formula>1</formula>
    </cfRule>
  </conditionalFormatting>
  <conditionalFormatting sqref="O131:X131">
    <cfRule type="expression" dxfId="1368" priority="3011" stopIfTrue="1">
      <formula>E131&lt;&gt;""</formula>
    </cfRule>
    <cfRule type="expression" dxfId="1367" priority="3012" stopIfTrue="1">
      <formula>E131=""</formula>
    </cfRule>
  </conditionalFormatting>
  <conditionalFormatting sqref="AP131">
    <cfRule type="expression" dxfId="1366" priority="3016" stopIfTrue="1">
      <formula>LEN(AP131)&gt;AR$3</formula>
    </cfRule>
    <cfRule type="expression" dxfId="1365" priority="3017" stopIfTrue="1">
      <formula>AND(NOT(ISERROR(SEARCH("~*~*~*",AP131,1))),SEARCH("~*~*~*",AP131,1)&gt;0)</formula>
    </cfRule>
  </conditionalFormatting>
  <conditionalFormatting sqref="Z131">
    <cfRule type="expression" dxfId="1364" priority="3018" stopIfTrue="1">
      <formula>LEN(Z131)&gt;$AA$3</formula>
    </cfRule>
    <cfRule type="expression" dxfId="1363" priority="3019" stopIfTrue="1">
      <formula>AND(NOT(ISERROR(SEARCH("~*~*~*",Z131,1))),SEARCH("~*~*~*",Z131,1)&gt;0)</formula>
    </cfRule>
  </conditionalFormatting>
  <conditionalFormatting sqref="AN131">
    <cfRule type="expression" dxfId="1362" priority="3020" stopIfTrue="1">
      <formula>LEN(AN131)&gt;#REF!</formula>
    </cfRule>
    <cfRule type="expression" dxfId="1361" priority="3021" stopIfTrue="1">
      <formula>AND(NOT(ISERROR(SEARCH("~*~*~*",AN131,1))),SEARCH("~*~*~*",AN131,1)&gt;0)</formula>
    </cfRule>
  </conditionalFormatting>
  <conditionalFormatting sqref="AO131 AM131">
    <cfRule type="expression" dxfId="1360" priority="3022" stopIfTrue="1">
      <formula>LEN(AM131)&gt;32</formula>
    </cfRule>
    <cfRule type="expression" dxfId="1359" priority="3023" stopIfTrue="1">
      <formula>AND(NOT(ISERROR(SEARCH("~*~*~*",AM131,1))),SEARCH("~*~*~*",AM131,1)&gt;0)</formula>
    </cfRule>
  </conditionalFormatting>
  <conditionalFormatting sqref="AT131">
    <cfRule type="cellIs" dxfId="1358" priority="3024" stopIfTrue="1" operator="greaterThan">
      <formula>1</formula>
    </cfRule>
  </conditionalFormatting>
  <conditionalFormatting sqref="O132:X132">
    <cfRule type="expression" dxfId="1357" priority="2997" stopIfTrue="1">
      <formula>E132&lt;&gt;""</formula>
    </cfRule>
    <cfRule type="expression" dxfId="1356" priority="2998" stopIfTrue="1">
      <formula>E132=""</formula>
    </cfRule>
  </conditionalFormatting>
  <conditionalFormatting sqref="AP132">
    <cfRule type="expression" dxfId="1355" priority="3002" stopIfTrue="1">
      <formula>LEN(AP132)&gt;AR$3</formula>
    </cfRule>
    <cfRule type="expression" dxfId="1354" priority="3003" stopIfTrue="1">
      <formula>AND(NOT(ISERROR(SEARCH("~*~*~*",AP132,1))),SEARCH("~*~*~*",AP132,1)&gt;0)</formula>
    </cfRule>
  </conditionalFormatting>
  <conditionalFormatting sqref="Z132">
    <cfRule type="expression" dxfId="1353" priority="3004" stopIfTrue="1">
      <formula>LEN(Z132)&gt;$AA$3</formula>
    </cfRule>
    <cfRule type="expression" dxfId="1352" priority="3005" stopIfTrue="1">
      <formula>AND(NOT(ISERROR(SEARCH("~*~*~*",Z132,1))),SEARCH("~*~*~*",Z132,1)&gt;0)</formula>
    </cfRule>
  </conditionalFormatting>
  <conditionalFormatting sqref="AN132">
    <cfRule type="expression" dxfId="1351" priority="3006" stopIfTrue="1">
      <formula>LEN(AN132)&gt;#REF!</formula>
    </cfRule>
    <cfRule type="expression" dxfId="1350" priority="3007" stopIfTrue="1">
      <formula>AND(NOT(ISERROR(SEARCH("~*~*~*",AN132,1))),SEARCH("~*~*~*",AN132,1)&gt;0)</formula>
    </cfRule>
  </conditionalFormatting>
  <conditionalFormatting sqref="AO132 AM132">
    <cfRule type="expression" dxfId="1349" priority="3008" stopIfTrue="1">
      <formula>LEN(AM132)&gt;32</formula>
    </cfRule>
    <cfRule type="expression" dxfId="1348" priority="3009" stopIfTrue="1">
      <formula>AND(NOT(ISERROR(SEARCH("~*~*~*",AM132,1))),SEARCH("~*~*~*",AM132,1)&gt;0)</formula>
    </cfRule>
  </conditionalFormatting>
  <conditionalFormatting sqref="AT132">
    <cfRule type="cellIs" dxfId="1347" priority="3010" stopIfTrue="1" operator="greaterThan">
      <formula>1</formula>
    </cfRule>
  </conditionalFormatting>
  <conditionalFormatting sqref="O133:X133">
    <cfRule type="expression" dxfId="1346" priority="2983" stopIfTrue="1">
      <formula>E133&lt;&gt;""</formula>
    </cfRule>
    <cfRule type="expression" dxfId="1345" priority="2984" stopIfTrue="1">
      <formula>E133=""</formula>
    </cfRule>
  </conditionalFormatting>
  <conditionalFormatting sqref="AP133">
    <cfRule type="expression" dxfId="1344" priority="2988" stopIfTrue="1">
      <formula>LEN(AP133)&gt;AR$3</formula>
    </cfRule>
    <cfRule type="expression" dxfId="1343" priority="2989" stopIfTrue="1">
      <formula>AND(NOT(ISERROR(SEARCH("~*~*~*",AP133,1))),SEARCH("~*~*~*",AP133,1)&gt;0)</formula>
    </cfRule>
  </conditionalFormatting>
  <conditionalFormatting sqref="Z133">
    <cfRule type="expression" dxfId="1342" priority="2990" stopIfTrue="1">
      <formula>LEN(Z133)&gt;$AA$3</formula>
    </cfRule>
    <cfRule type="expression" dxfId="1341" priority="2991" stopIfTrue="1">
      <formula>AND(NOT(ISERROR(SEARCH("~*~*~*",Z133,1))),SEARCH("~*~*~*",Z133,1)&gt;0)</formula>
    </cfRule>
  </conditionalFormatting>
  <conditionalFormatting sqref="AN133">
    <cfRule type="expression" dxfId="1340" priority="2992" stopIfTrue="1">
      <formula>LEN(AN133)&gt;#REF!</formula>
    </cfRule>
    <cfRule type="expression" dxfId="1339" priority="2993" stopIfTrue="1">
      <formula>AND(NOT(ISERROR(SEARCH("~*~*~*",AN133,1))),SEARCH("~*~*~*",AN133,1)&gt;0)</formula>
    </cfRule>
  </conditionalFormatting>
  <conditionalFormatting sqref="AO133 AM133">
    <cfRule type="expression" dxfId="1338" priority="2994" stopIfTrue="1">
      <formula>LEN(AM133)&gt;32</formula>
    </cfRule>
    <cfRule type="expression" dxfId="1337" priority="2995" stopIfTrue="1">
      <formula>AND(NOT(ISERROR(SEARCH("~*~*~*",AM133,1))),SEARCH("~*~*~*",AM133,1)&gt;0)</formula>
    </cfRule>
  </conditionalFormatting>
  <conditionalFormatting sqref="AT133">
    <cfRule type="cellIs" dxfId="1336" priority="2996" stopIfTrue="1" operator="greaterThan">
      <formula>1</formula>
    </cfRule>
  </conditionalFormatting>
  <conditionalFormatting sqref="O134:X134">
    <cfRule type="expression" dxfId="1335" priority="2969" stopIfTrue="1">
      <formula>E134&lt;&gt;""</formula>
    </cfRule>
    <cfRule type="expression" dxfId="1334" priority="2970" stopIfTrue="1">
      <formula>E134=""</formula>
    </cfRule>
  </conditionalFormatting>
  <conditionalFormatting sqref="AP134">
    <cfRule type="expression" dxfId="1333" priority="2974" stopIfTrue="1">
      <formula>LEN(AP134)&gt;AR$3</formula>
    </cfRule>
    <cfRule type="expression" dxfId="1332" priority="2975" stopIfTrue="1">
      <formula>AND(NOT(ISERROR(SEARCH("~*~*~*",AP134,1))),SEARCH("~*~*~*",AP134,1)&gt;0)</formula>
    </cfRule>
  </conditionalFormatting>
  <conditionalFormatting sqref="Z134">
    <cfRule type="expression" dxfId="1331" priority="2976" stopIfTrue="1">
      <formula>LEN(Z134)&gt;$AA$3</formula>
    </cfRule>
    <cfRule type="expression" dxfId="1330" priority="2977" stopIfTrue="1">
      <formula>AND(NOT(ISERROR(SEARCH("~*~*~*",Z134,1))),SEARCH("~*~*~*",Z134,1)&gt;0)</formula>
    </cfRule>
  </conditionalFormatting>
  <conditionalFormatting sqref="AN134">
    <cfRule type="expression" dxfId="1329" priority="2978" stopIfTrue="1">
      <formula>LEN(AN134)&gt;#REF!</formula>
    </cfRule>
    <cfRule type="expression" dxfId="1328" priority="2979" stopIfTrue="1">
      <formula>AND(NOT(ISERROR(SEARCH("~*~*~*",AN134,1))),SEARCH("~*~*~*",AN134,1)&gt;0)</formula>
    </cfRule>
  </conditionalFormatting>
  <conditionalFormatting sqref="AO134 AM134">
    <cfRule type="expression" dxfId="1327" priority="2980" stopIfTrue="1">
      <formula>LEN(AM134)&gt;32</formula>
    </cfRule>
    <cfRule type="expression" dxfId="1326" priority="2981" stopIfTrue="1">
      <formula>AND(NOT(ISERROR(SEARCH("~*~*~*",AM134,1))),SEARCH("~*~*~*",AM134,1)&gt;0)</formula>
    </cfRule>
  </conditionalFormatting>
  <conditionalFormatting sqref="AT134">
    <cfRule type="cellIs" dxfId="1325" priority="2982" stopIfTrue="1" operator="greaterThan">
      <formula>1</formula>
    </cfRule>
  </conditionalFormatting>
  <conditionalFormatting sqref="O135:X135">
    <cfRule type="expression" dxfId="1324" priority="2955" stopIfTrue="1">
      <formula>E135&lt;&gt;""</formula>
    </cfRule>
    <cfRule type="expression" dxfId="1323" priority="2956" stopIfTrue="1">
      <formula>E135=""</formula>
    </cfRule>
  </conditionalFormatting>
  <conditionalFormatting sqref="AP135">
    <cfRule type="expression" dxfId="1322" priority="2960" stopIfTrue="1">
      <formula>LEN(AP135)&gt;AR$3</formula>
    </cfRule>
    <cfRule type="expression" dxfId="1321" priority="2961" stopIfTrue="1">
      <formula>AND(NOT(ISERROR(SEARCH("~*~*~*",AP135,1))),SEARCH("~*~*~*",AP135,1)&gt;0)</formula>
    </cfRule>
  </conditionalFormatting>
  <conditionalFormatting sqref="Z135">
    <cfRule type="expression" dxfId="1320" priority="2962" stopIfTrue="1">
      <formula>LEN(Z135)&gt;$AA$3</formula>
    </cfRule>
    <cfRule type="expression" dxfId="1319" priority="2963" stopIfTrue="1">
      <formula>AND(NOT(ISERROR(SEARCH("~*~*~*",Z135,1))),SEARCH("~*~*~*",Z135,1)&gt;0)</formula>
    </cfRule>
  </conditionalFormatting>
  <conditionalFormatting sqref="AN135">
    <cfRule type="expression" dxfId="1318" priority="2964" stopIfTrue="1">
      <formula>LEN(AN135)&gt;#REF!</formula>
    </cfRule>
    <cfRule type="expression" dxfId="1317" priority="2965" stopIfTrue="1">
      <formula>AND(NOT(ISERROR(SEARCH("~*~*~*",AN135,1))),SEARCH("~*~*~*",AN135,1)&gt;0)</formula>
    </cfRule>
  </conditionalFormatting>
  <conditionalFormatting sqref="AO135 AM135">
    <cfRule type="expression" dxfId="1316" priority="2966" stopIfTrue="1">
      <formula>LEN(AM135)&gt;32</formula>
    </cfRule>
    <cfRule type="expression" dxfId="1315" priority="2967" stopIfTrue="1">
      <formula>AND(NOT(ISERROR(SEARCH("~*~*~*",AM135,1))),SEARCH("~*~*~*",AM135,1)&gt;0)</formula>
    </cfRule>
  </conditionalFormatting>
  <conditionalFormatting sqref="AT135">
    <cfRule type="cellIs" dxfId="1314" priority="2968" stopIfTrue="1" operator="greaterThan">
      <formula>1</formula>
    </cfRule>
  </conditionalFormatting>
  <conditionalFormatting sqref="O136:X136">
    <cfRule type="expression" dxfId="1313" priority="2941" stopIfTrue="1">
      <formula>E136&lt;&gt;""</formula>
    </cfRule>
    <cfRule type="expression" dxfId="1312" priority="2942" stopIfTrue="1">
      <formula>E136=""</formula>
    </cfRule>
  </conditionalFormatting>
  <conditionalFormatting sqref="AP136">
    <cfRule type="expression" dxfId="1311" priority="2946" stopIfTrue="1">
      <formula>LEN(AP136)&gt;AR$3</formula>
    </cfRule>
    <cfRule type="expression" dxfId="1310" priority="2947" stopIfTrue="1">
      <formula>AND(NOT(ISERROR(SEARCH("~*~*~*",AP136,1))),SEARCH("~*~*~*",AP136,1)&gt;0)</formula>
    </cfRule>
  </conditionalFormatting>
  <conditionalFormatting sqref="Z136">
    <cfRule type="expression" dxfId="1309" priority="2948" stopIfTrue="1">
      <formula>LEN(Z136)&gt;$AA$3</formula>
    </cfRule>
    <cfRule type="expression" dxfId="1308" priority="2949" stopIfTrue="1">
      <formula>AND(NOT(ISERROR(SEARCH("~*~*~*",Z136,1))),SEARCH("~*~*~*",Z136,1)&gt;0)</formula>
    </cfRule>
  </conditionalFormatting>
  <conditionalFormatting sqref="AN136">
    <cfRule type="expression" dxfId="1307" priority="2950" stopIfTrue="1">
      <formula>LEN(AN136)&gt;#REF!</formula>
    </cfRule>
    <cfRule type="expression" dxfId="1306" priority="2951" stopIfTrue="1">
      <formula>AND(NOT(ISERROR(SEARCH("~*~*~*",AN136,1))),SEARCH("~*~*~*",AN136,1)&gt;0)</formula>
    </cfRule>
  </conditionalFormatting>
  <conditionalFormatting sqref="AO136 AM136">
    <cfRule type="expression" dxfId="1305" priority="2952" stopIfTrue="1">
      <formula>LEN(AM136)&gt;32</formula>
    </cfRule>
    <cfRule type="expression" dxfId="1304" priority="2953" stopIfTrue="1">
      <formula>AND(NOT(ISERROR(SEARCH("~*~*~*",AM136,1))),SEARCH("~*~*~*",AM136,1)&gt;0)</formula>
    </cfRule>
  </conditionalFormatting>
  <conditionalFormatting sqref="AT136">
    <cfRule type="cellIs" dxfId="1303" priority="2954" stopIfTrue="1" operator="greaterThan">
      <formula>1</formula>
    </cfRule>
  </conditionalFormatting>
  <conditionalFormatting sqref="O137:X137">
    <cfRule type="expression" dxfId="1302" priority="2927" stopIfTrue="1">
      <formula>E137&lt;&gt;""</formula>
    </cfRule>
    <cfRule type="expression" dxfId="1301" priority="2928" stopIfTrue="1">
      <formula>E137=""</formula>
    </cfRule>
  </conditionalFormatting>
  <conditionalFormatting sqref="AP137">
    <cfRule type="expression" dxfId="1300" priority="2932" stopIfTrue="1">
      <formula>LEN(AP137)&gt;AR$3</formula>
    </cfRule>
    <cfRule type="expression" dxfId="1299" priority="2933" stopIfTrue="1">
      <formula>AND(NOT(ISERROR(SEARCH("~*~*~*",AP137,1))),SEARCH("~*~*~*",AP137,1)&gt;0)</formula>
    </cfRule>
  </conditionalFormatting>
  <conditionalFormatting sqref="Z137">
    <cfRule type="expression" dxfId="1298" priority="2934" stopIfTrue="1">
      <formula>LEN(Z137)&gt;$AA$3</formula>
    </cfRule>
    <cfRule type="expression" dxfId="1297" priority="2935" stopIfTrue="1">
      <formula>AND(NOT(ISERROR(SEARCH("~*~*~*",Z137,1))),SEARCH("~*~*~*",Z137,1)&gt;0)</formula>
    </cfRule>
  </conditionalFormatting>
  <conditionalFormatting sqref="AN137">
    <cfRule type="expression" dxfId="1296" priority="2936" stopIfTrue="1">
      <formula>LEN(AN137)&gt;#REF!</formula>
    </cfRule>
    <cfRule type="expression" dxfId="1295" priority="2937" stopIfTrue="1">
      <formula>AND(NOT(ISERROR(SEARCH("~*~*~*",AN137,1))),SEARCH("~*~*~*",AN137,1)&gt;0)</formula>
    </cfRule>
  </conditionalFormatting>
  <conditionalFormatting sqref="AO137 AM137">
    <cfRule type="expression" dxfId="1294" priority="2938" stopIfTrue="1">
      <formula>LEN(AM137)&gt;32</formula>
    </cfRule>
    <cfRule type="expression" dxfId="1293" priority="2939" stopIfTrue="1">
      <formula>AND(NOT(ISERROR(SEARCH("~*~*~*",AM137,1))),SEARCH("~*~*~*",AM137,1)&gt;0)</formula>
    </cfRule>
  </conditionalFormatting>
  <conditionalFormatting sqref="AT137">
    <cfRule type="cellIs" dxfId="1292" priority="2940" stopIfTrue="1" operator="greaterThan">
      <formula>1</formula>
    </cfRule>
  </conditionalFormatting>
  <conditionalFormatting sqref="O138:X138">
    <cfRule type="expression" dxfId="1291" priority="2913" stopIfTrue="1">
      <formula>E138&lt;&gt;""</formula>
    </cfRule>
    <cfRule type="expression" dxfId="1290" priority="2914" stopIfTrue="1">
      <formula>E138=""</formula>
    </cfRule>
  </conditionalFormatting>
  <conditionalFormatting sqref="AP138">
    <cfRule type="expression" dxfId="1289" priority="2918" stopIfTrue="1">
      <formula>LEN(AP138)&gt;AR$3</formula>
    </cfRule>
    <cfRule type="expression" dxfId="1288" priority="2919" stopIfTrue="1">
      <formula>AND(NOT(ISERROR(SEARCH("~*~*~*",AP138,1))),SEARCH("~*~*~*",AP138,1)&gt;0)</formula>
    </cfRule>
  </conditionalFormatting>
  <conditionalFormatting sqref="Z138">
    <cfRule type="expression" dxfId="1287" priority="2920" stopIfTrue="1">
      <formula>LEN(Z138)&gt;$AA$3</formula>
    </cfRule>
    <cfRule type="expression" dxfId="1286" priority="2921" stopIfTrue="1">
      <formula>AND(NOT(ISERROR(SEARCH("~*~*~*",Z138,1))),SEARCH("~*~*~*",Z138,1)&gt;0)</formula>
    </cfRule>
  </conditionalFormatting>
  <conditionalFormatting sqref="AN138">
    <cfRule type="expression" dxfId="1285" priority="2922" stopIfTrue="1">
      <formula>LEN(AN138)&gt;#REF!</formula>
    </cfRule>
    <cfRule type="expression" dxfId="1284" priority="2923" stopIfTrue="1">
      <formula>AND(NOT(ISERROR(SEARCH("~*~*~*",AN138,1))),SEARCH("~*~*~*",AN138,1)&gt;0)</formula>
    </cfRule>
  </conditionalFormatting>
  <conditionalFormatting sqref="AO138 AM138">
    <cfRule type="expression" dxfId="1283" priority="2924" stopIfTrue="1">
      <formula>LEN(AM138)&gt;32</formula>
    </cfRule>
    <cfRule type="expression" dxfId="1282" priority="2925" stopIfTrue="1">
      <formula>AND(NOT(ISERROR(SEARCH("~*~*~*",AM138,1))),SEARCH("~*~*~*",AM138,1)&gt;0)</formula>
    </cfRule>
  </conditionalFormatting>
  <conditionalFormatting sqref="AT138">
    <cfRule type="cellIs" dxfId="1281" priority="2926" stopIfTrue="1" operator="greaterThan">
      <formula>1</formula>
    </cfRule>
  </conditionalFormatting>
  <conditionalFormatting sqref="O117:X117">
    <cfRule type="expression" dxfId="1280" priority="2899" stopIfTrue="1">
      <formula>E117&lt;&gt;""</formula>
    </cfRule>
    <cfRule type="expression" dxfId="1279" priority="2900" stopIfTrue="1">
      <formula>E117=""</formula>
    </cfRule>
  </conditionalFormatting>
  <conditionalFormatting sqref="AP117">
    <cfRule type="expression" dxfId="1278" priority="2904" stopIfTrue="1">
      <formula>LEN(AP117)&gt;AR$3</formula>
    </cfRule>
    <cfRule type="expression" dxfId="1277" priority="2905" stopIfTrue="1">
      <formula>AND(NOT(ISERROR(SEARCH("~*~*~*",AP117,1))),SEARCH("~*~*~*",AP117,1)&gt;0)</formula>
    </cfRule>
  </conditionalFormatting>
  <conditionalFormatting sqref="Z117">
    <cfRule type="expression" dxfId="1276" priority="2906" stopIfTrue="1">
      <formula>LEN(Z117)&gt;$AA$3</formula>
    </cfRule>
    <cfRule type="expression" dxfId="1275" priority="2907" stopIfTrue="1">
      <formula>AND(NOT(ISERROR(SEARCH("~*~*~*",Z117,1))),SEARCH("~*~*~*",Z117,1)&gt;0)</formula>
    </cfRule>
  </conditionalFormatting>
  <conditionalFormatting sqref="AN117">
    <cfRule type="expression" dxfId="1274" priority="2908" stopIfTrue="1">
      <formula>LEN(AN117)&gt;#REF!</formula>
    </cfRule>
    <cfRule type="expression" dxfId="1273" priority="2909" stopIfTrue="1">
      <formula>AND(NOT(ISERROR(SEARCH("~*~*~*",AN117,1))),SEARCH("~*~*~*",AN117,1)&gt;0)</formula>
    </cfRule>
  </conditionalFormatting>
  <conditionalFormatting sqref="AO117 AM117">
    <cfRule type="expression" dxfId="1272" priority="2910" stopIfTrue="1">
      <formula>LEN(AM117)&gt;32</formula>
    </cfRule>
    <cfRule type="expression" dxfId="1271" priority="2911" stopIfTrue="1">
      <formula>AND(NOT(ISERROR(SEARCH("~*~*~*",AM117,1))),SEARCH("~*~*~*",AM117,1)&gt;0)</formula>
    </cfRule>
  </conditionalFormatting>
  <conditionalFormatting sqref="AT117">
    <cfRule type="cellIs" dxfId="1270" priority="2912" stopIfTrue="1" operator="greaterThan">
      <formula>1</formula>
    </cfRule>
  </conditionalFormatting>
  <conditionalFormatting sqref="O118:X118">
    <cfRule type="expression" dxfId="1269" priority="2885" stopIfTrue="1">
      <formula>E118&lt;&gt;""</formula>
    </cfRule>
    <cfRule type="expression" dxfId="1268" priority="2886" stopIfTrue="1">
      <formula>E118=""</formula>
    </cfRule>
  </conditionalFormatting>
  <conditionalFormatting sqref="AP118">
    <cfRule type="expression" dxfId="1267" priority="2890" stopIfTrue="1">
      <formula>LEN(AP118)&gt;AR$3</formula>
    </cfRule>
    <cfRule type="expression" dxfId="1266" priority="2891" stopIfTrue="1">
      <formula>AND(NOT(ISERROR(SEARCH("~*~*~*",AP118,1))),SEARCH("~*~*~*",AP118,1)&gt;0)</formula>
    </cfRule>
  </conditionalFormatting>
  <conditionalFormatting sqref="Z118">
    <cfRule type="expression" dxfId="1265" priority="2892" stopIfTrue="1">
      <formula>LEN(Z118)&gt;$AA$3</formula>
    </cfRule>
    <cfRule type="expression" dxfId="1264" priority="2893" stopIfTrue="1">
      <formula>AND(NOT(ISERROR(SEARCH("~*~*~*",Z118,1))),SEARCH("~*~*~*",Z118,1)&gt;0)</formula>
    </cfRule>
  </conditionalFormatting>
  <conditionalFormatting sqref="AN118">
    <cfRule type="expression" dxfId="1263" priority="2894" stopIfTrue="1">
      <formula>LEN(AN118)&gt;#REF!</formula>
    </cfRule>
    <cfRule type="expression" dxfId="1262" priority="2895" stopIfTrue="1">
      <formula>AND(NOT(ISERROR(SEARCH("~*~*~*",AN118,1))),SEARCH("~*~*~*",AN118,1)&gt;0)</formula>
    </cfRule>
  </conditionalFormatting>
  <conditionalFormatting sqref="AO118 AM118">
    <cfRule type="expression" dxfId="1261" priority="2896" stopIfTrue="1">
      <formula>LEN(AM118)&gt;32</formula>
    </cfRule>
    <cfRule type="expression" dxfId="1260" priority="2897" stopIfTrue="1">
      <formula>AND(NOT(ISERROR(SEARCH("~*~*~*",AM118,1))),SEARCH("~*~*~*",AM118,1)&gt;0)</formula>
    </cfRule>
  </conditionalFormatting>
  <conditionalFormatting sqref="AT118">
    <cfRule type="cellIs" dxfId="1259" priority="2898" stopIfTrue="1" operator="greaterThan">
      <formula>1</formula>
    </cfRule>
  </conditionalFormatting>
  <conditionalFormatting sqref="O119:X119">
    <cfRule type="expression" dxfId="1258" priority="2871" stopIfTrue="1">
      <formula>E119&lt;&gt;""</formula>
    </cfRule>
    <cfRule type="expression" dxfId="1257" priority="2872" stopIfTrue="1">
      <formula>E119=""</formula>
    </cfRule>
  </conditionalFormatting>
  <conditionalFormatting sqref="AP119">
    <cfRule type="expression" dxfId="1256" priority="2876" stopIfTrue="1">
      <formula>LEN(AP119)&gt;AR$3</formula>
    </cfRule>
    <cfRule type="expression" dxfId="1255" priority="2877" stopIfTrue="1">
      <formula>AND(NOT(ISERROR(SEARCH("~*~*~*",AP119,1))),SEARCH("~*~*~*",AP119,1)&gt;0)</formula>
    </cfRule>
  </conditionalFormatting>
  <conditionalFormatting sqref="Z119">
    <cfRule type="expression" dxfId="1254" priority="2878" stopIfTrue="1">
      <formula>LEN(Z119)&gt;$AA$3</formula>
    </cfRule>
    <cfRule type="expression" dxfId="1253" priority="2879" stopIfTrue="1">
      <formula>AND(NOT(ISERROR(SEARCH("~*~*~*",Z119,1))),SEARCH("~*~*~*",Z119,1)&gt;0)</formula>
    </cfRule>
  </conditionalFormatting>
  <conditionalFormatting sqref="AN119">
    <cfRule type="expression" dxfId="1252" priority="2880" stopIfTrue="1">
      <formula>LEN(AN119)&gt;#REF!</formula>
    </cfRule>
    <cfRule type="expression" dxfId="1251" priority="2881" stopIfTrue="1">
      <formula>AND(NOT(ISERROR(SEARCH("~*~*~*",AN119,1))),SEARCH("~*~*~*",AN119,1)&gt;0)</formula>
    </cfRule>
  </conditionalFormatting>
  <conditionalFormatting sqref="AO119 AM119">
    <cfRule type="expression" dxfId="1250" priority="2882" stopIfTrue="1">
      <formula>LEN(AM119)&gt;32</formula>
    </cfRule>
    <cfRule type="expression" dxfId="1249" priority="2883" stopIfTrue="1">
      <formula>AND(NOT(ISERROR(SEARCH("~*~*~*",AM119,1))),SEARCH("~*~*~*",AM119,1)&gt;0)</formula>
    </cfRule>
  </conditionalFormatting>
  <conditionalFormatting sqref="AT119">
    <cfRule type="cellIs" dxfId="1248" priority="2884" stopIfTrue="1" operator="greaterThan">
      <formula>1</formula>
    </cfRule>
  </conditionalFormatting>
  <conditionalFormatting sqref="O120:X120">
    <cfRule type="expression" dxfId="1247" priority="2857" stopIfTrue="1">
      <formula>E120&lt;&gt;""</formula>
    </cfRule>
    <cfRule type="expression" dxfId="1246" priority="2858" stopIfTrue="1">
      <formula>E120=""</formula>
    </cfRule>
  </conditionalFormatting>
  <conditionalFormatting sqref="AP120">
    <cfRule type="expression" dxfId="1245" priority="2862" stopIfTrue="1">
      <formula>LEN(AP120)&gt;AR$3</formula>
    </cfRule>
    <cfRule type="expression" dxfId="1244" priority="2863" stopIfTrue="1">
      <formula>AND(NOT(ISERROR(SEARCH("~*~*~*",AP120,1))),SEARCH("~*~*~*",AP120,1)&gt;0)</formula>
    </cfRule>
  </conditionalFormatting>
  <conditionalFormatting sqref="Z120">
    <cfRule type="expression" dxfId="1243" priority="2864" stopIfTrue="1">
      <formula>LEN(Z120)&gt;$AA$3</formula>
    </cfRule>
    <cfRule type="expression" dxfId="1242" priority="2865" stopIfTrue="1">
      <formula>AND(NOT(ISERROR(SEARCH("~*~*~*",Z120,1))),SEARCH("~*~*~*",Z120,1)&gt;0)</formula>
    </cfRule>
  </conditionalFormatting>
  <conditionalFormatting sqref="AN120">
    <cfRule type="expression" dxfId="1241" priority="2866" stopIfTrue="1">
      <formula>LEN(AN120)&gt;#REF!</formula>
    </cfRule>
    <cfRule type="expression" dxfId="1240" priority="2867" stopIfTrue="1">
      <formula>AND(NOT(ISERROR(SEARCH("~*~*~*",AN120,1))),SEARCH("~*~*~*",AN120,1)&gt;0)</formula>
    </cfRule>
  </conditionalFormatting>
  <conditionalFormatting sqref="AO120 AM120">
    <cfRule type="expression" dxfId="1239" priority="2868" stopIfTrue="1">
      <formula>LEN(AM120)&gt;32</formula>
    </cfRule>
    <cfRule type="expression" dxfId="1238" priority="2869" stopIfTrue="1">
      <formula>AND(NOT(ISERROR(SEARCH("~*~*~*",AM120,1))),SEARCH("~*~*~*",AM120,1)&gt;0)</formula>
    </cfRule>
  </conditionalFormatting>
  <conditionalFormatting sqref="AT120">
    <cfRule type="cellIs" dxfId="1237" priority="2870" stopIfTrue="1" operator="greaterThan">
      <formula>1</formula>
    </cfRule>
  </conditionalFormatting>
  <conditionalFormatting sqref="O121:X121">
    <cfRule type="expression" dxfId="1236" priority="2843" stopIfTrue="1">
      <formula>E121&lt;&gt;""</formula>
    </cfRule>
    <cfRule type="expression" dxfId="1235" priority="2844" stopIfTrue="1">
      <formula>E121=""</formula>
    </cfRule>
  </conditionalFormatting>
  <conditionalFormatting sqref="AP121">
    <cfRule type="expression" dxfId="1234" priority="2848" stopIfTrue="1">
      <formula>LEN(AP121)&gt;AR$3</formula>
    </cfRule>
    <cfRule type="expression" dxfId="1233" priority="2849" stopIfTrue="1">
      <formula>AND(NOT(ISERROR(SEARCH("~*~*~*",AP121,1))),SEARCH("~*~*~*",AP121,1)&gt;0)</formula>
    </cfRule>
  </conditionalFormatting>
  <conditionalFormatting sqref="Z121">
    <cfRule type="expression" dxfId="1232" priority="2850" stopIfTrue="1">
      <formula>LEN(Z121)&gt;$AA$3</formula>
    </cfRule>
    <cfRule type="expression" dxfId="1231" priority="2851" stopIfTrue="1">
      <formula>AND(NOT(ISERROR(SEARCH("~*~*~*",Z121,1))),SEARCH("~*~*~*",Z121,1)&gt;0)</formula>
    </cfRule>
  </conditionalFormatting>
  <conditionalFormatting sqref="AN121">
    <cfRule type="expression" dxfId="1230" priority="2852" stopIfTrue="1">
      <formula>LEN(AN121)&gt;#REF!</formula>
    </cfRule>
    <cfRule type="expression" dxfId="1229" priority="2853" stopIfTrue="1">
      <formula>AND(NOT(ISERROR(SEARCH("~*~*~*",AN121,1))),SEARCH("~*~*~*",AN121,1)&gt;0)</formula>
    </cfRule>
  </conditionalFormatting>
  <conditionalFormatting sqref="AO121 AM121">
    <cfRule type="expression" dxfId="1228" priority="2854" stopIfTrue="1">
      <formula>LEN(AM121)&gt;32</formula>
    </cfRule>
    <cfRule type="expression" dxfId="1227" priority="2855" stopIfTrue="1">
      <formula>AND(NOT(ISERROR(SEARCH("~*~*~*",AM121,1))),SEARCH("~*~*~*",AM121,1)&gt;0)</formula>
    </cfRule>
  </conditionalFormatting>
  <conditionalFormatting sqref="AT121">
    <cfRule type="cellIs" dxfId="1226" priority="2856" stopIfTrue="1" operator="greaterThan">
      <formula>1</formula>
    </cfRule>
  </conditionalFormatting>
  <conditionalFormatting sqref="O122:X122">
    <cfRule type="expression" dxfId="1225" priority="2829" stopIfTrue="1">
      <formula>E122&lt;&gt;""</formula>
    </cfRule>
    <cfRule type="expression" dxfId="1224" priority="2830" stopIfTrue="1">
      <formula>E122=""</formula>
    </cfRule>
  </conditionalFormatting>
  <conditionalFormatting sqref="AP122">
    <cfRule type="expression" dxfId="1223" priority="2834" stopIfTrue="1">
      <formula>LEN(AP122)&gt;AR$3</formula>
    </cfRule>
    <cfRule type="expression" dxfId="1222" priority="2835" stopIfTrue="1">
      <formula>AND(NOT(ISERROR(SEARCH("~*~*~*",AP122,1))),SEARCH("~*~*~*",AP122,1)&gt;0)</formula>
    </cfRule>
  </conditionalFormatting>
  <conditionalFormatting sqref="Z122">
    <cfRule type="expression" dxfId="1221" priority="2836" stopIfTrue="1">
      <formula>LEN(Z122)&gt;$AA$3</formula>
    </cfRule>
    <cfRule type="expression" dxfId="1220" priority="2837" stopIfTrue="1">
      <formula>AND(NOT(ISERROR(SEARCH("~*~*~*",Z122,1))),SEARCH("~*~*~*",Z122,1)&gt;0)</formula>
    </cfRule>
  </conditionalFormatting>
  <conditionalFormatting sqref="AN122">
    <cfRule type="expression" dxfId="1219" priority="2838" stopIfTrue="1">
      <formula>LEN(AN122)&gt;#REF!</formula>
    </cfRule>
    <cfRule type="expression" dxfId="1218" priority="2839" stopIfTrue="1">
      <formula>AND(NOT(ISERROR(SEARCH("~*~*~*",AN122,1))),SEARCH("~*~*~*",AN122,1)&gt;0)</formula>
    </cfRule>
  </conditionalFormatting>
  <conditionalFormatting sqref="AO122 AM122">
    <cfRule type="expression" dxfId="1217" priority="2840" stopIfTrue="1">
      <formula>LEN(AM122)&gt;32</formula>
    </cfRule>
    <cfRule type="expression" dxfId="1216" priority="2841" stopIfTrue="1">
      <formula>AND(NOT(ISERROR(SEARCH("~*~*~*",AM122,1))),SEARCH("~*~*~*",AM122,1)&gt;0)</formula>
    </cfRule>
  </conditionalFormatting>
  <conditionalFormatting sqref="AT122">
    <cfRule type="cellIs" dxfId="1215" priority="2842" stopIfTrue="1" operator="greaterThan">
      <formula>1</formula>
    </cfRule>
  </conditionalFormatting>
  <conditionalFormatting sqref="O123:X123">
    <cfRule type="expression" dxfId="1214" priority="2815" stopIfTrue="1">
      <formula>E123&lt;&gt;""</formula>
    </cfRule>
    <cfRule type="expression" dxfId="1213" priority="2816" stopIfTrue="1">
      <formula>E123=""</formula>
    </cfRule>
  </conditionalFormatting>
  <conditionalFormatting sqref="AP123">
    <cfRule type="expression" dxfId="1212" priority="2820" stopIfTrue="1">
      <formula>LEN(AP123)&gt;AR$3</formula>
    </cfRule>
    <cfRule type="expression" dxfId="1211" priority="2821" stopIfTrue="1">
      <formula>AND(NOT(ISERROR(SEARCH("~*~*~*",AP123,1))),SEARCH("~*~*~*",AP123,1)&gt;0)</formula>
    </cfRule>
  </conditionalFormatting>
  <conditionalFormatting sqref="Z123">
    <cfRule type="expression" dxfId="1210" priority="2822" stopIfTrue="1">
      <formula>LEN(Z123)&gt;$AA$3</formula>
    </cfRule>
    <cfRule type="expression" dxfId="1209" priority="2823" stopIfTrue="1">
      <formula>AND(NOT(ISERROR(SEARCH("~*~*~*",Z123,1))),SEARCH("~*~*~*",Z123,1)&gt;0)</formula>
    </cfRule>
  </conditionalFormatting>
  <conditionalFormatting sqref="AN123">
    <cfRule type="expression" dxfId="1208" priority="2824" stopIfTrue="1">
      <formula>LEN(AN123)&gt;#REF!</formula>
    </cfRule>
    <cfRule type="expression" dxfId="1207" priority="2825" stopIfTrue="1">
      <formula>AND(NOT(ISERROR(SEARCH("~*~*~*",AN123,1))),SEARCH("~*~*~*",AN123,1)&gt;0)</formula>
    </cfRule>
  </conditionalFormatting>
  <conditionalFormatting sqref="AO123 AM123">
    <cfRule type="expression" dxfId="1206" priority="2826" stopIfTrue="1">
      <formula>LEN(AM123)&gt;32</formula>
    </cfRule>
    <cfRule type="expression" dxfId="1205" priority="2827" stopIfTrue="1">
      <formula>AND(NOT(ISERROR(SEARCH("~*~*~*",AM123,1))),SEARCH("~*~*~*",AM123,1)&gt;0)</formula>
    </cfRule>
  </conditionalFormatting>
  <conditionalFormatting sqref="AT123">
    <cfRule type="cellIs" dxfId="1204" priority="2828" stopIfTrue="1" operator="greaterThan">
      <formula>1</formula>
    </cfRule>
  </conditionalFormatting>
  <conditionalFormatting sqref="O124:X124">
    <cfRule type="expression" dxfId="1203" priority="2801" stopIfTrue="1">
      <formula>E124&lt;&gt;""</formula>
    </cfRule>
    <cfRule type="expression" dxfId="1202" priority="2802" stopIfTrue="1">
      <formula>E124=""</formula>
    </cfRule>
  </conditionalFormatting>
  <conditionalFormatting sqref="AP124">
    <cfRule type="expression" dxfId="1201" priority="2806" stopIfTrue="1">
      <formula>LEN(AP124)&gt;AR$3</formula>
    </cfRule>
    <cfRule type="expression" dxfId="1200" priority="2807" stopIfTrue="1">
      <formula>AND(NOT(ISERROR(SEARCH("~*~*~*",AP124,1))),SEARCH("~*~*~*",AP124,1)&gt;0)</formula>
    </cfRule>
  </conditionalFormatting>
  <conditionalFormatting sqref="Z124">
    <cfRule type="expression" dxfId="1199" priority="2808" stopIfTrue="1">
      <formula>LEN(Z124)&gt;$AA$3</formula>
    </cfRule>
    <cfRule type="expression" dxfId="1198" priority="2809" stopIfTrue="1">
      <formula>AND(NOT(ISERROR(SEARCH("~*~*~*",Z124,1))),SEARCH("~*~*~*",Z124,1)&gt;0)</formula>
    </cfRule>
  </conditionalFormatting>
  <conditionalFormatting sqref="AN124">
    <cfRule type="expression" dxfId="1197" priority="2810" stopIfTrue="1">
      <formula>LEN(AN124)&gt;#REF!</formula>
    </cfRule>
    <cfRule type="expression" dxfId="1196" priority="2811" stopIfTrue="1">
      <formula>AND(NOT(ISERROR(SEARCH("~*~*~*",AN124,1))),SEARCH("~*~*~*",AN124,1)&gt;0)</formula>
    </cfRule>
  </conditionalFormatting>
  <conditionalFormatting sqref="AO124 AM124">
    <cfRule type="expression" dxfId="1195" priority="2812" stopIfTrue="1">
      <formula>LEN(AM124)&gt;32</formula>
    </cfRule>
    <cfRule type="expression" dxfId="1194" priority="2813" stopIfTrue="1">
      <formula>AND(NOT(ISERROR(SEARCH("~*~*~*",AM124,1))),SEARCH("~*~*~*",AM124,1)&gt;0)</formula>
    </cfRule>
  </conditionalFormatting>
  <conditionalFormatting sqref="AT124">
    <cfRule type="cellIs" dxfId="1193" priority="2814" stopIfTrue="1" operator="greaterThan">
      <formula>1</formula>
    </cfRule>
  </conditionalFormatting>
  <conditionalFormatting sqref="O125:X125">
    <cfRule type="expression" dxfId="1192" priority="2787" stopIfTrue="1">
      <formula>E125&lt;&gt;""</formula>
    </cfRule>
    <cfRule type="expression" dxfId="1191" priority="2788" stopIfTrue="1">
      <formula>E125=""</formula>
    </cfRule>
  </conditionalFormatting>
  <conditionalFormatting sqref="AP125">
    <cfRule type="expression" dxfId="1190" priority="2792" stopIfTrue="1">
      <formula>LEN(AP125)&gt;AR$3</formula>
    </cfRule>
    <cfRule type="expression" dxfId="1189" priority="2793" stopIfTrue="1">
      <formula>AND(NOT(ISERROR(SEARCH("~*~*~*",AP125,1))),SEARCH("~*~*~*",AP125,1)&gt;0)</formula>
    </cfRule>
  </conditionalFormatting>
  <conditionalFormatting sqref="Z125">
    <cfRule type="expression" dxfId="1188" priority="2794" stopIfTrue="1">
      <formula>LEN(Z125)&gt;$AA$3</formula>
    </cfRule>
    <cfRule type="expression" dxfId="1187" priority="2795" stopIfTrue="1">
      <formula>AND(NOT(ISERROR(SEARCH("~*~*~*",Z125,1))),SEARCH("~*~*~*",Z125,1)&gt;0)</formula>
    </cfRule>
  </conditionalFormatting>
  <conditionalFormatting sqref="AN125">
    <cfRule type="expression" dxfId="1186" priority="2796" stopIfTrue="1">
      <formula>LEN(AN125)&gt;#REF!</formula>
    </cfRule>
    <cfRule type="expression" dxfId="1185" priority="2797" stopIfTrue="1">
      <formula>AND(NOT(ISERROR(SEARCH("~*~*~*",AN125,1))),SEARCH("~*~*~*",AN125,1)&gt;0)</formula>
    </cfRule>
  </conditionalFormatting>
  <conditionalFormatting sqref="AO125 AM125">
    <cfRule type="expression" dxfId="1184" priority="2798" stopIfTrue="1">
      <formula>LEN(AM125)&gt;32</formula>
    </cfRule>
    <cfRule type="expression" dxfId="1183" priority="2799" stopIfTrue="1">
      <formula>AND(NOT(ISERROR(SEARCH("~*~*~*",AM125,1))),SEARCH("~*~*~*",AM125,1)&gt;0)</formula>
    </cfRule>
  </conditionalFormatting>
  <conditionalFormatting sqref="AT125">
    <cfRule type="cellIs" dxfId="1182" priority="2800" stopIfTrue="1" operator="greaterThan">
      <formula>1</formula>
    </cfRule>
  </conditionalFormatting>
  <conditionalFormatting sqref="O104:X104">
    <cfRule type="expression" dxfId="1181" priority="2717" stopIfTrue="1">
      <formula>E104&lt;&gt;""</formula>
    </cfRule>
    <cfRule type="expression" dxfId="1180" priority="2718" stopIfTrue="1">
      <formula>E104=""</formula>
    </cfRule>
  </conditionalFormatting>
  <conditionalFormatting sqref="AP104">
    <cfRule type="expression" dxfId="1179" priority="2722" stopIfTrue="1">
      <formula>LEN(AP104)&gt;AR$3</formula>
    </cfRule>
    <cfRule type="expression" dxfId="1178" priority="2723" stopIfTrue="1">
      <formula>AND(NOT(ISERROR(SEARCH("~*~*~*",AP104,1))),SEARCH("~*~*~*",AP104,1)&gt;0)</formula>
    </cfRule>
  </conditionalFormatting>
  <conditionalFormatting sqref="Z104">
    <cfRule type="expression" dxfId="1177" priority="2724" stopIfTrue="1">
      <formula>LEN(Z104)&gt;$AA$3</formula>
    </cfRule>
    <cfRule type="expression" dxfId="1176" priority="2725" stopIfTrue="1">
      <formula>AND(NOT(ISERROR(SEARCH("~*~*~*",Z104,1))),SEARCH("~*~*~*",Z104,1)&gt;0)</formula>
    </cfRule>
  </conditionalFormatting>
  <conditionalFormatting sqref="AN104">
    <cfRule type="expression" dxfId="1175" priority="2726" stopIfTrue="1">
      <formula>LEN(AN104)&gt;#REF!</formula>
    </cfRule>
    <cfRule type="expression" dxfId="1174" priority="2727" stopIfTrue="1">
      <formula>AND(NOT(ISERROR(SEARCH("~*~*~*",AN104,1))),SEARCH("~*~*~*",AN104,1)&gt;0)</formula>
    </cfRule>
  </conditionalFormatting>
  <conditionalFormatting sqref="AO104 AM104">
    <cfRule type="expression" dxfId="1173" priority="2728" stopIfTrue="1">
      <formula>LEN(AM104)&gt;32</formula>
    </cfRule>
    <cfRule type="expression" dxfId="1172" priority="2729" stopIfTrue="1">
      <formula>AND(NOT(ISERROR(SEARCH("~*~*~*",AM104,1))),SEARCH("~*~*~*",AM104,1)&gt;0)</formula>
    </cfRule>
  </conditionalFormatting>
  <conditionalFormatting sqref="AT104">
    <cfRule type="cellIs" dxfId="1171" priority="2730" stopIfTrue="1" operator="greaterThan">
      <formula>1</formula>
    </cfRule>
  </conditionalFormatting>
  <conditionalFormatting sqref="O105:X105">
    <cfRule type="expression" dxfId="1170" priority="2703" stopIfTrue="1">
      <formula>E105&lt;&gt;""</formula>
    </cfRule>
    <cfRule type="expression" dxfId="1169" priority="2704" stopIfTrue="1">
      <formula>E105=""</formula>
    </cfRule>
  </conditionalFormatting>
  <conditionalFormatting sqref="AP105">
    <cfRule type="expression" dxfId="1168" priority="2708" stopIfTrue="1">
      <formula>LEN(AP105)&gt;AR$3</formula>
    </cfRule>
    <cfRule type="expression" dxfId="1167" priority="2709" stopIfTrue="1">
      <formula>AND(NOT(ISERROR(SEARCH("~*~*~*",AP105,1))),SEARCH("~*~*~*",AP105,1)&gt;0)</formula>
    </cfRule>
  </conditionalFormatting>
  <conditionalFormatting sqref="Z105">
    <cfRule type="expression" dxfId="1166" priority="2710" stopIfTrue="1">
      <formula>LEN(Z105)&gt;$AA$3</formula>
    </cfRule>
    <cfRule type="expression" dxfId="1165" priority="2711" stopIfTrue="1">
      <formula>AND(NOT(ISERROR(SEARCH("~*~*~*",Z105,1))),SEARCH("~*~*~*",Z105,1)&gt;0)</formula>
    </cfRule>
  </conditionalFormatting>
  <conditionalFormatting sqref="AN105">
    <cfRule type="expression" dxfId="1164" priority="2712" stopIfTrue="1">
      <formula>LEN(AN105)&gt;#REF!</formula>
    </cfRule>
    <cfRule type="expression" dxfId="1163" priority="2713" stopIfTrue="1">
      <formula>AND(NOT(ISERROR(SEARCH("~*~*~*",AN105,1))),SEARCH("~*~*~*",AN105,1)&gt;0)</formula>
    </cfRule>
  </conditionalFormatting>
  <conditionalFormatting sqref="AO105 AM105">
    <cfRule type="expression" dxfId="1162" priority="2714" stopIfTrue="1">
      <formula>LEN(AM105)&gt;32</formula>
    </cfRule>
    <cfRule type="expression" dxfId="1161" priority="2715" stopIfTrue="1">
      <formula>AND(NOT(ISERROR(SEARCH("~*~*~*",AM105,1))),SEARCH("~*~*~*",AM105,1)&gt;0)</formula>
    </cfRule>
  </conditionalFormatting>
  <conditionalFormatting sqref="AT105">
    <cfRule type="cellIs" dxfId="1160" priority="2716" stopIfTrue="1" operator="greaterThan">
      <formula>1</formula>
    </cfRule>
  </conditionalFormatting>
  <conditionalFormatting sqref="O106:X106">
    <cfRule type="expression" dxfId="1159" priority="2689" stopIfTrue="1">
      <formula>E106&lt;&gt;""</formula>
    </cfRule>
    <cfRule type="expression" dxfId="1158" priority="2690" stopIfTrue="1">
      <formula>E106=""</formula>
    </cfRule>
  </conditionalFormatting>
  <conditionalFormatting sqref="AP106">
    <cfRule type="expression" dxfId="1157" priority="2694" stopIfTrue="1">
      <formula>LEN(AP106)&gt;AR$3</formula>
    </cfRule>
    <cfRule type="expression" dxfId="1156" priority="2695" stopIfTrue="1">
      <formula>AND(NOT(ISERROR(SEARCH("~*~*~*",AP106,1))),SEARCH("~*~*~*",AP106,1)&gt;0)</formula>
    </cfRule>
  </conditionalFormatting>
  <conditionalFormatting sqref="Z106">
    <cfRule type="expression" dxfId="1155" priority="2696" stopIfTrue="1">
      <formula>LEN(Z106)&gt;$AA$3</formula>
    </cfRule>
    <cfRule type="expression" dxfId="1154" priority="2697" stopIfTrue="1">
      <formula>AND(NOT(ISERROR(SEARCH("~*~*~*",Z106,1))),SEARCH("~*~*~*",Z106,1)&gt;0)</formula>
    </cfRule>
  </conditionalFormatting>
  <conditionalFormatting sqref="AN106">
    <cfRule type="expression" dxfId="1153" priority="2698" stopIfTrue="1">
      <formula>LEN(AN106)&gt;#REF!</formula>
    </cfRule>
    <cfRule type="expression" dxfId="1152" priority="2699" stopIfTrue="1">
      <formula>AND(NOT(ISERROR(SEARCH("~*~*~*",AN106,1))),SEARCH("~*~*~*",AN106,1)&gt;0)</formula>
    </cfRule>
  </conditionalFormatting>
  <conditionalFormatting sqref="AO106 AM106">
    <cfRule type="expression" dxfId="1151" priority="2700" stopIfTrue="1">
      <formula>LEN(AM106)&gt;32</formula>
    </cfRule>
    <cfRule type="expression" dxfId="1150" priority="2701" stopIfTrue="1">
      <formula>AND(NOT(ISERROR(SEARCH("~*~*~*",AM106,1))),SEARCH("~*~*~*",AM106,1)&gt;0)</formula>
    </cfRule>
  </conditionalFormatting>
  <conditionalFormatting sqref="AT106">
    <cfRule type="cellIs" dxfId="1149" priority="2702" stopIfTrue="1" operator="greaterThan">
      <formula>1</formula>
    </cfRule>
  </conditionalFormatting>
  <conditionalFormatting sqref="O107:X107">
    <cfRule type="expression" dxfId="1148" priority="2675" stopIfTrue="1">
      <formula>E107&lt;&gt;""</formula>
    </cfRule>
    <cfRule type="expression" dxfId="1147" priority="2676" stopIfTrue="1">
      <formula>E107=""</formula>
    </cfRule>
  </conditionalFormatting>
  <conditionalFormatting sqref="AP107">
    <cfRule type="expression" dxfId="1146" priority="2680" stopIfTrue="1">
      <formula>LEN(AP107)&gt;AR$3</formula>
    </cfRule>
    <cfRule type="expression" dxfId="1145" priority="2681" stopIfTrue="1">
      <formula>AND(NOT(ISERROR(SEARCH("~*~*~*",AP107,1))),SEARCH("~*~*~*",AP107,1)&gt;0)</formula>
    </cfRule>
  </conditionalFormatting>
  <conditionalFormatting sqref="Z107">
    <cfRule type="expression" dxfId="1144" priority="2682" stopIfTrue="1">
      <formula>LEN(Z107)&gt;$AA$3</formula>
    </cfRule>
    <cfRule type="expression" dxfId="1143" priority="2683" stopIfTrue="1">
      <formula>AND(NOT(ISERROR(SEARCH("~*~*~*",Z107,1))),SEARCH("~*~*~*",Z107,1)&gt;0)</formula>
    </cfRule>
  </conditionalFormatting>
  <conditionalFormatting sqref="AN107">
    <cfRule type="expression" dxfId="1142" priority="2684" stopIfTrue="1">
      <formula>LEN(AN107)&gt;#REF!</formula>
    </cfRule>
    <cfRule type="expression" dxfId="1141" priority="2685" stopIfTrue="1">
      <formula>AND(NOT(ISERROR(SEARCH("~*~*~*",AN107,1))),SEARCH("~*~*~*",AN107,1)&gt;0)</formula>
    </cfRule>
  </conditionalFormatting>
  <conditionalFormatting sqref="AO107 AM107">
    <cfRule type="expression" dxfId="1140" priority="2686" stopIfTrue="1">
      <formula>LEN(AM107)&gt;32</formula>
    </cfRule>
    <cfRule type="expression" dxfId="1139" priority="2687" stopIfTrue="1">
      <formula>AND(NOT(ISERROR(SEARCH("~*~*~*",AM107,1))),SEARCH("~*~*~*",AM107,1)&gt;0)</formula>
    </cfRule>
  </conditionalFormatting>
  <conditionalFormatting sqref="AT107">
    <cfRule type="cellIs" dxfId="1138" priority="2688" stopIfTrue="1" operator="greaterThan">
      <formula>1</formula>
    </cfRule>
  </conditionalFormatting>
  <conditionalFormatting sqref="O108:X108">
    <cfRule type="expression" dxfId="1137" priority="2661" stopIfTrue="1">
      <formula>E108&lt;&gt;""</formula>
    </cfRule>
    <cfRule type="expression" dxfId="1136" priority="2662" stopIfTrue="1">
      <formula>E108=""</formula>
    </cfRule>
  </conditionalFormatting>
  <conditionalFormatting sqref="AP108">
    <cfRule type="expression" dxfId="1135" priority="2666" stopIfTrue="1">
      <formula>LEN(AP108)&gt;AR$3</formula>
    </cfRule>
    <cfRule type="expression" dxfId="1134" priority="2667" stopIfTrue="1">
      <formula>AND(NOT(ISERROR(SEARCH("~*~*~*",AP108,1))),SEARCH("~*~*~*",AP108,1)&gt;0)</formula>
    </cfRule>
  </conditionalFormatting>
  <conditionalFormatting sqref="Z108">
    <cfRule type="expression" dxfId="1133" priority="2668" stopIfTrue="1">
      <formula>LEN(Z108)&gt;$AA$3</formula>
    </cfRule>
    <cfRule type="expression" dxfId="1132" priority="2669" stopIfTrue="1">
      <formula>AND(NOT(ISERROR(SEARCH("~*~*~*",Z108,1))),SEARCH("~*~*~*",Z108,1)&gt;0)</formula>
    </cfRule>
  </conditionalFormatting>
  <conditionalFormatting sqref="AN108">
    <cfRule type="expression" dxfId="1131" priority="2670" stopIfTrue="1">
      <formula>LEN(AN108)&gt;#REF!</formula>
    </cfRule>
    <cfRule type="expression" dxfId="1130" priority="2671" stopIfTrue="1">
      <formula>AND(NOT(ISERROR(SEARCH("~*~*~*",AN108,1))),SEARCH("~*~*~*",AN108,1)&gt;0)</formula>
    </cfRule>
  </conditionalFormatting>
  <conditionalFormatting sqref="AO108 AM108">
    <cfRule type="expression" dxfId="1129" priority="2672" stopIfTrue="1">
      <formula>LEN(AM108)&gt;32</formula>
    </cfRule>
    <cfRule type="expression" dxfId="1128" priority="2673" stopIfTrue="1">
      <formula>AND(NOT(ISERROR(SEARCH("~*~*~*",AM108,1))),SEARCH("~*~*~*",AM108,1)&gt;0)</formula>
    </cfRule>
  </conditionalFormatting>
  <conditionalFormatting sqref="AT108">
    <cfRule type="cellIs" dxfId="1127" priority="2674" stopIfTrue="1" operator="greaterThan">
      <formula>1</formula>
    </cfRule>
  </conditionalFormatting>
  <conditionalFormatting sqref="O109:X109">
    <cfRule type="expression" dxfId="1126" priority="2647" stopIfTrue="1">
      <formula>E109&lt;&gt;""</formula>
    </cfRule>
    <cfRule type="expression" dxfId="1125" priority="2648" stopIfTrue="1">
      <formula>E109=""</formula>
    </cfRule>
  </conditionalFormatting>
  <conditionalFormatting sqref="AP109">
    <cfRule type="expression" dxfId="1124" priority="2652" stopIfTrue="1">
      <formula>LEN(AP109)&gt;AR$3</formula>
    </cfRule>
    <cfRule type="expression" dxfId="1123" priority="2653" stopIfTrue="1">
      <formula>AND(NOT(ISERROR(SEARCH("~*~*~*",AP109,1))),SEARCH("~*~*~*",AP109,1)&gt;0)</formula>
    </cfRule>
  </conditionalFormatting>
  <conditionalFormatting sqref="Z109">
    <cfRule type="expression" dxfId="1122" priority="2654" stopIfTrue="1">
      <formula>LEN(Z109)&gt;$AA$3</formula>
    </cfRule>
    <cfRule type="expression" dxfId="1121" priority="2655" stopIfTrue="1">
      <formula>AND(NOT(ISERROR(SEARCH("~*~*~*",Z109,1))),SEARCH("~*~*~*",Z109,1)&gt;0)</formula>
    </cfRule>
  </conditionalFormatting>
  <conditionalFormatting sqref="AN109">
    <cfRule type="expression" dxfId="1120" priority="2656" stopIfTrue="1">
      <formula>LEN(AN109)&gt;#REF!</formula>
    </cfRule>
    <cfRule type="expression" dxfId="1119" priority="2657" stopIfTrue="1">
      <formula>AND(NOT(ISERROR(SEARCH("~*~*~*",AN109,1))),SEARCH("~*~*~*",AN109,1)&gt;0)</formula>
    </cfRule>
  </conditionalFormatting>
  <conditionalFormatting sqref="AO109 AM109">
    <cfRule type="expression" dxfId="1118" priority="2658" stopIfTrue="1">
      <formula>LEN(AM109)&gt;32</formula>
    </cfRule>
    <cfRule type="expression" dxfId="1117" priority="2659" stopIfTrue="1">
      <formula>AND(NOT(ISERROR(SEARCH("~*~*~*",AM109,1))),SEARCH("~*~*~*",AM109,1)&gt;0)</formula>
    </cfRule>
  </conditionalFormatting>
  <conditionalFormatting sqref="AT109">
    <cfRule type="cellIs" dxfId="1116" priority="2660" stopIfTrue="1" operator="greaterThan">
      <formula>1</formula>
    </cfRule>
  </conditionalFormatting>
  <conditionalFormatting sqref="O110:X110">
    <cfRule type="expression" dxfId="1115" priority="2633" stopIfTrue="1">
      <formula>E110&lt;&gt;""</formula>
    </cfRule>
    <cfRule type="expression" dxfId="1114" priority="2634" stopIfTrue="1">
      <formula>E110=""</formula>
    </cfRule>
  </conditionalFormatting>
  <conditionalFormatting sqref="AP110">
    <cfRule type="expression" dxfId="1113" priority="2638" stopIfTrue="1">
      <formula>LEN(AP110)&gt;AR$3</formula>
    </cfRule>
    <cfRule type="expression" dxfId="1112" priority="2639" stopIfTrue="1">
      <formula>AND(NOT(ISERROR(SEARCH("~*~*~*",AP110,1))),SEARCH("~*~*~*",AP110,1)&gt;0)</formula>
    </cfRule>
  </conditionalFormatting>
  <conditionalFormatting sqref="Z110">
    <cfRule type="expression" dxfId="1111" priority="2640" stopIfTrue="1">
      <formula>LEN(Z110)&gt;$AA$3</formula>
    </cfRule>
    <cfRule type="expression" dxfId="1110" priority="2641" stopIfTrue="1">
      <formula>AND(NOT(ISERROR(SEARCH("~*~*~*",Z110,1))),SEARCH("~*~*~*",Z110,1)&gt;0)</formula>
    </cfRule>
  </conditionalFormatting>
  <conditionalFormatting sqref="AN110">
    <cfRule type="expression" dxfId="1109" priority="2642" stopIfTrue="1">
      <formula>LEN(AN110)&gt;#REF!</formula>
    </cfRule>
    <cfRule type="expression" dxfId="1108" priority="2643" stopIfTrue="1">
      <formula>AND(NOT(ISERROR(SEARCH("~*~*~*",AN110,1))),SEARCH("~*~*~*",AN110,1)&gt;0)</formula>
    </cfRule>
  </conditionalFormatting>
  <conditionalFormatting sqref="AO110 AM110">
    <cfRule type="expression" dxfId="1107" priority="2644" stopIfTrue="1">
      <formula>LEN(AM110)&gt;32</formula>
    </cfRule>
    <cfRule type="expression" dxfId="1106" priority="2645" stopIfTrue="1">
      <formula>AND(NOT(ISERROR(SEARCH("~*~*~*",AM110,1))),SEARCH("~*~*~*",AM110,1)&gt;0)</formula>
    </cfRule>
  </conditionalFormatting>
  <conditionalFormatting sqref="AT110">
    <cfRule type="cellIs" dxfId="1105" priority="2646" stopIfTrue="1" operator="greaterThan">
      <formula>1</formula>
    </cfRule>
  </conditionalFormatting>
  <conditionalFormatting sqref="O111:X111">
    <cfRule type="expression" dxfId="1104" priority="2619" stopIfTrue="1">
      <formula>E111&lt;&gt;""</formula>
    </cfRule>
    <cfRule type="expression" dxfId="1103" priority="2620" stopIfTrue="1">
      <formula>E111=""</formula>
    </cfRule>
  </conditionalFormatting>
  <conditionalFormatting sqref="AP111">
    <cfRule type="expression" dxfId="1102" priority="2624" stopIfTrue="1">
      <formula>LEN(AP111)&gt;AR$3</formula>
    </cfRule>
    <cfRule type="expression" dxfId="1101" priority="2625" stopIfTrue="1">
      <formula>AND(NOT(ISERROR(SEARCH("~*~*~*",AP111,1))),SEARCH("~*~*~*",AP111,1)&gt;0)</formula>
    </cfRule>
  </conditionalFormatting>
  <conditionalFormatting sqref="Z111">
    <cfRule type="expression" dxfId="1100" priority="2626" stopIfTrue="1">
      <formula>LEN(Z111)&gt;$AA$3</formula>
    </cfRule>
    <cfRule type="expression" dxfId="1099" priority="2627" stopIfTrue="1">
      <formula>AND(NOT(ISERROR(SEARCH("~*~*~*",Z111,1))),SEARCH("~*~*~*",Z111,1)&gt;0)</formula>
    </cfRule>
  </conditionalFormatting>
  <conditionalFormatting sqref="AN111">
    <cfRule type="expression" dxfId="1098" priority="2628" stopIfTrue="1">
      <formula>LEN(AN111)&gt;#REF!</formula>
    </cfRule>
    <cfRule type="expression" dxfId="1097" priority="2629" stopIfTrue="1">
      <formula>AND(NOT(ISERROR(SEARCH("~*~*~*",AN111,1))),SEARCH("~*~*~*",AN111,1)&gt;0)</formula>
    </cfRule>
  </conditionalFormatting>
  <conditionalFormatting sqref="AO111 AM111">
    <cfRule type="expression" dxfId="1096" priority="2630" stopIfTrue="1">
      <formula>LEN(AM111)&gt;32</formula>
    </cfRule>
    <cfRule type="expression" dxfId="1095" priority="2631" stopIfTrue="1">
      <formula>AND(NOT(ISERROR(SEARCH("~*~*~*",AM111,1))),SEARCH("~*~*~*",AM111,1)&gt;0)</formula>
    </cfRule>
  </conditionalFormatting>
  <conditionalFormatting sqref="AT111">
    <cfRule type="cellIs" dxfId="1094" priority="2632" stopIfTrue="1" operator="greaterThan">
      <formula>1</formula>
    </cfRule>
  </conditionalFormatting>
  <conditionalFormatting sqref="O112:X112">
    <cfRule type="expression" dxfId="1093" priority="2605" stopIfTrue="1">
      <formula>E112&lt;&gt;""</formula>
    </cfRule>
    <cfRule type="expression" dxfId="1092" priority="2606" stopIfTrue="1">
      <formula>E112=""</formula>
    </cfRule>
  </conditionalFormatting>
  <conditionalFormatting sqref="AP112">
    <cfRule type="expression" dxfId="1091" priority="2610" stopIfTrue="1">
      <formula>LEN(AP112)&gt;AR$3</formula>
    </cfRule>
    <cfRule type="expression" dxfId="1090" priority="2611" stopIfTrue="1">
      <formula>AND(NOT(ISERROR(SEARCH("~*~*~*",AP112,1))),SEARCH("~*~*~*",AP112,1)&gt;0)</formula>
    </cfRule>
  </conditionalFormatting>
  <conditionalFormatting sqref="Z112">
    <cfRule type="expression" dxfId="1089" priority="2612" stopIfTrue="1">
      <formula>LEN(Z112)&gt;$AA$3</formula>
    </cfRule>
    <cfRule type="expression" dxfId="1088" priority="2613" stopIfTrue="1">
      <formula>AND(NOT(ISERROR(SEARCH("~*~*~*",Z112,1))),SEARCH("~*~*~*",Z112,1)&gt;0)</formula>
    </cfRule>
  </conditionalFormatting>
  <conditionalFormatting sqref="AN112">
    <cfRule type="expression" dxfId="1087" priority="2614" stopIfTrue="1">
      <formula>LEN(AN112)&gt;#REF!</formula>
    </cfRule>
    <cfRule type="expression" dxfId="1086" priority="2615" stopIfTrue="1">
      <formula>AND(NOT(ISERROR(SEARCH("~*~*~*",AN112,1))),SEARCH("~*~*~*",AN112,1)&gt;0)</formula>
    </cfRule>
  </conditionalFormatting>
  <conditionalFormatting sqref="AO112 AM112">
    <cfRule type="expression" dxfId="1085" priority="2616" stopIfTrue="1">
      <formula>LEN(AM112)&gt;32</formula>
    </cfRule>
    <cfRule type="expression" dxfId="1084" priority="2617" stopIfTrue="1">
      <formula>AND(NOT(ISERROR(SEARCH("~*~*~*",AM112,1))),SEARCH("~*~*~*",AM112,1)&gt;0)</formula>
    </cfRule>
  </conditionalFormatting>
  <conditionalFormatting sqref="AT112">
    <cfRule type="cellIs" dxfId="1083" priority="2618" stopIfTrue="1" operator="greaterThan">
      <formula>1</formula>
    </cfRule>
  </conditionalFormatting>
  <conditionalFormatting sqref="O113:X113">
    <cfRule type="expression" dxfId="1082" priority="2591" stopIfTrue="1">
      <formula>E113&lt;&gt;""</formula>
    </cfRule>
    <cfRule type="expression" dxfId="1081" priority="2592" stopIfTrue="1">
      <formula>E113=""</formula>
    </cfRule>
  </conditionalFormatting>
  <conditionalFormatting sqref="AP113">
    <cfRule type="expression" dxfId="1080" priority="2596" stopIfTrue="1">
      <formula>LEN(AP113)&gt;AR$3</formula>
    </cfRule>
    <cfRule type="expression" dxfId="1079" priority="2597" stopIfTrue="1">
      <formula>AND(NOT(ISERROR(SEARCH("~*~*~*",AP113,1))),SEARCH("~*~*~*",AP113,1)&gt;0)</formula>
    </cfRule>
  </conditionalFormatting>
  <conditionalFormatting sqref="Z113">
    <cfRule type="expression" dxfId="1078" priority="2598" stopIfTrue="1">
      <formula>LEN(Z113)&gt;$AA$3</formula>
    </cfRule>
    <cfRule type="expression" dxfId="1077" priority="2599" stopIfTrue="1">
      <formula>AND(NOT(ISERROR(SEARCH("~*~*~*",Z113,1))),SEARCH("~*~*~*",Z113,1)&gt;0)</formula>
    </cfRule>
  </conditionalFormatting>
  <conditionalFormatting sqref="AN113">
    <cfRule type="expression" dxfId="1076" priority="2600" stopIfTrue="1">
      <formula>LEN(AN113)&gt;#REF!</formula>
    </cfRule>
    <cfRule type="expression" dxfId="1075" priority="2601" stopIfTrue="1">
      <formula>AND(NOT(ISERROR(SEARCH("~*~*~*",AN113,1))),SEARCH("~*~*~*",AN113,1)&gt;0)</formula>
    </cfRule>
  </conditionalFormatting>
  <conditionalFormatting sqref="AO113 AM113">
    <cfRule type="expression" dxfId="1074" priority="2602" stopIfTrue="1">
      <formula>LEN(AM113)&gt;32</formula>
    </cfRule>
    <cfRule type="expression" dxfId="1073" priority="2603" stopIfTrue="1">
      <formula>AND(NOT(ISERROR(SEARCH("~*~*~*",AM113,1))),SEARCH("~*~*~*",AM113,1)&gt;0)</formula>
    </cfRule>
  </conditionalFormatting>
  <conditionalFormatting sqref="AT113">
    <cfRule type="cellIs" dxfId="1072" priority="2604" stopIfTrue="1" operator="greaterThan">
      <formula>1</formula>
    </cfRule>
  </conditionalFormatting>
  <conditionalFormatting sqref="O114:X114">
    <cfRule type="expression" dxfId="1071" priority="2577" stopIfTrue="1">
      <formula>E114&lt;&gt;""</formula>
    </cfRule>
    <cfRule type="expression" dxfId="1070" priority="2578" stopIfTrue="1">
      <formula>E114=""</formula>
    </cfRule>
  </conditionalFormatting>
  <conditionalFormatting sqref="AP114">
    <cfRule type="expression" dxfId="1069" priority="2582" stopIfTrue="1">
      <formula>LEN(AP114)&gt;AR$3</formula>
    </cfRule>
    <cfRule type="expression" dxfId="1068" priority="2583" stopIfTrue="1">
      <formula>AND(NOT(ISERROR(SEARCH("~*~*~*",AP114,1))),SEARCH("~*~*~*",AP114,1)&gt;0)</formula>
    </cfRule>
  </conditionalFormatting>
  <conditionalFormatting sqref="Z114">
    <cfRule type="expression" dxfId="1067" priority="2584" stopIfTrue="1">
      <formula>LEN(Z114)&gt;$AA$3</formula>
    </cfRule>
    <cfRule type="expression" dxfId="1066" priority="2585" stopIfTrue="1">
      <formula>AND(NOT(ISERROR(SEARCH("~*~*~*",Z114,1))),SEARCH("~*~*~*",Z114,1)&gt;0)</formula>
    </cfRule>
  </conditionalFormatting>
  <conditionalFormatting sqref="AN114">
    <cfRule type="expression" dxfId="1065" priority="2586" stopIfTrue="1">
      <formula>LEN(AN114)&gt;#REF!</formula>
    </cfRule>
    <cfRule type="expression" dxfId="1064" priority="2587" stopIfTrue="1">
      <formula>AND(NOT(ISERROR(SEARCH("~*~*~*",AN114,1))),SEARCH("~*~*~*",AN114,1)&gt;0)</formula>
    </cfRule>
  </conditionalFormatting>
  <conditionalFormatting sqref="AO114 AM114">
    <cfRule type="expression" dxfId="1063" priority="2588" stopIfTrue="1">
      <formula>LEN(AM114)&gt;32</formula>
    </cfRule>
    <cfRule type="expression" dxfId="1062" priority="2589" stopIfTrue="1">
      <formula>AND(NOT(ISERROR(SEARCH("~*~*~*",AM114,1))),SEARCH("~*~*~*",AM114,1)&gt;0)</formula>
    </cfRule>
  </conditionalFormatting>
  <conditionalFormatting sqref="AT114">
    <cfRule type="cellIs" dxfId="1061" priority="2590" stopIfTrue="1" operator="greaterThan">
      <formula>1</formula>
    </cfRule>
  </conditionalFormatting>
  <conditionalFormatting sqref="O115:X115">
    <cfRule type="expression" dxfId="1060" priority="2563" stopIfTrue="1">
      <formula>E115&lt;&gt;""</formula>
    </cfRule>
    <cfRule type="expression" dxfId="1059" priority="2564" stopIfTrue="1">
      <formula>E115=""</formula>
    </cfRule>
  </conditionalFormatting>
  <conditionalFormatting sqref="AP115">
    <cfRule type="expression" dxfId="1058" priority="2568" stopIfTrue="1">
      <formula>LEN(AP115)&gt;AR$3</formula>
    </cfRule>
    <cfRule type="expression" dxfId="1057" priority="2569" stopIfTrue="1">
      <formula>AND(NOT(ISERROR(SEARCH("~*~*~*",AP115,1))),SEARCH("~*~*~*",AP115,1)&gt;0)</formula>
    </cfRule>
  </conditionalFormatting>
  <conditionalFormatting sqref="Z115">
    <cfRule type="expression" dxfId="1056" priority="2570" stopIfTrue="1">
      <formula>LEN(Z115)&gt;$AA$3</formula>
    </cfRule>
    <cfRule type="expression" dxfId="1055" priority="2571" stopIfTrue="1">
      <formula>AND(NOT(ISERROR(SEARCH("~*~*~*",Z115,1))),SEARCH("~*~*~*",Z115,1)&gt;0)</formula>
    </cfRule>
  </conditionalFormatting>
  <conditionalFormatting sqref="AN115">
    <cfRule type="expression" dxfId="1054" priority="2572" stopIfTrue="1">
      <formula>LEN(AN115)&gt;#REF!</formula>
    </cfRule>
    <cfRule type="expression" dxfId="1053" priority="2573" stopIfTrue="1">
      <formula>AND(NOT(ISERROR(SEARCH("~*~*~*",AN115,1))),SEARCH("~*~*~*",AN115,1)&gt;0)</formula>
    </cfRule>
  </conditionalFormatting>
  <conditionalFormatting sqref="AO115 AM115">
    <cfRule type="expression" dxfId="1052" priority="2574" stopIfTrue="1">
      <formula>LEN(AM115)&gt;32</formula>
    </cfRule>
    <cfRule type="expression" dxfId="1051" priority="2575" stopIfTrue="1">
      <formula>AND(NOT(ISERROR(SEARCH("~*~*~*",AM115,1))),SEARCH("~*~*~*",AM115,1)&gt;0)</formula>
    </cfRule>
  </conditionalFormatting>
  <conditionalFormatting sqref="AT115">
    <cfRule type="cellIs" dxfId="1050" priority="2576" stopIfTrue="1" operator="greaterThan">
      <formula>1</formula>
    </cfRule>
  </conditionalFormatting>
  <conditionalFormatting sqref="O116:X116">
    <cfRule type="expression" dxfId="1049" priority="2549" stopIfTrue="1">
      <formula>E116&lt;&gt;""</formula>
    </cfRule>
    <cfRule type="expression" dxfId="1048" priority="2550" stopIfTrue="1">
      <formula>E116=""</formula>
    </cfRule>
  </conditionalFormatting>
  <conditionalFormatting sqref="AP116">
    <cfRule type="expression" dxfId="1047" priority="2554" stopIfTrue="1">
      <formula>LEN(AP116)&gt;AR$3</formula>
    </cfRule>
    <cfRule type="expression" dxfId="1046" priority="2555" stopIfTrue="1">
      <formula>AND(NOT(ISERROR(SEARCH("~*~*~*",AP116,1))),SEARCH("~*~*~*",AP116,1)&gt;0)</formula>
    </cfRule>
  </conditionalFormatting>
  <conditionalFormatting sqref="Z116">
    <cfRule type="expression" dxfId="1045" priority="2556" stopIfTrue="1">
      <formula>LEN(Z116)&gt;$AA$3</formula>
    </cfRule>
    <cfRule type="expression" dxfId="1044" priority="2557" stopIfTrue="1">
      <formula>AND(NOT(ISERROR(SEARCH("~*~*~*",Z116,1))),SEARCH("~*~*~*",Z116,1)&gt;0)</formula>
    </cfRule>
  </conditionalFormatting>
  <conditionalFormatting sqref="AN116">
    <cfRule type="expression" dxfId="1043" priority="2558" stopIfTrue="1">
      <formula>LEN(AN116)&gt;#REF!</formula>
    </cfRule>
    <cfRule type="expression" dxfId="1042" priority="2559" stopIfTrue="1">
      <formula>AND(NOT(ISERROR(SEARCH("~*~*~*",AN116,1))),SEARCH("~*~*~*",AN116,1)&gt;0)</formula>
    </cfRule>
  </conditionalFormatting>
  <conditionalFormatting sqref="AO116 AM116">
    <cfRule type="expression" dxfId="1041" priority="2560" stopIfTrue="1">
      <formula>LEN(AM116)&gt;32</formula>
    </cfRule>
    <cfRule type="expression" dxfId="1040" priority="2561" stopIfTrue="1">
      <formula>AND(NOT(ISERROR(SEARCH("~*~*~*",AM116,1))),SEARCH("~*~*~*",AM116,1)&gt;0)</formula>
    </cfRule>
  </conditionalFormatting>
  <conditionalFormatting sqref="AT116">
    <cfRule type="cellIs" dxfId="1039" priority="2562" stopIfTrue="1" operator="greaterThan">
      <formula>1</formula>
    </cfRule>
  </conditionalFormatting>
  <conditionalFormatting sqref="O91:X91">
    <cfRule type="expression" dxfId="1038" priority="2535" stopIfTrue="1">
      <formula>E91&lt;&gt;""</formula>
    </cfRule>
    <cfRule type="expression" dxfId="1037" priority="2536" stopIfTrue="1">
      <formula>E91=""</formula>
    </cfRule>
  </conditionalFormatting>
  <conditionalFormatting sqref="AP91">
    <cfRule type="expression" dxfId="1036" priority="2540" stopIfTrue="1">
      <formula>LEN(AP91)&gt;AR$3</formula>
    </cfRule>
    <cfRule type="expression" dxfId="1035" priority="2541" stopIfTrue="1">
      <formula>AND(NOT(ISERROR(SEARCH("~*~*~*",AP91,1))),SEARCH("~*~*~*",AP91,1)&gt;0)</formula>
    </cfRule>
  </conditionalFormatting>
  <conditionalFormatting sqref="Z91">
    <cfRule type="expression" dxfId="1034" priority="2542" stopIfTrue="1">
      <formula>LEN(Z91)&gt;$AA$3</formula>
    </cfRule>
    <cfRule type="expression" dxfId="1033" priority="2543" stopIfTrue="1">
      <formula>AND(NOT(ISERROR(SEARCH("~*~*~*",Z91,1))),SEARCH("~*~*~*",Z91,1)&gt;0)</formula>
    </cfRule>
  </conditionalFormatting>
  <conditionalFormatting sqref="AN91">
    <cfRule type="expression" dxfId="1032" priority="2544" stopIfTrue="1">
      <formula>LEN(AN91)&gt;#REF!</formula>
    </cfRule>
    <cfRule type="expression" dxfId="1031" priority="2545" stopIfTrue="1">
      <formula>AND(NOT(ISERROR(SEARCH("~*~*~*",AN91,1))),SEARCH("~*~*~*",AN91,1)&gt;0)</formula>
    </cfRule>
  </conditionalFormatting>
  <conditionalFormatting sqref="AO91 AM91">
    <cfRule type="expression" dxfId="1030" priority="2546" stopIfTrue="1">
      <formula>LEN(AM91)&gt;32</formula>
    </cfRule>
    <cfRule type="expression" dxfId="1029" priority="2547" stopIfTrue="1">
      <formula>AND(NOT(ISERROR(SEARCH("~*~*~*",AM91,1))),SEARCH("~*~*~*",AM91,1)&gt;0)</formula>
    </cfRule>
  </conditionalFormatting>
  <conditionalFormatting sqref="AT91">
    <cfRule type="cellIs" dxfId="1028" priority="2548" stopIfTrue="1" operator="greaterThan">
      <formula>1</formula>
    </cfRule>
  </conditionalFormatting>
  <conditionalFormatting sqref="O92:X92">
    <cfRule type="expression" dxfId="1027" priority="2521" stopIfTrue="1">
      <formula>E92&lt;&gt;""</formula>
    </cfRule>
    <cfRule type="expression" dxfId="1026" priority="2522" stopIfTrue="1">
      <formula>E92=""</formula>
    </cfRule>
  </conditionalFormatting>
  <conditionalFormatting sqref="AP92">
    <cfRule type="expression" dxfId="1025" priority="2526" stopIfTrue="1">
      <formula>LEN(AP92)&gt;AR$3</formula>
    </cfRule>
    <cfRule type="expression" dxfId="1024" priority="2527" stopIfTrue="1">
      <formula>AND(NOT(ISERROR(SEARCH("~*~*~*",AP92,1))),SEARCH("~*~*~*",AP92,1)&gt;0)</formula>
    </cfRule>
  </conditionalFormatting>
  <conditionalFormatting sqref="Z92">
    <cfRule type="expression" dxfId="1023" priority="2528" stopIfTrue="1">
      <formula>LEN(Z92)&gt;$AA$3</formula>
    </cfRule>
    <cfRule type="expression" dxfId="1022" priority="2529" stopIfTrue="1">
      <formula>AND(NOT(ISERROR(SEARCH("~*~*~*",Z92,1))),SEARCH("~*~*~*",Z92,1)&gt;0)</formula>
    </cfRule>
  </conditionalFormatting>
  <conditionalFormatting sqref="AN92">
    <cfRule type="expression" dxfId="1021" priority="2530" stopIfTrue="1">
      <formula>LEN(AN92)&gt;#REF!</formula>
    </cfRule>
    <cfRule type="expression" dxfId="1020" priority="2531" stopIfTrue="1">
      <formula>AND(NOT(ISERROR(SEARCH("~*~*~*",AN92,1))),SEARCH("~*~*~*",AN92,1)&gt;0)</formula>
    </cfRule>
  </conditionalFormatting>
  <conditionalFormatting sqref="AO92 AM92">
    <cfRule type="expression" dxfId="1019" priority="2532" stopIfTrue="1">
      <formula>LEN(AM92)&gt;32</formula>
    </cfRule>
    <cfRule type="expression" dxfId="1018" priority="2533" stopIfTrue="1">
      <formula>AND(NOT(ISERROR(SEARCH("~*~*~*",AM92,1))),SEARCH("~*~*~*",AM92,1)&gt;0)</formula>
    </cfRule>
  </conditionalFormatting>
  <conditionalFormatting sqref="AT92">
    <cfRule type="cellIs" dxfId="1017" priority="2534" stopIfTrue="1" operator="greaterThan">
      <formula>1</formula>
    </cfRule>
  </conditionalFormatting>
  <conditionalFormatting sqref="O93:X93">
    <cfRule type="expression" dxfId="1016" priority="2507" stopIfTrue="1">
      <formula>E93&lt;&gt;""</formula>
    </cfRule>
    <cfRule type="expression" dxfId="1015" priority="2508" stopIfTrue="1">
      <formula>E93=""</formula>
    </cfRule>
  </conditionalFormatting>
  <conditionalFormatting sqref="AP93">
    <cfRule type="expression" dxfId="1014" priority="2512" stopIfTrue="1">
      <formula>LEN(AP93)&gt;AR$3</formula>
    </cfRule>
    <cfRule type="expression" dxfId="1013" priority="2513" stopIfTrue="1">
      <formula>AND(NOT(ISERROR(SEARCH("~*~*~*",AP93,1))),SEARCH("~*~*~*",AP93,1)&gt;0)</formula>
    </cfRule>
  </conditionalFormatting>
  <conditionalFormatting sqref="Z93">
    <cfRule type="expression" dxfId="1012" priority="2514" stopIfTrue="1">
      <formula>LEN(Z93)&gt;$AA$3</formula>
    </cfRule>
    <cfRule type="expression" dxfId="1011" priority="2515" stopIfTrue="1">
      <formula>AND(NOT(ISERROR(SEARCH("~*~*~*",Z93,1))),SEARCH("~*~*~*",Z93,1)&gt;0)</formula>
    </cfRule>
  </conditionalFormatting>
  <conditionalFormatting sqref="AN93">
    <cfRule type="expression" dxfId="1010" priority="2516" stopIfTrue="1">
      <formula>LEN(AN93)&gt;#REF!</formula>
    </cfRule>
    <cfRule type="expression" dxfId="1009" priority="2517" stopIfTrue="1">
      <formula>AND(NOT(ISERROR(SEARCH("~*~*~*",AN93,1))),SEARCH("~*~*~*",AN93,1)&gt;0)</formula>
    </cfRule>
  </conditionalFormatting>
  <conditionalFormatting sqref="AO93 AM93">
    <cfRule type="expression" dxfId="1008" priority="2518" stopIfTrue="1">
      <formula>LEN(AM93)&gt;32</formula>
    </cfRule>
    <cfRule type="expression" dxfId="1007" priority="2519" stopIfTrue="1">
      <formula>AND(NOT(ISERROR(SEARCH("~*~*~*",AM93,1))),SEARCH("~*~*~*",AM93,1)&gt;0)</formula>
    </cfRule>
  </conditionalFormatting>
  <conditionalFormatting sqref="AT93">
    <cfRule type="cellIs" dxfId="1006" priority="2520" stopIfTrue="1" operator="greaterThan">
      <formula>1</formula>
    </cfRule>
  </conditionalFormatting>
  <conditionalFormatting sqref="O94:X94">
    <cfRule type="expression" dxfId="1005" priority="2493" stopIfTrue="1">
      <formula>E94&lt;&gt;""</formula>
    </cfRule>
    <cfRule type="expression" dxfId="1004" priority="2494" stopIfTrue="1">
      <formula>E94=""</formula>
    </cfRule>
  </conditionalFormatting>
  <conditionalFormatting sqref="AP94">
    <cfRule type="expression" dxfId="1003" priority="2498" stopIfTrue="1">
      <formula>LEN(AP94)&gt;AR$3</formula>
    </cfRule>
    <cfRule type="expression" dxfId="1002" priority="2499" stopIfTrue="1">
      <formula>AND(NOT(ISERROR(SEARCH("~*~*~*",AP94,1))),SEARCH("~*~*~*",AP94,1)&gt;0)</formula>
    </cfRule>
  </conditionalFormatting>
  <conditionalFormatting sqref="Z94">
    <cfRule type="expression" dxfId="1001" priority="2500" stopIfTrue="1">
      <formula>LEN(Z94)&gt;$AA$3</formula>
    </cfRule>
    <cfRule type="expression" dxfId="1000" priority="2501" stopIfTrue="1">
      <formula>AND(NOT(ISERROR(SEARCH("~*~*~*",Z94,1))),SEARCH("~*~*~*",Z94,1)&gt;0)</formula>
    </cfRule>
  </conditionalFormatting>
  <conditionalFormatting sqref="AN94">
    <cfRule type="expression" dxfId="999" priority="2502" stopIfTrue="1">
      <formula>LEN(AN94)&gt;#REF!</formula>
    </cfRule>
    <cfRule type="expression" dxfId="998" priority="2503" stopIfTrue="1">
      <formula>AND(NOT(ISERROR(SEARCH("~*~*~*",AN94,1))),SEARCH("~*~*~*",AN94,1)&gt;0)</formula>
    </cfRule>
  </conditionalFormatting>
  <conditionalFormatting sqref="AO94 AM94">
    <cfRule type="expression" dxfId="997" priority="2504" stopIfTrue="1">
      <formula>LEN(AM94)&gt;32</formula>
    </cfRule>
    <cfRule type="expression" dxfId="996" priority="2505" stopIfTrue="1">
      <formula>AND(NOT(ISERROR(SEARCH("~*~*~*",AM94,1))),SEARCH("~*~*~*",AM94,1)&gt;0)</formula>
    </cfRule>
  </conditionalFormatting>
  <conditionalFormatting sqref="AT94">
    <cfRule type="cellIs" dxfId="995" priority="2506" stopIfTrue="1" operator="greaterThan">
      <formula>1</formula>
    </cfRule>
  </conditionalFormatting>
  <conditionalFormatting sqref="O95:X95">
    <cfRule type="expression" dxfId="994" priority="2479" stopIfTrue="1">
      <formula>E95&lt;&gt;""</formula>
    </cfRule>
    <cfRule type="expression" dxfId="993" priority="2480" stopIfTrue="1">
      <formula>E95=""</formula>
    </cfRule>
  </conditionalFormatting>
  <conditionalFormatting sqref="AP95">
    <cfRule type="expression" dxfId="992" priority="2484" stopIfTrue="1">
      <formula>LEN(AP95)&gt;AR$3</formula>
    </cfRule>
    <cfRule type="expression" dxfId="991" priority="2485" stopIfTrue="1">
      <formula>AND(NOT(ISERROR(SEARCH("~*~*~*",AP95,1))),SEARCH("~*~*~*",AP95,1)&gt;0)</formula>
    </cfRule>
  </conditionalFormatting>
  <conditionalFormatting sqref="Z95">
    <cfRule type="expression" dxfId="990" priority="2486" stopIfTrue="1">
      <formula>LEN(Z95)&gt;$AA$3</formula>
    </cfRule>
    <cfRule type="expression" dxfId="989" priority="2487" stopIfTrue="1">
      <formula>AND(NOT(ISERROR(SEARCH("~*~*~*",Z95,1))),SEARCH("~*~*~*",Z95,1)&gt;0)</formula>
    </cfRule>
  </conditionalFormatting>
  <conditionalFormatting sqref="AN95">
    <cfRule type="expression" dxfId="988" priority="2488" stopIfTrue="1">
      <formula>LEN(AN95)&gt;#REF!</formula>
    </cfRule>
    <cfRule type="expression" dxfId="987" priority="2489" stopIfTrue="1">
      <formula>AND(NOT(ISERROR(SEARCH("~*~*~*",AN95,1))),SEARCH("~*~*~*",AN95,1)&gt;0)</formula>
    </cfRule>
  </conditionalFormatting>
  <conditionalFormatting sqref="AO95 AM95">
    <cfRule type="expression" dxfId="986" priority="2490" stopIfTrue="1">
      <formula>LEN(AM95)&gt;32</formula>
    </cfRule>
    <cfRule type="expression" dxfId="985" priority="2491" stopIfTrue="1">
      <formula>AND(NOT(ISERROR(SEARCH("~*~*~*",AM95,1))),SEARCH("~*~*~*",AM95,1)&gt;0)</formula>
    </cfRule>
  </conditionalFormatting>
  <conditionalFormatting sqref="AT95">
    <cfRule type="cellIs" dxfId="984" priority="2492" stopIfTrue="1" operator="greaterThan">
      <formula>1</formula>
    </cfRule>
  </conditionalFormatting>
  <conditionalFormatting sqref="O96:X96">
    <cfRule type="expression" dxfId="983" priority="2465" stopIfTrue="1">
      <formula>E96&lt;&gt;""</formula>
    </cfRule>
    <cfRule type="expression" dxfId="982" priority="2466" stopIfTrue="1">
      <formula>E96=""</formula>
    </cfRule>
  </conditionalFormatting>
  <conditionalFormatting sqref="AP96">
    <cfRule type="expression" dxfId="981" priority="2470" stopIfTrue="1">
      <formula>LEN(AP96)&gt;AR$3</formula>
    </cfRule>
    <cfRule type="expression" dxfId="980" priority="2471" stopIfTrue="1">
      <formula>AND(NOT(ISERROR(SEARCH("~*~*~*",AP96,1))),SEARCH("~*~*~*",AP96,1)&gt;0)</formula>
    </cfRule>
  </conditionalFormatting>
  <conditionalFormatting sqref="Z96">
    <cfRule type="expression" dxfId="979" priority="2472" stopIfTrue="1">
      <formula>LEN(Z96)&gt;$AA$3</formula>
    </cfRule>
    <cfRule type="expression" dxfId="978" priority="2473" stopIfTrue="1">
      <formula>AND(NOT(ISERROR(SEARCH("~*~*~*",Z96,1))),SEARCH("~*~*~*",Z96,1)&gt;0)</formula>
    </cfRule>
  </conditionalFormatting>
  <conditionalFormatting sqref="AN96">
    <cfRule type="expression" dxfId="977" priority="2474" stopIfTrue="1">
      <formula>LEN(AN96)&gt;#REF!</formula>
    </cfRule>
    <cfRule type="expression" dxfId="976" priority="2475" stopIfTrue="1">
      <formula>AND(NOT(ISERROR(SEARCH("~*~*~*",AN96,1))),SEARCH("~*~*~*",AN96,1)&gt;0)</formula>
    </cfRule>
  </conditionalFormatting>
  <conditionalFormatting sqref="AO96 AM96">
    <cfRule type="expression" dxfId="975" priority="2476" stopIfTrue="1">
      <formula>LEN(AM96)&gt;32</formula>
    </cfRule>
    <cfRule type="expression" dxfId="974" priority="2477" stopIfTrue="1">
      <formula>AND(NOT(ISERROR(SEARCH("~*~*~*",AM96,1))),SEARCH("~*~*~*",AM96,1)&gt;0)</formula>
    </cfRule>
  </conditionalFormatting>
  <conditionalFormatting sqref="AT96">
    <cfRule type="cellIs" dxfId="973" priority="2478" stopIfTrue="1" operator="greaterThan">
      <formula>1</formula>
    </cfRule>
  </conditionalFormatting>
  <conditionalFormatting sqref="O97:X97">
    <cfRule type="expression" dxfId="972" priority="2451" stopIfTrue="1">
      <formula>E97&lt;&gt;""</formula>
    </cfRule>
    <cfRule type="expression" dxfId="971" priority="2452" stopIfTrue="1">
      <formula>E97=""</formula>
    </cfRule>
  </conditionalFormatting>
  <conditionalFormatting sqref="AP97">
    <cfRule type="expression" dxfId="970" priority="2456" stopIfTrue="1">
      <formula>LEN(AP97)&gt;AR$3</formula>
    </cfRule>
    <cfRule type="expression" dxfId="969" priority="2457" stopIfTrue="1">
      <formula>AND(NOT(ISERROR(SEARCH("~*~*~*",AP97,1))),SEARCH("~*~*~*",AP97,1)&gt;0)</formula>
    </cfRule>
  </conditionalFormatting>
  <conditionalFormatting sqref="Z97">
    <cfRule type="expression" dxfId="968" priority="2458" stopIfTrue="1">
      <formula>LEN(Z97)&gt;$AA$3</formula>
    </cfRule>
    <cfRule type="expression" dxfId="967" priority="2459" stopIfTrue="1">
      <formula>AND(NOT(ISERROR(SEARCH("~*~*~*",Z97,1))),SEARCH("~*~*~*",Z97,1)&gt;0)</formula>
    </cfRule>
  </conditionalFormatting>
  <conditionalFormatting sqref="AN97">
    <cfRule type="expression" dxfId="966" priority="2460" stopIfTrue="1">
      <formula>LEN(AN97)&gt;#REF!</formula>
    </cfRule>
    <cfRule type="expression" dxfId="965" priority="2461" stopIfTrue="1">
      <formula>AND(NOT(ISERROR(SEARCH("~*~*~*",AN97,1))),SEARCH("~*~*~*",AN97,1)&gt;0)</formula>
    </cfRule>
  </conditionalFormatting>
  <conditionalFormatting sqref="AO97 AM97">
    <cfRule type="expression" dxfId="964" priority="2462" stopIfTrue="1">
      <formula>LEN(AM97)&gt;32</formula>
    </cfRule>
    <cfRule type="expression" dxfId="963" priority="2463" stopIfTrue="1">
      <formula>AND(NOT(ISERROR(SEARCH("~*~*~*",AM97,1))),SEARCH("~*~*~*",AM97,1)&gt;0)</formula>
    </cfRule>
  </conditionalFormatting>
  <conditionalFormatting sqref="AT97">
    <cfRule type="cellIs" dxfId="962" priority="2464" stopIfTrue="1" operator="greaterThan">
      <formula>1</formula>
    </cfRule>
  </conditionalFormatting>
  <conditionalFormatting sqref="O98:X98">
    <cfRule type="expression" dxfId="961" priority="2437" stopIfTrue="1">
      <formula>E98&lt;&gt;""</formula>
    </cfRule>
    <cfRule type="expression" dxfId="960" priority="2438" stopIfTrue="1">
      <formula>E98=""</formula>
    </cfRule>
  </conditionalFormatting>
  <conditionalFormatting sqref="AP98">
    <cfRule type="expression" dxfId="959" priority="2442" stopIfTrue="1">
      <formula>LEN(AP98)&gt;AR$3</formula>
    </cfRule>
    <cfRule type="expression" dxfId="958" priority="2443" stopIfTrue="1">
      <formula>AND(NOT(ISERROR(SEARCH("~*~*~*",AP98,1))),SEARCH("~*~*~*",AP98,1)&gt;0)</formula>
    </cfRule>
  </conditionalFormatting>
  <conditionalFormatting sqref="Z98">
    <cfRule type="expression" dxfId="957" priority="2444" stopIfTrue="1">
      <formula>LEN(Z98)&gt;$AA$3</formula>
    </cfRule>
    <cfRule type="expression" dxfId="956" priority="2445" stopIfTrue="1">
      <formula>AND(NOT(ISERROR(SEARCH("~*~*~*",Z98,1))),SEARCH("~*~*~*",Z98,1)&gt;0)</formula>
    </cfRule>
  </conditionalFormatting>
  <conditionalFormatting sqref="AN98">
    <cfRule type="expression" dxfId="955" priority="2446" stopIfTrue="1">
      <formula>LEN(AN98)&gt;#REF!</formula>
    </cfRule>
    <cfRule type="expression" dxfId="954" priority="2447" stopIfTrue="1">
      <formula>AND(NOT(ISERROR(SEARCH("~*~*~*",AN98,1))),SEARCH("~*~*~*",AN98,1)&gt;0)</formula>
    </cfRule>
  </conditionalFormatting>
  <conditionalFormatting sqref="AO98 AM98">
    <cfRule type="expression" dxfId="953" priority="2448" stopIfTrue="1">
      <formula>LEN(AM98)&gt;32</formula>
    </cfRule>
    <cfRule type="expression" dxfId="952" priority="2449" stopIfTrue="1">
      <formula>AND(NOT(ISERROR(SEARCH("~*~*~*",AM98,1))),SEARCH("~*~*~*",AM98,1)&gt;0)</formula>
    </cfRule>
  </conditionalFormatting>
  <conditionalFormatting sqref="AT98">
    <cfRule type="cellIs" dxfId="951" priority="2450" stopIfTrue="1" operator="greaterThan">
      <formula>1</formula>
    </cfRule>
  </conditionalFormatting>
  <conditionalFormatting sqref="O99:X99">
    <cfRule type="expression" dxfId="950" priority="2423" stopIfTrue="1">
      <formula>E99&lt;&gt;""</formula>
    </cfRule>
    <cfRule type="expression" dxfId="949" priority="2424" stopIfTrue="1">
      <formula>E99=""</formula>
    </cfRule>
  </conditionalFormatting>
  <conditionalFormatting sqref="AP99">
    <cfRule type="expression" dxfId="948" priority="2428" stopIfTrue="1">
      <formula>LEN(AP99)&gt;AR$3</formula>
    </cfRule>
    <cfRule type="expression" dxfId="947" priority="2429" stopIfTrue="1">
      <formula>AND(NOT(ISERROR(SEARCH("~*~*~*",AP99,1))),SEARCH("~*~*~*",AP99,1)&gt;0)</formula>
    </cfRule>
  </conditionalFormatting>
  <conditionalFormatting sqref="Z99">
    <cfRule type="expression" dxfId="946" priority="2430" stopIfTrue="1">
      <formula>LEN(Z99)&gt;$AA$3</formula>
    </cfRule>
    <cfRule type="expression" dxfId="945" priority="2431" stopIfTrue="1">
      <formula>AND(NOT(ISERROR(SEARCH("~*~*~*",Z99,1))),SEARCH("~*~*~*",Z99,1)&gt;0)</formula>
    </cfRule>
  </conditionalFormatting>
  <conditionalFormatting sqref="AN99">
    <cfRule type="expression" dxfId="944" priority="2432" stopIfTrue="1">
      <formula>LEN(AN99)&gt;#REF!</formula>
    </cfRule>
    <cfRule type="expression" dxfId="943" priority="2433" stopIfTrue="1">
      <formula>AND(NOT(ISERROR(SEARCH("~*~*~*",AN99,1))),SEARCH("~*~*~*",AN99,1)&gt;0)</formula>
    </cfRule>
  </conditionalFormatting>
  <conditionalFormatting sqref="AO99 AM99">
    <cfRule type="expression" dxfId="942" priority="2434" stopIfTrue="1">
      <formula>LEN(AM99)&gt;32</formula>
    </cfRule>
    <cfRule type="expression" dxfId="941" priority="2435" stopIfTrue="1">
      <formula>AND(NOT(ISERROR(SEARCH("~*~*~*",AM99,1))),SEARCH("~*~*~*",AM99,1)&gt;0)</formula>
    </cfRule>
  </conditionalFormatting>
  <conditionalFormatting sqref="AT99">
    <cfRule type="cellIs" dxfId="940" priority="2436" stopIfTrue="1" operator="greaterThan">
      <formula>1</formula>
    </cfRule>
  </conditionalFormatting>
  <conditionalFormatting sqref="O100:X100">
    <cfRule type="expression" dxfId="939" priority="2409" stopIfTrue="1">
      <formula>E100&lt;&gt;""</formula>
    </cfRule>
    <cfRule type="expression" dxfId="938" priority="2410" stopIfTrue="1">
      <formula>E100=""</formula>
    </cfRule>
  </conditionalFormatting>
  <conditionalFormatting sqref="AP100">
    <cfRule type="expression" dxfId="937" priority="2414" stopIfTrue="1">
      <formula>LEN(AP100)&gt;AR$3</formula>
    </cfRule>
    <cfRule type="expression" dxfId="936" priority="2415" stopIfTrue="1">
      <formula>AND(NOT(ISERROR(SEARCH("~*~*~*",AP100,1))),SEARCH("~*~*~*",AP100,1)&gt;0)</formula>
    </cfRule>
  </conditionalFormatting>
  <conditionalFormatting sqref="Z100">
    <cfRule type="expression" dxfId="935" priority="2416" stopIfTrue="1">
      <formula>LEN(Z100)&gt;$AA$3</formula>
    </cfRule>
    <cfRule type="expression" dxfId="934" priority="2417" stopIfTrue="1">
      <formula>AND(NOT(ISERROR(SEARCH("~*~*~*",Z100,1))),SEARCH("~*~*~*",Z100,1)&gt;0)</formula>
    </cfRule>
  </conditionalFormatting>
  <conditionalFormatting sqref="AN100">
    <cfRule type="expression" dxfId="933" priority="2418" stopIfTrue="1">
      <formula>LEN(AN100)&gt;#REF!</formula>
    </cfRule>
    <cfRule type="expression" dxfId="932" priority="2419" stopIfTrue="1">
      <formula>AND(NOT(ISERROR(SEARCH("~*~*~*",AN100,1))),SEARCH("~*~*~*",AN100,1)&gt;0)</formula>
    </cfRule>
  </conditionalFormatting>
  <conditionalFormatting sqref="AO100 AM100">
    <cfRule type="expression" dxfId="931" priority="2420" stopIfTrue="1">
      <formula>LEN(AM100)&gt;32</formula>
    </cfRule>
    <cfRule type="expression" dxfId="930" priority="2421" stopIfTrue="1">
      <formula>AND(NOT(ISERROR(SEARCH("~*~*~*",AM100,1))),SEARCH("~*~*~*",AM100,1)&gt;0)</formula>
    </cfRule>
  </conditionalFormatting>
  <conditionalFormatting sqref="AT100">
    <cfRule type="cellIs" dxfId="929" priority="2422" stopIfTrue="1" operator="greaterThan">
      <formula>1</formula>
    </cfRule>
  </conditionalFormatting>
  <conditionalFormatting sqref="O101:X101">
    <cfRule type="expression" dxfId="928" priority="2395" stopIfTrue="1">
      <formula>E101&lt;&gt;""</formula>
    </cfRule>
    <cfRule type="expression" dxfId="927" priority="2396" stopIfTrue="1">
      <formula>E101=""</formula>
    </cfRule>
  </conditionalFormatting>
  <conditionalFormatting sqref="AP101">
    <cfRule type="expression" dxfId="926" priority="2400" stopIfTrue="1">
      <formula>LEN(AP101)&gt;AR$3</formula>
    </cfRule>
    <cfRule type="expression" dxfId="925" priority="2401" stopIfTrue="1">
      <formula>AND(NOT(ISERROR(SEARCH("~*~*~*",AP101,1))),SEARCH("~*~*~*",AP101,1)&gt;0)</formula>
    </cfRule>
  </conditionalFormatting>
  <conditionalFormatting sqref="Z101">
    <cfRule type="expression" dxfId="924" priority="2402" stopIfTrue="1">
      <formula>LEN(Z101)&gt;$AA$3</formula>
    </cfRule>
    <cfRule type="expression" dxfId="923" priority="2403" stopIfTrue="1">
      <formula>AND(NOT(ISERROR(SEARCH("~*~*~*",Z101,1))),SEARCH("~*~*~*",Z101,1)&gt;0)</formula>
    </cfRule>
  </conditionalFormatting>
  <conditionalFormatting sqref="AN101">
    <cfRule type="expression" dxfId="922" priority="2404" stopIfTrue="1">
      <formula>LEN(AN101)&gt;#REF!</formula>
    </cfRule>
    <cfRule type="expression" dxfId="921" priority="2405" stopIfTrue="1">
      <formula>AND(NOT(ISERROR(SEARCH("~*~*~*",AN101,1))),SEARCH("~*~*~*",AN101,1)&gt;0)</formula>
    </cfRule>
  </conditionalFormatting>
  <conditionalFormatting sqref="AO101 AM101">
    <cfRule type="expression" dxfId="920" priority="2406" stopIfTrue="1">
      <formula>LEN(AM101)&gt;32</formula>
    </cfRule>
    <cfRule type="expression" dxfId="919" priority="2407" stopIfTrue="1">
      <formula>AND(NOT(ISERROR(SEARCH("~*~*~*",AM101,1))),SEARCH("~*~*~*",AM101,1)&gt;0)</formula>
    </cfRule>
  </conditionalFormatting>
  <conditionalFormatting sqref="AT101">
    <cfRule type="cellIs" dxfId="918" priority="2408" stopIfTrue="1" operator="greaterThan">
      <formula>1</formula>
    </cfRule>
  </conditionalFormatting>
  <conditionalFormatting sqref="O102:X102">
    <cfRule type="expression" dxfId="917" priority="2381" stopIfTrue="1">
      <formula>E102&lt;&gt;""</formula>
    </cfRule>
    <cfRule type="expression" dxfId="916" priority="2382" stopIfTrue="1">
      <formula>E102=""</formula>
    </cfRule>
  </conditionalFormatting>
  <conditionalFormatting sqref="AP102">
    <cfRule type="expression" dxfId="915" priority="2386" stopIfTrue="1">
      <formula>LEN(AP102)&gt;AR$3</formula>
    </cfRule>
    <cfRule type="expression" dxfId="914" priority="2387" stopIfTrue="1">
      <formula>AND(NOT(ISERROR(SEARCH("~*~*~*",AP102,1))),SEARCH("~*~*~*",AP102,1)&gt;0)</formula>
    </cfRule>
  </conditionalFormatting>
  <conditionalFormatting sqref="Z102">
    <cfRule type="expression" dxfId="913" priority="2388" stopIfTrue="1">
      <formula>LEN(Z102)&gt;$AA$3</formula>
    </cfRule>
    <cfRule type="expression" dxfId="912" priority="2389" stopIfTrue="1">
      <formula>AND(NOT(ISERROR(SEARCH("~*~*~*",Z102,1))),SEARCH("~*~*~*",Z102,1)&gt;0)</formula>
    </cfRule>
  </conditionalFormatting>
  <conditionalFormatting sqref="AN102">
    <cfRule type="expression" dxfId="911" priority="2390" stopIfTrue="1">
      <formula>LEN(AN102)&gt;#REF!</formula>
    </cfRule>
    <cfRule type="expression" dxfId="910" priority="2391" stopIfTrue="1">
      <formula>AND(NOT(ISERROR(SEARCH("~*~*~*",AN102,1))),SEARCH("~*~*~*",AN102,1)&gt;0)</formula>
    </cfRule>
  </conditionalFormatting>
  <conditionalFormatting sqref="AO102 AM102">
    <cfRule type="expression" dxfId="909" priority="2392" stopIfTrue="1">
      <formula>LEN(AM102)&gt;32</formula>
    </cfRule>
    <cfRule type="expression" dxfId="908" priority="2393" stopIfTrue="1">
      <formula>AND(NOT(ISERROR(SEARCH("~*~*~*",AM102,1))),SEARCH("~*~*~*",AM102,1)&gt;0)</formula>
    </cfRule>
  </conditionalFormatting>
  <conditionalFormatting sqref="AT102">
    <cfRule type="cellIs" dxfId="907" priority="2394" stopIfTrue="1" operator="greaterThan">
      <formula>1</formula>
    </cfRule>
  </conditionalFormatting>
  <conditionalFormatting sqref="O103:X103">
    <cfRule type="expression" dxfId="906" priority="2367" stopIfTrue="1">
      <formula>E103&lt;&gt;""</formula>
    </cfRule>
    <cfRule type="expression" dxfId="905" priority="2368" stopIfTrue="1">
      <formula>E103=""</formula>
    </cfRule>
  </conditionalFormatting>
  <conditionalFormatting sqref="AP103">
    <cfRule type="expression" dxfId="904" priority="2372" stopIfTrue="1">
      <formula>LEN(AP103)&gt;AR$3</formula>
    </cfRule>
    <cfRule type="expression" dxfId="903" priority="2373" stopIfTrue="1">
      <formula>AND(NOT(ISERROR(SEARCH("~*~*~*",AP103,1))),SEARCH("~*~*~*",AP103,1)&gt;0)</formula>
    </cfRule>
  </conditionalFormatting>
  <conditionalFormatting sqref="Z103">
    <cfRule type="expression" dxfId="902" priority="2374" stopIfTrue="1">
      <formula>LEN(Z103)&gt;$AA$3</formula>
    </cfRule>
    <cfRule type="expression" dxfId="901" priority="2375" stopIfTrue="1">
      <formula>AND(NOT(ISERROR(SEARCH("~*~*~*",Z103,1))),SEARCH("~*~*~*",Z103,1)&gt;0)</formula>
    </cfRule>
  </conditionalFormatting>
  <conditionalFormatting sqref="AN103">
    <cfRule type="expression" dxfId="900" priority="2376" stopIfTrue="1">
      <formula>LEN(AN103)&gt;#REF!</formula>
    </cfRule>
    <cfRule type="expression" dxfId="899" priority="2377" stopIfTrue="1">
      <formula>AND(NOT(ISERROR(SEARCH("~*~*~*",AN103,1))),SEARCH("~*~*~*",AN103,1)&gt;0)</formula>
    </cfRule>
  </conditionalFormatting>
  <conditionalFormatting sqref="AO103 AM103">
    <cfRule type="expression" dxfId="898" priority="2378" stopIfTrue="1">
      <formula>LEN(AM103)&gt;32</formula>
    </cfRule>
    <cfRule type="expression" dxfId="897" priority="2379" stopIfTrue="1">
      <formula>AND(NOT(ISERROR(SEARCH("~*~*~*",AM103,1))),SEARCH("~*~*~*",AM103,1)&gt;0)</formula>
    </cfRule>
  </conditionalFormatting>
  <conditionalFormatting sqref="AT103">
    <cfRule type="cellIs" dxfId="896" priority="2380" stopIfTrue="1" operator="greaterThan">
      <formula>1</formula>
    </cfRule>
  </conditionalFormatting>
  <conditionalFormatting sqref="O81:X81">
    <cfRule type="expression" dxfId="895" priority="2353" stopIfTrue="1">
      <formula>E81&lt;&gt;""</formula>
    </cfRule>
    <cfRule type="expression" dxfId="894" priority="2354" stopIfTrue="1">
      <formula>E81=""</formula>
    </cfRule>
  </conditionalFormatting>
  <conditionalFormatting sqref="AP81">
    <cfRule type="expression" dxfId="893" priority="2358" stopIfTrue="1">
      <formula>LEN(AP81)&gt;AR$3</formula>
    </cfRule>
    <cfRule type="expression" dxfId="892" priority="2359" stopIfTrue="1">
      <formula>AND(NOT(ISERROR(SEARCH("~*~*~*",AP81,1))),SEARCH("~*~*~*",AP81,1)&gt;0)</formula>
    </cfRule>
  </conditionalFormatting>
  <conditionalFormatting sqref="Z81">
    <cfRule type="expression" dxfId="891" priority="2360" stopIfTrue="1">
      <formula>LEN(Z81)&gt;$AA$3</formula>
    </cfRule>
    <cfRule type="expression" dxfId="890" priority="2361" stopIfTrue="1">
      <formula>AND(NOT(ISERROR(SEARCH("~*~*~*",Z81,1))),SEARCH("~*~*~*",Z81,1)&gt;0)</formula>
    </cfRule>
  </conditionalFormatting>
  <conditionalFormatting sqref="AN81">
    <cfRule type="expression" dxfId="889" priority="2362" stopIfTrue="1">
      <formula>LEN(AN81)&gt;#REF!</formula>
    </cfRule>
    <cfRule type="expression" dxfId="888" priority="2363" stopIfTrue="1">
      <formula>AND(NOT(ISERROR(SEARCH("~*~*~*",AN81,1))),SEARCH("~*~*~*",AN81,1)&gt;0)</formula>
    </cfRule>
  </conditionalFormatting>
  <conditionalFormatting sqref="AO81 AM81">
    <cfRule type="expression" dxfId="887" priority="2364" stopIfTrue="1">
      <formula>LEN(AM81)&gt;32</formula>
    </cfRule>
    <cfRule type="expression" dxfId="886" priority="2365" stopIfTrue="1">
      <formula>AND(NOT(ISERROR(SEARCH("~*~*~*",AM81,1))),SEARCH("~*~*~*",AM81,1)&gt;0)</formula>
    </cfRule>
  </conditionalFormatting>
  <conditionalFormatting sqref="AT81">
    <cfRule type="cellIs" dxfId="885" priority="2366" stopIfTrue="1" operator="greaterThan">
      <formula>1</formula>
    </cfRule>
  </conditionalFormatting>
  <conditionalFormatting sqref="O82:X82">
    <cfRule type="expression" dxfId="884" priority="2339" stopIfTrue="1">
      <formula>E82&lt;&gt;""</formula>
    </cfRule>
    <cfRule type="expression" dxfId="883" priority="2340" stopIfTrue="1">
      <formula>E82=""</formula>
    </cfRule>
  </conditionalFormatting>
  <conditionalFormatting sqref="AP82">
    <cfRule type="expression" dxfId="882" priority="2344" stopIfTrue="1">
      <formula>LEN(AP82)&gt;AR$3</formula>
    </cfRule>
    <cfRule type="expression" dxfId="881" priority="2345" stopIfTrue="1">
      <formula>AND(NOT(ISERROR(SEARCH("~*~*~*",AP82,1))),SEARCH("~*~*~*",AP82,1)&gt;0)</formula>
    </cfRule>
  </conditionalFormatting>
  <conditionalFormatting sqref="Z82">
    <cfRule type="expression" dxfId="880" priority="2346" stopIfTrue="1">
      <formula>LEN(Z82)&gt;$AA$3</formula>
    </cfRule>
    <cfRule type="expression" dxfId="879" priority="2347" stopIfTrue="1">
      <formula>AND(NOT(ISERROR(SEARCH("~*~*~*",Z82,1))),SEARCH("~*~*~*",Z82,1)&gt;0)</formula>
    </cfRule>
  </conditionalFormatting>
  <conditionalFormatting sqref="AN82">
    <cfRule type="expression" dxfId="878" priority="2348" stopIfTrue="1">
      <formula>LEN(AN82)&gt;#REF!</formula>
    </cfRule>
    <cfRule type="expression" dxfId="877" priority="2349" stopIfTrue="1">
      <formula>AND(NOT(ISERROR(SEARCH("~*~*~*",AN82,1))),SEARCH("~*~*~*",AN82,1)&gt;0)</formula>
    </cfRule>
  </conditionalFormatting>
  <conditionalFormatting sqref="AO82 AM82">
    <cfRule type="expression" dxfId="876" priority="2350" stopIfTrue="1">
      <formula>LEN(AM82)&gt;32</formula>
    </cfRule>
    <cfRule type="expression" dxfId="875" priority="2351" stopIfTrue="1">
      <formula>AND(NOT(ISERROR(SEARCH("~*~*~*",AM82,1))),SEARCH("~*~*~*",AM82,1)&gt;0)</formula>
    </cfRule>
  </conditionalFormatting>
  <conditionalFormatting sqref="AT82">
    <cfRule type="cellIs" dxfId="874" priority="2352" stopIfTrue="1" operator="greaterThan">
      <formula>1</formula>
    </cfRule>
  </conditionalFormatting>
  <conditionalFormatting sqref="O83:X83">
    <cfRule type="expression" dxfId="873" priority="2325" stopIfTrue="1">
      <formula>E83&lt;&gt;""</formula>
    </cfRule>
    <cfRule type="expression" dxfId="872" priority="2326" stopIfTrue="1">
      <formula>E83=""</formula>
    </cfRule>
  </conditionalFormatting>
  <conditionalFormatting sqref="AP83">
    <cfRule type="expression" dxfId="871" priority="2330" stopIfTrue="1">
      <formula>LEN(AP83)&gt;AR$3</formula>
    </cfRule>
    <cfRule type="expression" dxfId="870" priority="2331" stopIfTrue="1">
      <formula>AND(NOT(ISERROR(SEARCH("~*~*~*",AP83,1))),SEARCH("~*~*~*",AP83,1)&gt;0)</formula>
    </cfRule>
  </conditionalFormatting>
  <conditionalFormatting sqref="Z83">
    <cfRule type="expression" dxfId="869" priority="2332" stopIfTrue="1">
      <formula>LEN(Z83)&gt;$AA$3</formula>
    </cfRule>
    <cfRule type="expression" dxfId="868" priority="2333" stopIfTrue="1">
      <formula>AND(NOT(ISERROR(SEARCH("~*~*~*",Z83,1))),SEARCH("~*~*~*",Z83,1)&gt;0)</formula>
    </cfRule>
  </conditionalFormatting>
  <conditionalFormatting sqref="AN83">
    <cfRule type="expression" dxfId="867" priority="2334" stopIfTrue="1">
      <formula>LEN(AN83)&gt;#REF!</formula>
    </cfRule>
    <cfRule type="expression" dxfId="866" priority="2335" stopIfTrue="1">
      <formula>AND(NOT(ISERROR(SEARCH("~*~*~*",AN83,1))),SEARCH("~*~*~*",AN83,1)&gt;0)</formula>
    </cfRule>
  </conditionalFormatting>
  <conditionalFormatting sqref="AO83 AM83">
    <cfRule type="expression" dxfId="865" priority="2336" stopIfTrue="1">
      <formula>LEN(AM83)&gt;32</formula>
    </cfRule>
    <cfRule type="expression" dxfId="864" priority="2337" stopIfTrue="1">
      <formula>AND(NOT(ISERROR(SEARCH("~*~*~*",AM83,1))),SEARCH("~*~*~*",AM83,1)&gt;0)</formula>
    </cfRule>
  </conditionalFormatting>
  <conditionalFormatting sqref="AT83">
    <cfRule type="cellIs" dxfId="863" priority="2338" stopIfTrue="1" operator="greaterThan">
      <formula>1</formula>
    </cfRule>
  </conditionalFormatting>
  <conditionalFormatting sqref="O84:X84">
    <cfRule type="expression" dxfId="862" priority="2311" stopIfTrue="1">
      <formula>E84&lt;&gt;""</formula>
    </cfRule>
    <cfRule type="expression" dxfId="861" priority="2312" stopIfTrue="1">
      <formula>E84=""</formula>
    </cfRule>
  </conditionalFormatting>
  <conditionalFormatting sqref="AP84">
    <cfRule type="expression" dxfId="860" priority="2316" stopIfTrue="1">
      <formula>LEN(AP84)&gt;AR$3</formula>
    </cfRule>
    <cfRule type="expression" dxfId="859" priority="2317" stopIfTrue="1">
      <formula>AND(NOT(ISERROR(SEARCH("~*~*~*",AP84,1))),SEARCH("~*~*~*",AP84,1)&gt;0)</formula>
    </cfRule>
  </conditionalFormatting>
  <conditionalFormatting sqref="Z84">
    <cfRule type="expression" dxfId="858" priority="2318" stopIfTrue="1">
      <formula>LEN(Z84)&gt;$AA$3</formula>
    </cfRule>
    <cfRule type="expression" dxfId="857" priority="2319" stopIfTrue="1">
      <formula>AND(NOT(ISERROR(SEARCH("~*~*~*",Z84,1))),SEARCH("~*~*~*",Z84,1)&gt;0)</formula>
    </cfRule>
  </conditionalFormatting>
  <conditionalFormatting sqref="AN84">
    <cfRule type="expression" dxfId="856" priority="2320" stopIfTrue="1">
      <formula>LEN(AN84)&gt;#REF!</formula>
    </cfRule>
    <cfRule type="expression" dxfId="855" priority="2321" stopIfTrue="1">
      <formula>AND(NOT(ISERROR(SEARCH("~*~*~*",AN84,1))),SEARCH("~*~*~*",AN84,1)&gt;0)</formula>
    </cfRule>
  </conditionalFormatting>
  <conditionalFormatting sqref="AO84 AM84">
    <cfRule type="expression" dxfId="854" priority="2322" stopIfTrue="1">
      <formula>LEN(AM84)&gt;32</formula>
    </cfRule>
    <cfRule type="expression" dxfId="853" priority="2323" stopIfTrue="1">
      <formula>AND(NOT(ISERROR(SEARCH("~*~*~*",AM84,1))),SEARCH("~*~*~*",AM84,1)&gt;0)</formula>
    </cfRule>
  </conditionalFormatting>
  <conditionalFormatting sqref="AT84">
    <cfRule type="cellIs" dxfId="852" priority="2324" stopIfTrue="1" operator="greaterThan">
      <formula>1</formula>
    </cfRule>
  </conditionalFormatting>
  <conditionalFormatting sqref="O85:X85">
    <cfRule type="expression" dxfId="851" priority="2297" stopIfTrue="1">
      <formula>E85&lt;&gt;""</formula>
    </cfRule>
    <cfRule type="expression" dxfId="850" priority="2298" stopIfTrue="1">
      <formula>E85=""</formula>
    </cfRule>
  </conditionalFormatting>
  <conditionalFormatting sqref="AP85">
    <cfRule type="expression" dxfId="849" priority="2302" stopIfTrue="1">
      <formula>LEN(AP85)&gt;AR$3</formula>
    </cfRule>
    <cfRule type="expression" dxfId="848" priority="2303" stopIfTrue="1">
      <formula>AND(NOT(ISERROR(SEARCH("~*~*~*",AP85,1))),SEARCH("~*~*~*",AP85,1)&gt;0)</formula>
    </cfRule>
  </conditionalFormatting>
  <conditionalFormatting sqref="Z85">
    <cfRule type="expression" dxfId="847" priority="2304" stopIfTrue="1">
      <formula>LEN(Z85)&gt;$AA$3</formula>
    </cfRule>
    <cfRule type="expression" dxfId="846" priority="2305" stopIfTrue="1">
      <formula>AND(NOT(ISERROR(SEARCH("~*~*~*",Z85,1))),SEARCH("~*~*~*",Z85,1)&gt;0)</formula>
    </cfRule>
  </conditionalFormatting>
  <conditionalFormatting sqref="AN85">
    <cfRule type="expression" dxfId="845" priority="2306" stopIfTrue="1">
      <formula>LEN(AN85)&gt;#REF!</formula>
    </cfRule>
    <cfRule type="expression" dxfId="844" priority="2307" stopIfTrue="1">
      <formula>AND(NOT(ISERROR(SEARCH("~*~*~*",AN85,1))),SEARCH("~*~*~*",AN85,1)&gt;0)</formula>
    </cfRule>
  </conditionalFormatting>
  <conditionalFormatting sqref="AO85 AM85">
    <cfRule type="expression" dxfId="843" priority="2308" stopIfTrue="1">
      <formula>LEN(AM85)&gt;32</formula>
    </cfRule>
    <cfRule type="expression" dxfId="842" priority="2309" stopIfTrue="1">
      <formula>AND(NOT(ISERROR(SEARCH("~*~*~*",AM85,1))),SEARCH("~*~*~*",AM85,1)&gt;0)</formula>
    </cfRule>
  </conditionalFormatting>
  <conditionalFormatting sqref="AT85">
    <cfRule type="cellIs" dxfId="841" priority="2310" stopIfTrue="1" operator="greaterThan">
      <formula>1</formula>
    </cfRule>
  </conditionalFormatting>
  <conditionalFormatting sqref="O86:X86">
    <cfRule type="expression" dxfId="840" priority="2283" stopIfTrue="1">
      <formula>E86&lt;&gt;""</formula>
    </cfRule>
    <cfRule type="expression" dxfId="839" priority="2284" stopIfTrue="1">
      <formula>E86=""</formula>
    </cfRule>
  </conditionalFormatting>
  <conditionalFormatting sqref="AP86">
    <cfRule type="expression" dxfId="838" priority="2288" stopIfTrue="1">
      <formula>LEN(AP86)&gt;AR$3</formula>
    </cfRule>
    <cfRule type="expression" dxfId="837" priority="2289" stopIfTrue="1">
      <formula>AND(NOT(ISERROR(SEARCH("~*~*~*",AP86,1))),SEARCH("~*~*~*",AP86,1)&gt;0)</formula>
    </cfRule>
  </conditionalFormatting>
  <conditionalFormatting sqref="Z86">
    <cfRule type="expression" dxfId="836" priority="2290" stopIfTrue="1">
      <formula>LEN(Z86)&gt;$AA$3</formula>
    </cfRule>
    <cfRule type="expression" dxfId="835" priority="2291" stopIfTrue="1">
      <formula>AND(NOT(ISERROR(SEARCH("~*~*~*",Z86,1))),SEARCH("~*~*~*",Z86,1)&gt;0)</formula>
    </cfRule>
  </conditionalFormatting>
  <conditionalFormatting sqref="AN86">
    <cfRule type="expression" dxfId="834" priority="2292" stopIfTrue="1">
      <formula>LEN(AN86)&gt;#REF!</formula>
    </cfRule>
    <cfRule type="expression" dxfId="833" priority="2293" stopIfTrue="1">
      <formula>AND(NOT(ISERROR(SEARCH("~*~*~*",AN86,1))),SEARCH("~*~*~*",AN86,1)&gt;0)</formula>
    </cfRule>
  </conditionalFormatting>
  <conditionalFormatting sqref="AO86 AM86">
    <cfRule type="expression" dxfId="832" priority="2294" stopIfTrue="1">
      <formula>LEN(AM86)&gt;32</formula>
    </cfRule>
    <cfRule type="expression" dxfId="831" priority="2295" stopIfTrue="1">
      <formula>AND(NOT(ISERROR(SEARCH("~*~*~*",AM86,1))),SEARCH("~*~*~*",AM86,1)&gt;0)</formula>
    </cfRule>
  </conditionalFormatting>
  <conditionalFormatting sqref="AT86">
    <cfRule type="cellIs" dxfId="830" priority="2296" stopIfTrue="1" operator="greaterThan">
      <formula>1</formula>
    </cfRule>
  </conditionalFormatting>
  <conditionalFormatting sqref="O87:X87">
    <cfRule type="expression" dxfId="829" priority="2269" stopIfTrue="1">
      <formula>E87&lt;&gt;""</formula>
    </cfRule>
    <cfRule type="expression" dxfId="828" priority="2270" stopIfTrue="1">
      <formula>E87=""</formula>
    </cfRule>
  </conditionalFormatting>
  <conditionalFormatting sqref="AP87">
    <cfRule type="expression" dxfId="827" priority="2274" stopIfTrue="1">
      <formula>LEN(AP87)&gt;AR$3</formula>
    </cfRule>
    <cfRule type="expression" dxfId="826" priority="2275" stopIfTrue="1">
      <formula>AND(NOT(ISERROR(SEARCH("~*~*~*",AP87,1))),SEARCH("~*~*~*",AP87,1)&gt;0)</formula>
    </cfRule>
  </conditionalFormatting>
  <conditionalFormatting sqref="Z87">
    <cfRule type="expression" dxfId="825" priority="2276" stopIfTrue="1">
      <formula>LEN(Z87)&gt;$AA$3</formula>
    </cfRule>
    <cfRule type="expression" dxfId="824" priority="2277" stopIfTrue="1">
      <formula>AND(NOT(ISERROR(SEARCH("~*~*~*",Z87,1))),SEARCH("~*~*~*",Z87,1)&gt;0)</formula>
    </cfRule>
  </conditionalFormatting>
  <conditionalFormatting sqref="AN87">
    <cfRule type="expression" dxfId="823" priority="2278" stopIfTrue="1">
      <formula>LEN(AN87)&gt;#REF!</formula>
    </cfRule>
    <cfRule type="expression" dxfId="822" priority="2279" stopIfTrue="1">
      <formula>AND(NOT(ISERROR(SEARCH("~*~*~*",AN87,1))),SEARCH("~*~*~*",AN87,1)&gt;0)</formula>
    </cfRule>
  </conditionalFormatting>
  <conditionalFormatting sqref="AO87 AM87">
    <cfRule type="expression" dxfId="821" priority="2280" stopIfTrue="1">
      <formula>LEN(AM87)&gt;32</formula>
    </cfRule>
    <cfRule type="expression" dxfId="820" priority="2281" stopIfTrue="1">
      <formula>AND(NOT(ISERROR(SEARCH("~*~*~*",AM87,1))),SEARCH("~*~*~*",AM87,1)&gt;0)</formula>
    </cfRule>
  </conditionalFormatting>
  <conditionalFormatting sqref="AT87">
    <cfRule type="cellIs" dxfId="819" priority="2282" stopIfTrue="1" operator="greaterThan">
      <formula>1</formula>
    </cfRule>
  </conditionalFormatting>
  <conditionalFormatting sqref="O88:X88">
    <cfRule type="expression" dxfId="818" priority="2213" stopIfTrue="1">
      <formula>E88&lt;&gt;""</formula>
    </cfRule>
    <cfRule type="expression" dxfId="817" priority="2214" stopIfTrue="1">
      <formula>E88=""</formula>
    </cfRule>
  </conditionalFormatting>
  <conditionalFormatting sqref="AP88">
    <cfRule type="expression" dxfId="816" priority="2218" stopIfTrue="1">
      <formula>LEN(AP88)&gt;AR$3</formula>
    </cfRule>
    <cfRule type="expression" dxfId="815" priority="2219" stopIfTrue="1">
      <formula>AND(NOT(ISERROR(SEARCH("~*~*~*",AP88,1))),SEARCH("~*~*~*",AP88,1)&gt;0)</formula>
    </cfRule>
  </conditionalFormatting>
  <conditionalFormatting sqref="Z88">
    <cfRule type="expression" dxfId="814" priority="2220" stopIfTrue="1">
      <formula>LEN(Z88)&gt;$AA$3</formula>
    </cfRule>
    <cfRule type="expression" dxfId="813" priority="2221" stopIfTrue="1">
      <formula>AND(NOT(ISERROR(SEARCH("~*~*~*",Z88,1))),SEARCH("~*~*~*",Z88,1)&gt;0)</formula>
    </cfRule>
  </conditionalFormatting>
  <conditionalFormatting sqref="AN88">
    <cfRule type="expression" dxfId="812" priority="2222" stopIfTrue="1">
      <formula>LEN(AN88)&gt;#REF!</formula>
    </cfRule>
    <cfRule type="expression" dxfId="811" priority="2223" stopIfTrue="1">
      <formula>AND(NOT(ISERROR(SEARCH("~*~*~*",AN88,1))),SEARCH("~*~*~*",AN88,1)&gt;0)</formula>
    </cfRule>
  </conditionalFormatting>
  <conditionalFormatting sqref="AO88 AM88">
    <cfRule type="expression" dxfId="810" priority="2224" stopIfTrue="1">
      <formula>LEN(AM88)&gt;32</formula>
    </cfRule>
    <cfRule type="expression" dxfId="809" priority="2225" stopIfTrue="1">
      <formula>AND(NOT(ISERROR(SEARCH("~*~*~*",AM88,1))),SEARCH("~*~*~*",AM88,1)&gt;0)</formula>
    </cfRule>
  </conditionalFormatting>
  <conditionalFormatting sqref="AT88">
    <cfRule type="cellIs" dxfId="808" priority="2226" stopIfTrue="1" operator="greaterThan">
      <formula>1</formula>
    </cfRule>
  </conditionalFormatting>
  <conditionalFormatting sqref="O89:X89">
    <cfRule type="expression" dxfId="807" priority="2199" stopIfTrue="1">
      <formula>E89&lt;&gt;""</formula>
    </cfRule>
    <cfRule type="expression" dxfId="806" priority="2200" stopIfTrue="1">
      <formula>E89=""</formula>
    </cfRule>
  </conditionalFormatting>
  <conditionalFormatting sqref="AP89">
    <cfRule type="expression" dxfId="805" priority="2204" stopIfTrue="1">
      <formula>LEN(AP89)&gt;AR$3</formula>
    </cfRule>
    <cfRule type="expression" dxfId="804" priority="2205" stopIfTrue="1">
      <formula>AND(NOT(ISERROR(SEARCH("~*~*~*",AP89,1))),SEARCH("~*~*~*",AP89,1)&gt;0)</formula>
    </cfRule>
  </conditionalFormatting>
  <conditionalFormatting sqref="Z89">
    <cfRule type="expression" dxfId="803" priority="2206" stopIfTrue="1">
      <formula>LEN(Z89)&gt;$AA$3</formula>
    </cfRule>
    <cfRule type="expression" dxfId="802" priority="2207" stopIfTrue="1">
      <formula>AND(NOT(ISERROR(SEARCH("~*~*~*",Z89,1))),SEARCH("~*~*~*",Z89,1)&gt;0)</formula>
    </cfRule>
  </conditionalFormatting>
  <conditionalFormatting sqref="AN89">
    <cfRule type="expression" dxfId="801" priority="2208" stopIfTrue="1">
      <formula>LEN(AN89)&gt;#REF!</formula>
    </cfRule>
    <cfRule type="expression" dxfId="800" priority="2209" stopIfTrue="1">
      <formula>AND(NOT(ISERROR(SEARCH("~*~*~*",AN89,1))),SEARCH("~*~*~*",AN89,1)&gt;0)</formula>
    </cfRule>
  </conditionalFormatting>
  <conditionalFormatting sqref="AO89 AM89">
    <cfRule type="expression" dxfId="799" priority="2210" stopIfTrue="1">
      <formula>LEN(AM89)&gt;32</formula>
    </cfRule>
    <cfRule type="expression" dxfId="798" priority="2211" stopIfTrue="1">
      <formula>AND(NOT(ISERROR(SEARCH("~*~*~*",AM89,1))),SEARCH("~*~*~*",AM89,1)&gt;0)</formula>
    </cfRule>
  </conditionalFormatting>
  <conditionalFormatting sqref="AT89">
    <cfRule type="cellIs" dxfId="797" priority="2212" stopIfTrue="1" operator="greaterThan">
      <formula>1</formula>
    </cfRule>
  </conditionalFormatting>
  <conditionalFormatting sqref="O90:X90">
    <cfRule type="expression" dxfId="796" priority="2185" stopIfTrue="1">
      <formula>E90&lt;&gt;""</formula>
    </cfRule>
    <cfRule type="expression" dxfId="795" priority="2186" stopIfTrue="1">
      <formula>E90=""</formula>
    </cfRule>
  </conditionalFormatting>
  <conditionalFormatting sqref="AP90">
    <cfRule type="expression" dxfId="794" priority="2190" stopIfTrue="1">
      <formula>LEN(AP90)&gt;AR$3</formula>
    </cfRule>
    <cfRule type="expression" dxfId="793" priority="2191" stopIfTrue="1">
      <formula>AND(NOT(ISERROR(SEARCH("~*~*~*",AP90,1))),SEARCH("~*~*~*",AP90,1)&gt;0)</formula>
    </cfRule>
  </conditionalFormatting>
  <conditionalFormatting sqref="Z90">
    <cfRule type="expression" dxfId="792" priority="2192" stopIfTrue="1">
      <formula>LEN(Z90)&gt;$AA$3</formula>
    </cfRule>
    <cfRule type="expression" dxfId="791" priority="2193" stopIfTrue="1">
      <formula>AND(NOT(ISERROR(SEARCH("~*~*~*",Z90,1))),SEARCH("~*~*~*",Z90,1)&gt;0)</formula>
    </cfRule>
  </conditionalFormatting>
  <conditionalFormatting sqref="AN90">
    <cfRule type="expression" dxfId="790" priority="2194" stopIfTrue="1">
      <formula>LEN(AN90)&gt;#REF!</formula>
    </cfRule>
    <cfRule type="expression" dxfId="789" priority="2195" stopIfTrue="1">
      <formula>AND(NOT(ISERROR(SEARCH("~*~*~*",AN90,1))),SEARCH("~*~*~*",AN90,1)&gt;0)</formula>
    </cfRule>
  </conditionalFormatting>
  <conditionalFormatting sqref="AO90 AM90">
    <cfRule type="expression" dxfId="788" priority="2196" stopIfTrue="1">
      <formula>LEN(AM90)&gt;32</formula>
    </cfRule>
    <cfRule type="expression" dxfId="787" priority="2197" stopIfTrue="1">
      <formula>AND(NOT(ISERROR(SEARCH("~*~*~*",AM90,1))),SEARCH("~*~*~*",AM90,1)&gt;0)</formula>
    </cfRule>
  </conditionalFormatting>
  <conditionalFormatting sqref="AT90">
    <cfRule type="cellIs" dxfId="786" priority="2198" stopIfTrue="1" operator="greaterThan">
      <formula>1</formula>
    </cfRule>
  </conditionalFormatting>
  <conditionalFormatting sqref="O68:X68">
    <cfRule type="expression" dxfId="785" priority="2171" stopIfTrue="1">
      <formula>E68&lt;&gt;""</formula>
    </cfRule>
    <cfRule type="expression" dxfId="784" priority="2172" stopIfTrue="1">
      <formula>E68=""</formula>
    </cfRule>
  </conditionalFormatting>
  <conditionalFormatting sqref="AP68">
    <cfRule type="expression" dxfId="783" priority="2176" stopIfTrue="1">
      <formula>LEN(AP68)&gt;AR$3</formula>
    </cfRule>
    <cfRule type="expression" dxfId="782" priority="2177" stopIfTrue="1">
      <formula>AND(NOT(ISERROR(SEARCH("~*~*~*",AP68,1))),SEARCH("~*~*~*",AP68,1)&gt;0)</formula>
    </cfRule>
  </conditionalFormatting>
  <conditionalFormatting sqref="Z68">
    <cfRule type="expression" dxfId="781" priority="2178" stopIfTrue="1">
      <formula>LEN(Z68)&gt;$AA$3</formula>
    </cfRule>
    <cfRule type="expression" dxfId="780" priority="2179" stopIfTrue="1">
      <formula>AND(NOT(ISERROR(SEARCH("~*~*~*",Z68,1))),SEARCH("~*~*~*",Z68,1)&gt;0)</formula>
    </cfRule>
  </conditionalFormatting>
  <conditionalFormatting sqref="AN68">
    <cfRule type="expression" dxfId="779" priority="2180" stopIfTrue="1">
      <formula>LEN(AN68)&gt;#REF!</formula>
    </cfRule>
    <cfRule type="expression" dxfId="778" priority="2181" stopIfTrue="1">
      <formula>AND(NOT(ISERROR(SEARCH("~*~*~*",AN68,1))),SEARCH("~*~*~*",AN68,1)&gt;0)</formula>
    </cfRule>
  </conditionalFormatting>
  <conditionalFormatting sqref="AO68 AM68">
    <cfRule type="expression" dxfId="777" priority="2182" stopIfTrue="1">
      <formula>LEN(AM68)&gt;32</formula>
    </cfRule>
    <cfRule type="expression" dxfId="776" priority="2183" stopIfTrue="1">
      <formula>AND(NOT(ISERROR(SEARCH("~*~*~*",AM68,1))),SEARCH("~*~*~*",AM68,1)&gt;0)</formula>
    </cfRule>
  </conditionalFormatting>
  <conditionalFormatting sqref="AT68">
    <cfRule type="cellIs" dxfId="775" priority="2184" stopIfTrue="1" operator="greaterThan">
      <formula>1</formula>
    </cfRule>
  </conditionalFormatting>
  <conditionalFormatting sqref="O69:X69">
    <cfRule type="expression" dxfId="774" priority="2157" stopIfTrue="1">
      <formula>E69&lt;&gt;""</formula>
    </cfRule>
    <cfRule type="expression" dxfId="773" priority="2158" stopIfTrue="1">
      <formula>E69=""</formula>
    </cfRule>
  </conditionalFormatting>
  <conditionalFormatting sqref="AP69">
    <cfRule type="expression" dxfId="772" priority="2162" stopIfTrue="1">
      <formula>LEN(AP69)&gt;AR$3</formula>
    </cfRule>
    <cfRule type="expression" dxfId="771" priority="2163" stopIfTrue="1">
      <formula>AND(NOT(ISERROR(SEARCH("~*~*~*",AP69,1))),SEARCH("~*~*~*",AP69,1)&gt;0)</formula>
    </cfRule>
  </conditionalFormatting>
  <conditionalFormatting sqref="Z69">
    <cfRule type="expression" dxfId="770" priority="2164" stopIfTrue="1">
      <formula>LEN(Z69)&gt;$AA$3</formula>
    </cfRule>
    <cfRule type="expression" dxfId="769" priority="2165" stopIfTrue="1">
      <formula>AND(NOT(ISERROR(SEARCH("~*~*~*",Z69,1))),SEARCH("~*~*~*",Z69,1)&gt;0)</formula>
    </cfRule>
  </conditionalFormatting>
  <conditionalFormatting sqref="AN69">
    <cfRule type="expression" dxfId="768" priority="2166" stopIfTrue="1">
      <formula>LEN(AN69)&gt;#REF!</formula>
    </cfRule>
    <cfRule type="expression" dxfId="767" priority="2167" stopIfTrue="1">
      <formula>AND(NOT(ISERROR(SEARCH("~*~*~*",AN69,1))),SEARCH("~*~*~*",AN69,1)&gt;0)</formula>
    </cfRule>
  </conditionalFormatting>
  <conditionalFormatting sqref="AO69 AM69">
    <cfRule type="expression" dxfId="766" priority="2168" stopIfTrue="1">
      <formula>LEN(AM69)&gt;32</formula>
    </cfRule>
    <cfRule type="expression" dxfId="765" priority="2169" stopIfTrue="1">
      <formula>AND(NOT(ISERROR(SEARCH("~*~*~*",AM69,1))),SEARCH("~*~*~*",AM69,1)&gt;0)</formula>
    </cfRule>
  </conditionalFormatting>
  <conditionalFormatting sqref="AT69">
    <cfRule type="cellIs" dxfId="764" priority="2170" stopIfTrue="1" operator="greaterThan">
      <formula>1</formula>
    </cfRule>
  </conditionalFormatting>
  <conditionalFormatting sqref="O70:X70">
    <cfRule type="expression" dxfId="763" priority="2143" stopIfTrue="1">
      <formula>E70&lt;&gt;""</formula>
    </cfRule>
    <cfRule type="expression" dxfId="762" priority="2144" stopIfTrue="1">
      <formula>E70=""</formula>
    </cfRule>
  </conditionalFormatting>
  <conditionalFormatting sqref="AP70">
    <cfRule type="expression" dxfId="761" priority="2148" stopIfTrue="1">
      <formula>LEN(AP70)&gt;AR$3</formula>
    </cfRule>
    <cfRule type="expression" dxfId="760" priority="2149" stopIfTrue="1">
      <formula>AND(NOT(ISERROR(SEARCH("~*~*~*",AP70,1))),SEARCH("~*~*~*",AP70,1)&gt;0)</formula>
    </cfRule>
  </conditionalFormatting>
  <conditionalFormatting sqref="Z70">
    <cfRule type="expression" dxfId="759" priority="2150" stopIfTrue="1">
      <formula>LEN(Z70)&gt;$AA$3</formula>
    </cfRule>
    <cfRule type="expression" dxfId="758" priority="2151" stopIfTrue="1">
      <formula>AND(NOT(ISERROR(SEARCH("~*~*~*",Z70,1))),SEARCH("~*~*~*",Z70,1)&gt;0)</formula>
    </cfRule>
  </conditionalFormatting>
  <conditionalFormatting sqref="AN70">
    <cfRule type="expression" dxfId="757" priority="2152" stopIfTrue="1">
      <formula>LEN(AN70)&gt;#REF!</formula>
    </cfRule>
    <cfRule type="expression" dxfId="756" priority="2153" stopIfTrue="1">
      <formula>AND(NOT(ISERROR(SEARCH("~*~*~*",AN70,1))),SEARCH("~*~*~*",AN70,1)&gt;0)</formula>
    </cfRule>
  </conditionalFormatting>
  <conditionalFormatting sqref="AO70 AM70">
    <cfRule type="expression" dxfId="755" priority="2154" stopIfTrue="1">
      <formula>LEN(AM70)&gt;32</formula>
    </cfRule>
    <cfRule type="expression" dxfId="754" priority="2155" stopIfTrue="1">
      <formula>AND(NOT(ISERROR(SEARCH("~*~*~*",AM70,1))),SEARCH("~*~*~*",AM70,1)&gt;0)</formula>
    </cfRule>
  </conditionalFormatting>
  <conditionalFormatting sqref="AT70">
    <cfRule type="cellIs" dxfId="753" priority="2156" stopIfTrue="1" operator="greaterThan">
      <formula>1</formula>
    </cfRule>
  </conditionalFormatting>
  <conditionalFormatting sqref="O71:X71">
    <cfRule type="expression" dxfId="752" priority="2129" stopIfTrue="1">
      <formula>E71&lt;&gt;""</formula>
    </cfRule>
    <cfRule type="expression" dxfId="751" priority="2130" stopIfTrue="1">
      <formula>E71=""</formula>
    </cfRule>
  </conditionalFormatting>
  <conditionalFormatting sqref="AP71">
    <cfRule type="expression" dxfId="750" priority="2134" stopIfTrue="1">
      <formula>LEN(AP71)&gt;AR$3</formula>
    </cfRule>
    <cfRule type="expression" dxfId="749" priority="2135" stopIfTrue="1">
      <formula>AND(NOT(ISERROR(SEARCH("~*~*~*",AP71,1))),SEARCH("~*~*~*",AP71,1)&gt;0)</formula>
    </cfRule>
  </conditionalFormatting>
  <conditionalFormatting sqref="Z71">
    <cfRule type="expression" dxfId="748" priority="2136" stopIfTrue="1">
      <formula>LEN(Z71)&gt;$AA$3</formula>
    </cfRule>
    <cfRule type="expression" dxfId="747" priority="2137" stopIfTrue="1">
      <formula>AND(NOT(ISERROR(SEARCH("~*~*~*",Z71,1))),SEARCH("~*~*~*",Z71,1)&gt;0)</formula>
    </cfRule>
  </conditionalFormatting>
  <conditionalFormatting sqref="AN71">
    <cfRule type="expression" dxfId="746" priority="2138" stopIfTrue="1">
      <formula>LEN(AN71)&gt;#REF!</formula>
    </cfRule>
    <cfRule type="expression" dxfId="745" priority="2139" stopIfTrue="1">
      <formula>AND(NOT(ISERROR(SEARCH("~*~*~*",AN71,1))),SEARCH("~*~*~*",AN71,1)&gt;0)</formula>
    </cfRule>
  </conditionalFormatting>
  <conditionalFormatting sqref="AO71 AM71">
    <cfRule type="expression" dxfId="744" priority="2140" stopIfTrue="1">
      <formula>LEN(AM71)&gt;32</formula>
    </cfRule>
    <cfRule type="expression" dxfId="743" priority="2141" stopIfTrue="1">
      <formula>AND(NOT(ISERROR(SEARCH("~*~*~*",AM71,1))),SEARCH("~*~*~*",AM71,1)&gt;0)</formula>
    </cfRule>
  </conditionalFormatting>
  <conditionalFormatting sqref="AT71">
    <cfRule type="cellIs" dxfId="742" priority="2142" stopIfTrue="1" operator="greaterThan">
      <formula>1</formula>
    </cfRule>
  </conditionalFormatting>
  <conditionalFormatting sqref="O72:X72">
    <cfRule type="expression" dxfId="741" priority="2115" stopIfTrue="1">
      <formula>E72&lt;&gt;""</formula>
    </cfRule>
    <cfRule type="expression" dxfId="740" priority="2116" stopIfTrue="1">
      <formula>E72=""</formula>
    </cfRule>
  </conditionalFormatting>
  <conditionalFormatting sqref="AP72">
    <cfRule type="expression" dxfId="739" priority="2120" stopIfTrue="1">
      <formula>LEN(AP72)&gt;AR$3</formula>
    </cfRule>
    <cfRule type="expression" dxfId="738" priority="2121" stopIfTrue="1">
      <formula>AND(NOT(ISERROR(SEARCH("~*~*~*",AP72,1))),SEARCH("~*~*~*",AP72,1)&gt;0)</formula>
    </cfRule>
  </conditionalFormatting>
  <conditionalFormatting sqref="Z72">
    <cfRule type="expression" dxfId="737" priority="2122" stopIfTrue="1">
      <formula>LEN(Z72)&gt;$AA$3</formula>
    </cfRule>
    <cfRule type="expression" dxfId="736" priority="2123" stopIfTrue="1">
      <formula>AND(NOT(ISERROR(SEARCH("~*~*~*",Z72,1))),SEARCH("~*~*~*",Z72,1)&gt;0)</formula>
    </cfRule>
  </conditionalFormatting>
  <conditionalFormatting sqref="AN72">
    <cfRule type="expression" dxfId="735" priority="2124" stopIfTrue="1">
      <formula>LEN(AN72)&gt;#REF!</formula>
    </cfRule>
    <cfRule type="expression" dxfId="734" priority="2125" stopIfTrue="1">
      <formula>AND(NOT(ISERROR(SEARCH("~*~*~*",AN72,1))),SEARCH("~*~*~*",AN72,1)&gt;0)</formula>
    </cfRule>
  </conditionalFormatting>
  <conditionalFormatting sqref="AO72 AM72">
    <cfRule type="expression" dxfId="733" priority="2126" stopIfTrue="1">
      <formula>LEN(AM72)&gt;32</formula>
    </cfRule>
    <cfRule type="expression" dxfId="732" priority="2127" stopIfTrue="1">
      <formula>AND(NOT(ISERROR(SEARCH("~*~*~*",AM72,1))),SEARCH("~*~*~*",AM72,1)&gt;0)</formula>
    </cfRule>
  </conditionalFormatting>
  <conditionalFormatting sqref="AT72">
    <cfRule type="cellIs" dxfId="731" priority="2128" stopIfTrue="1" operator="greaterThan">
      <formula>1</formula>
    </cfRule>
  </conditionalFormatting>
  <conditionalFormatting sqref="O73:X73">
    <cfRule type="expression" dxfId="730" priority="2101" stopIfTrue="1">
      <formula>E73&lt;&gt;""</formula>
    </cfRule>
    <cfRule type="expression" dxfId="729" priority="2102" stopIfTrue="1">
      <formula>E73=""</formula>
    </cfRule>
  </conditionalFormatting>
  <conditionalFormatting sqref="AP73">
    <cfRule type="expression" dxfId="728" priority="2106" stopIfTrue="1">
      <formula>LEN(AP73)&gt;AR$3</formula>
    </cfRule>
    <cfRule type="expression" dxfId="727" priority="2107" stopIfTrue="1">
      <formula>AND(NOT(ISERROR(SEARCH("~*~*~*",AP73,1))),SEARCH("~*~*~*",AP73,1)&gt;0)</formula>
    </cfRule>
  </conditionalFormatting>
  <conditionalFormatting sqref="Z73">
    <cfRule type="expression" dxfId="726" priority="2108" stopIfTrue="1">
      <formula>LEN(Z73)&gt;$AA$3</formula>
    </cfRule>
    <cfRule type="expression" dxfId="725" priority="2109" stopIfTrue="1">
      <formula>AND(NOT(ISERROR(SEARCH("~*~*~*",Z73,1))),SEARCH("~*~*~*",Z73,1)&gt;0)</formula>
    </cfRule>
  </conditionalFormatting>
  <conditionalFormatting sqref="AN73">
    <cfRule type="expression" dxfId="724" priority="2110" stopIfTrue="1">
      <formula>LEN(AN73)&gt;#REF!</formula>
    </cfRule>
    <cfRule type="expression" dxfId="723" priority="2111" stopIfTrue="1">
      <formula>AND(NOT(ISERROR(SEARCH("~*~*~*",AN73,1))),SEARCH("~*~*~*",AN73,1)&gt;0)</formula>
    </cfRule>
  </conditionalFormatting>
  <conditionalFormatting sqref="AO73 AM73">
    <cfRule type="expression" dxfId="722" priority="2112" stopIfTrue="1">
      <formula>LEN(AM73)&gt;32</formula>
    </cfRule>
    <cfRule type="expression" dxfId="721" priority="2113" stopIfTrue="1">
      <formula>AND(NOT(ISERROR(SEARCH("~*~*~*",AM73,1))),SEARCH("~*~*~*",AM73,1)&gt;0)</formula>
    </cfRule>
  </conditionalFormatting>
  <conditionalFormatting sqref="AT73">
    <cfRule type="cellIs" dxfId="720" priority="2114" stopIfTrue="1" operator="greaterThan">
      <formula>1</formula>
    </cfRule>
  </conditionalFormatting>
  <conditionalFormatting sqref="O74:X74">
    <cfRule type="expression" dxfId="719" priority="2087" stopIfTrue="1">
      <formula>E74&lt;&gt;""</formula>
    </cfRule>
    <cfRule type="expression" dxfId="718" priority="2088" stopIfTrue="1">
      <formula>E74=""</formula>
    </cfRule>
  </conditionalFormatting>
  <conditionalFormatting sqref="AP74">
    <cfRule type="expression" dxfId="717" priority="2092" stopIfTrue="1">
      <formula>LEN(AP74)&gt;AR$3</formula>
    </cfRule>
    <cfRule type="expression" dxfId="716" priority="2093" stopIfTrue="1">
      <formula>AND(NOT(ISERROR(SEARCH("~*~*~*",AP74,1))),SEARCH("~*~*~*",AP74,1)&gt;0)</formula>
    </cfRule>
  </conditionalFormatting>
  <conditionalFormatting sqref="Z74">
    <cfRule type="expression" dxfId="715" priority="2094" stopIfTrue="1">
      <formula>LEN(Z74)&gt;$AA$3</formula>
    </cfRule>
    <cfRule type="expression" dxfId="714" priority="2095" stopIfTrue="1">
      <formula>AND(NOT(ISERROR(SEARCH("~*~*~*",Z74,1))),SEARCH("~*~*~*",Z74,1)&gt;0)</formula>
    </cfRule>
  </conditionalFormatting>
  <conditionalFormatting sqref="AN74">
    <cfRule type="expression" dxfId="713" priority="2096" stopIfTrue="1">
      <formula>LEN(AN74)&gt;#REF!</formula>
    </cfRule>
    <cfRule type="expression" dxfId="712" priority="2097" stopIfTrue="1">
      <formula>AND(NOT(ISERROR(SEARCH("~*~*~*",AN74,1))),SEARCH("~*~*~*",AN74,1)&gt;0)</formula>
    </cfRule>
  </conditionalFormatting>
  <conditionalFormatting sqref="AO74 AM74">
    <cfRule type="expression" dxfId="711" priority="2098" stopIfTrue="1">
      <formula>LEN(AM74)&gt;32</formula>
    </cfRule>
    <cfRule type="expression" dxfId="710" priority="2099" stopIfTrue="1">
      <formula>AND(NOT(ISERROR(SEARCH("~*~*~*",AM74,1))),SEARCH("~*~*~*",AM74,1)&gt;0)</formula>
    </cfRule>
  </conditionalFormatting>
  <conditionalFormatting sqref="AT74">
    <cfRule type="cellIs" dxfId="709" priority="2100" stopIfTrue="1" operator="greaterThan">
      <formula>1</formula>
    </cfRule>
  </conditionalFormatting>
  <conditionalFormatting sqref="O75:X75">
    <cfRule type="expression" dxfId="708" priority="2073" stopIfTrue="1">
      <formula>E75&lt;&gt;""</formula>
    </cfRule>
    <cfRule type="expression" dxfId="707" priority="2074" stopIfTrue="1">
      <formula>E75=""</formula>
    </cfRule>
  </conditionalFormatting>
  <conditionalFormatting sqref="AP75">
    <cfRule type="expression" dxfId="706" priority="2078" stopIfTrue="1">
      <formula>LEN(AP75)&gt;AR$3</formula>
    </cfRule>
    <cfRule type="expression" dxfId="705" priority="2079" stopIfTrue="1">
      <formula>AND(NOT(ISERROR(SEARCH("~*~*~*",AP75,1))),SEARCH("~*~*~*",AP75,1)&gt;0)</formula>
    </cfRule>
  </conditionalFormatting>
  <conditionalFormatting sqref="Z75">
    <cfRule type="expression" dxfId="704" priority="2080" stopIfTrue="1">
      <formula>LEN(Z75)&gt;$AA$3</formula>
    </cfRule>
    <cfRule type="expression" dxfId="703" priority="2081" stopIfTrue="1">
      <formula>AND(NOT(ISERROR(SEARCH("~*~*~*",Z75,1))),SEARCH("~*~*~*",Z75,1)&gt;0)</formula>
    </cfRule>
  </conditionalFormatting>
  <conditionalFormatting sqref="AN75">
    <cfRule type="expression" dxfId="702" priority="2082" stopIfTrue="1">
      <formula>LEN(AN75)&gt;#REF!</formula>
    </cfRule>
    <cfRule type="expression" dxfId="701" priority="2083" stopIfTrue="1">
      <formula>AND(NOT(ISERROR(SEARCH("~*~*~*",AN75,1))),SEARCH("~*~*~*",AN75,1)&gt;0)</formula>
    </cfRule>
  </conditionalFormatting>
  <conditionalFormatting sqref="AO75 AM75">
    <cfRule type="expression" dxfId="700" priority="2084" stopIfTrue="1">
      <formula>LEN(AM75)&gt;32</formula>
    </cfRule>
    <cfRule type="expression" dxfId="699" priority="2085" stopIfTrue="1">
      <formula>AND(NOT(ISERROR(SEARCH("~*~*~*",AM75,1))),SEARCH("~*~*~*",AM75,1)&gt;0)</formula>
    </cfRule>
  </conditionalFormatting>
  <conditionalFormatting sqref="AT75">
    <cfRule type="cellIs" dxfId="698" priority="2086" stopIfTrue="1" operator="greaterThan">
      <formula>1</formula>
    </cfRule>
  </conditionalFormatting>
  <conditionalFormatting sqref="O76:X76">
    <cfRule type="expression" dxfId="697" priority="2059" stopIfTrue="1">
      <formula>E76&lt;&gt;""</formula>
    </cfRule>
    <cfRule type="expression" dxfId="696" priority="2060" stopIfTrue="1">
      <formula>E76=""</formula>
    </cfRule>
  </conditionalFormatting>
  <conditionalFormatting sqref="AP76">
    <cfRule type="expression" dxfId="695" priority="2064" stopIfTrue="1">
      <formula>LEN(AP76)&gt;AR$3</formula>
    </cfRule>
    <cfRule type="expression" dxfId="694" priority="2065" stopIfTrue="1">
      <formula>AND(NOT(ISERROR(SEARCH("~*~*~*",AP76,1))),SEARCH("~*~*~*",AP76,1)&gt;0)</formula>
    </cfRule>
  </conditionalFormatting>
  <conditionalFormatting sqref="Z76">
    <cfRule type="expression" dxfId="693" priority="2066" stopIfTrue="1">
      <formula>LEN(Z76)&gt;$AA$3</formula>
    </cfRule>
    <cfRule type="expression" dxfId="692" priority="2067" stopIfTrue="1">
      <formula>AND(NOT(ISERROR(SEARCH("~*~*~*",Z76,1))),SEARCH("~*~*~*",Z76,1)&gt;0)</formula>
    </cfRule>
  </conditionalFormatting>
  <conditionalFormatting sqref="AN76">
    <cfRule type="expression" dxfId="691" priority="2068" stopIfTrue="1">
      <formula>LEN(AN76)&gt;#REF!</formula>
    </cfRule>
    <cfRule type="expression" dxfId="690" priority="2069" stopIfTrue="1">
      <formula>AND(NOT(ISERROR(SEARCH("~*~*~*",AN76,1))),SEARCH("~*~*~*",AN76,1)&gt;0)</formula>
    </cfRule>
  </conditionalFormatting>
  <conditionalFormatting sqref="AO76 AM76">
    <cfRule type="expression" dxfId="689" priority="2070" stopIfTrue="1">
      <formula>LEN(AM76)&gt;32</formula>
    </cfRule>
    <cfRule type="expression" dxfId="688" priority="2071" stopIfTrue="1">
      <formula>AND(NOT(ISERROR(SEARCH("~*~*~*",AM76,1))),SEARCH("~*~*~*",AM76,1)&gt;0)</formula>
    </cfRule>
  </conditionalFormatting>
  <conditionalFormatting sqref="AT76">
    <cfRule type="cellIs" dxfId="687" priority="2072" stopIfTrue="1" operator="greaterThan">
      <formula>1</formula>
    </cfRule>
  </conditionalFormatting>
  <conditionalFormatting sqref="O77:X77">
    <cfRule type="expression" dxfId="686" priority="2045" stopIfTrue="1">
      <formula>E77&lt;&gt;""</formula>
    </cfRule>
    <cfRule type="expression" dxfId="685" priority="2046" stopIfTrue="1">
      <formula>E77=""</formula>
    </cfRule>
  </conditionalFormatting>
  <conditionalFormatting sqref="AP77">
    <cfRule type="expression" dxfId="684" priority="2050" stopIfTrue="1">
      <formula>LEN(AP77)&gt;AR$3</formula>
    </cfRule>
    <cfRule type="expression" dxfId="683" priority="2051" stopIfTrue="1">
      <formula>AND(NOT(ISERROR(SEARCH("~*~*~*",AP77,1))),SEARCH("~*~*~*",AP77,1)&gt;0)</formula>
    </cfRule>
  </conditionalFormatting>
  <conditionalFormatting sqref="Z77">
    <cfRule type="expression" dxfId="682" priority="2052" stopIfTrue="1">
      <formula>LEN(Z77)&gt;$AA$3</formula>
    </cfRule>
    <cfRule type="expression" dxfId="681" priority="2053" stopIfTrue="1">
      <formula>AND(NOT(ISERROR(SEARCH("~*~*~*",Z77,1))),SEARCH("~*~*~*",Z77,1)&gt;0)</formula>
    </cfRule>
  </conditionalFormatting>
  <conditionalFormatting sqref="AN77">
    <cfRule type="expression" dxfId="680" priority="2054" stopIfTrue="1">
      <formula>LEN(AN77)&gt;#REF!</formula>
    </cfRule>
    <cfRule type="expression" dxfId="679" priority="2055" stopIfTrue="1">
      <formula>AND(NOT(ISERROR(SEARCH("~*~*~*",AN77,1))),SEARCH("~*~*~*",AN77,1)&gt;0)</formula>
    </cfRule>
  </conditionalFormatting>
  <conditionalFormatting sqref="AO77 AM77">
    <cfRule type="expression" dxfId="678" priority="2056" stopIfTrue="1">
      <formula>LEN(AM77)&gt;32</formula>
    </cfRule>
    <cfRule type="expression" dxfId="677" priority="2057" stopIfTrue="1">
      <formula>AND(NOT(ISERROR(SEARCH("~*~*~*",AM77,1))),SEARCH("~*~*~*",AM77,1)&gt;0)</formula>
    </cfRule>
  </conditionalFormatting>
  <conditionalFormatting sqref="AT77">
    <cfRule type="cellIs" dxfId="676" priority="2058" stopIfTrue="1" operator="greaterThan">
      <formula>1</formula>
    </cfRule>
  </conditionalFormatting>
  <conditionalFormatting sqref="O78:X78">
    <cfRule type="expression" dxfId="675" priority="2031" stopIfTrue="1">
      <formula>E78&lt;&gt;""</formula>
    </cfRule>
    <cfRule type="expression" dxfId="674" priority="2032" stopIfTrue="1">
      <formula>E78=""</formula>
    </cfRule>
  </conditionalFormatting>
  <conditionalFormatting sqref="AP78">
    <cfRule type="expression" dxfId="673" priority="2036" stopIfTrue="1">
      <formula>LEN(AP78)&gt;AR$3</formula>
    </cfRule>
    <cfRule type="expression" dxfId="672" priority="2037" stopIfTrue="1">
      <formula>AND(NOT(ISERROR(SEARCH("~*~*~*",AP78,1))),SEARCH("~*~*~*",AP78,1)&gt;0)</formula>
    </cfRule>
  </conditionalFormatting>
  <conditionalFormatting sqref="Z78">
    <cfRule type="expression" dxfId="671" priority="2038" stopIfTrue="1">
      <formula>LEN(Z78)&gt;$AA$3</formula>
    </cfRule>
    <cfRule type="expression" dxfId="670" priority="2039" stopIfTrue="1">
      <formula>AND(NOT(ISERROR(SEARCH("~*~*~*",Z78,1))),SEARCH("~*~*~*",Z78,1)&gt;0)</formula>
    </cfRule>
  </conditionalFormatting>
  <conditionalFormatting sqref="AN78">
    <cfRule type="expression" dxfId="669" priority="2040" stopIfTrue="1">
      <formula>LEN(AN78)&gt;#REF!</formula>
    </cfRule>
    <cfRule type="expression" dxfId="668" priority="2041" stopIfTrue="1">
      <formula>AND(NOT(ISERROR(SEARCH("~*~*~*",AN78,1))),SEARCH("~*~*~*",AN78,1)&gt;0)</formula>
    </cfRule>
  </conditionalFormatting>
  <conditionalFormatting sqref="AO78 AM78">
    <cfRule type="expression" dxfId="667" priority="2042" stopIfTrue="1">
      <formula>LEN(AM78)&gt;32</formula>
    </cfRule>
    <cfRule type="expression" dxfId="666" priority="2043" stopIfTrue="1">
      <formula>AND(NOT(ISERROR(SEARCH("~*~*~*",AM78,1))),SEARCH("~*~*~*",AM78,1)&gt;0)</formula>
    </cfRule>
  </conditionalFormatting>
  <conditionalFormatting sqref="AT78">
    <cfRule type="cellIs" dxfId="665" priority="2044" stopIfTrue="1" operator="greaterThan">
      <formula>1</formula>
    </cfRule>
  </conditionalFormatting>
  <conditionalFormatting sqref="O79:X79">
    <cfRule type="expression" dxfId="664" priority="2017" stopIfTrue="1">
      <formula>E79&lt;&gt;""</formula>
    </cfRule>
    <cfRule type="expression" dxfId="663" priority="2018" stopIfTrue="1">
      <formula>E79=""</formula>
    </cfRule>
  </conditionalFormatting>
  <conditionalFormatting sqref="AP79">
    <cfRule type="expression" dxfId="662" priority="2022" stopIfTrue="1">
      <formula>LEN(AP79)&gt;AR$3</formula>
    </cfRule>
    <cfRule type="expression" dxfId="661" priority="2023" stopIfTrue="1">
      <formula>AND(NOT(ISERROR(SEARCH("~*~*~*",AP79,1))),SEARCH("~*~*~*",AP79,1)&gt;0)</formula>
    </cfRule>
  </conditionalFormatting>
  <conditionalFormatting sqref="Z79">
    <cfRule type="expression" dxfId="660" priority="2024" stopIfTrue="1">
      <formula>LEN(Z79)&gt;$AA$3</formula>
    </cfRule>
    <cfRule type="expression" dxfId="659" priority="2025" stopIfTrue="1">
      <formula>AND(NOT(ISERROR(SEARCH("~*~*~*",Z79,1))),SEARCH("~*~*~*",Z79,1)&gt;0)</formula>
    </cfRule>
  </conditionalFormatting>
  <conditionalFormatting sqref="AN79">
    <cfRule type="expression" dxfId="658" priority="2026" stopIfTrue="1">
      <formula>LEN(AN79)&gt;#REF!</formula>
    </cfRule>
    <cfRule type="expression" dxfId="657" priority="2027" stopIfTrue="1">
      <formula>AND(NOT(ISERROR(SEARCH("~*~*~*",AN79,1))),SEARCH("~*~*~*",AN79,1)&gt;0)</formula>
    </cfRule>
  </conditionalFormatting>
  <conditionalFormatting sqref="AO79 AM79">
    <cfRule type="expression" dxfId="656" priority="2028" stopIfTrue="1">
      <formula>LEN(AM79)&gt;32</formula>
    </cfRule>
    <cfRule type="expression" dxfId="655" priority="2029" stopIfTrue="1">
      <formula>AND(NOT(ISERROR(SEARCH("~*~*~*",AM79,1))),SEARCH("~*~*~*",AM79,1)&gt;0)</formula>
    </cfRule>
  </conditionalFormatting>
  <conditionalFormatting sqref="AT79">
    <cfRule type="cellIs" dxfId="654" priority="2030" stopIfTrue="1" operator="greaterThan">
      <formula>1</formula>
    </cfRule>
  </conditionalFormatting>
  <conditionalFormatting sqref="O80:X80">
    <cfRule type="expression" dxfId="653" priority="2003" stopIfTrue="1">
      <formula>E80&lt;&gt;""</formula>
    </cfRule>
    <cfRule type="expression" dxfId="652" priority="2004" stopIfTrue="1">
      <formula>E80=""</formula>
    </cfRule>
  </conditionalFormatting>
  <conditionalFormatting sqref="AP80">
    <cfRule type="expression" dxfId="651" priority="2008" stopIfTrue="1">
      <formula>LEN(AP80)&gt;AR$3</formula>
    </cfRule>
    <cfRule type="expression" dxfId="650" priority="2009" stopIfTrue="1">
      <formula>AND(NOT(ISERROR(SEARCH("~*~*~*",AP80,1))),SEARCH("~*~*~*",AP80,1)&gt;0)</formula>
    </cfRule>
  </conditionalFormatting>
  <conditionalFormatting sqref="Z80">
    <cfRule type="expression" dxfId="649" priority="2010" stopIfTrue="1">
      <formula>LEN(Z80)&gt;$AA$3</formula>
    </cfRule>
    <cfRule type="expression" dxfId="648" priority="2011" stopIfTrue="1">
      <formula>AND(NOT(ISERROR(SEARCH("~*~*~*",Z80,1))),SEARCH("~*~*~*",Z80,1)&gt;0)</formula>
    </cfRule>
  </conditionalFormatting>
  <conditionalFormatting sqref="AN80">
    <cfRule type="expression" dxfId="647" priority="2012" stopIfTrue="1">
      <formula>LEN(AN80)&gt;#REF!</formula>
    </cfRule>
    <cfRule type="expression" dxfId="646" priority="2013" stopIfTrue="1">
      <formula>AND(NOT(ISERROR(SEARCH("~*~*~*",AN80,1))),SEARCH("~*~*~*",AN80,1)&gt;0)</formula>
    </cfRule>
  </conditionalFormatting>
  <conditionalFormatting sqref="AO80 AM80">
    <cfRule type="expression" dxfId="645" priority="2014" stopIfTrue="1">
      <formula>LEN(AM80)&gt;32</formula>
    </cfRule>
    <cfRule type="expression" dxfId="644" priority="2015" stopIfTrue="1">
      <formula>AND(NOT(ISERROR(SEARCH("~*~*~*",AM80,1))),SEARCH("~*~*~*",AM80,1)&gt;0)</formula>
    </cfRule>
  </conditionalFormatting>
  <conditionalFormatting sqref="AT80">
    <cfRule type="cellIs" dxfId="643" priority="2016" stopIfTrue="1" operator="greaterThan">
      <formula>1</formula>
    </cfRule>
  </conditionalFormatting>
  <conditionalFormatting sqref="O55:X55">
    <cfRule type="expression" dxfId="642" priority="1989" stopIfTrue="1">
      <formula>E55&lt;&gt;""</formula>
    </cfRule>
    <cfRule type="expression" dxfId="641" priority="1990" stopIfTrue="1">
      <formula>E55=""</formula>
    </cfRule>
  </conditionalFormatting>
  <conditionalFormatting sqref="AP55">
    <cfRule type="expression" dxfId="640" priority="1994" stopIfTrue="1">
      <formula>LEN(AP55)&gt;AR$3</formula>
    </cfRule>
    <cfRule type="expression" dxfId="639" priority="1995" stopIfTrue="1">
      <formula>AND(NOT(ISERROR(SEARCH("~*~*~*",AP55,1))),SEARCH("~*~*~*",AP55,1)&gt;0)</formula>
    </cfRule>
  </conditionalFormatting>
  <conditionalFormatting sqref="Z55">
    <cfRule type="expression" dxfId="638" priority="1996" stopIfTrue="1">
      <formula>LEN(Z55)&gt;$AA$3</formula>
    </cfRule>
    <cfRule type="expression" dxfId="637" priority="1997" stopIfTrue="1">
      <formula>AND(NOT(ISERROR(SEARCH("~*~*~*",Z55,1))),SEARCH("~*~*~*",Z55,1)&gt;0)</formula>
    </cfRule>
  </conditionalFormatting>
  <conditionalFormatting sqref="AN55">
    <cfRule type="expression" dxfId="636" priority="1998" stopIfTrue="1">
      <formula>LEN(AN55)&gt;#REF!</formula>
    </cfRule>
    <cfRule type="expression" dxfId="635" priority="1999" stopIfTrue="1">
      <formula>AND(NOT(ISERROR(SEARCH("~*~*~*",AN55,1))),SEARCH("~*~*~*",AN55,1)&gt;0)</formula>
    </cfRule>
  </conditionalFormatting>
  <conditionalFormatting sqref="AO55 AM55">
    <cfRule type="expression" dxfId="634" priority="2000" stopIfTrue="1">
      <formula>LEN(AM55)&gt;32</formula>
    </cfRule>
    <cfRule type="expression" dxfId="633" priority="2001" stopIfTrue="1">
      <formula>AND(NOT(ISERROR(SEARCH("~*~*~*",AM55,1))),SEARCH("~*~*~*",AM55,1)&gt;0)</formula>
    </cfRule>
  </conditionalFormatting>
  <conditionalFormatting sqref="AT55">
    <cfRule type="cellIs" dxfId="632" priority="2002" stopIfTrue="1" operator="greaterThan">
      <formula>1</formula>
    </cfRule>
  </conditionalFormatting>
  <conditionalFormatting sqref="O56:X56">
    <cfRule type="expression" dxfId="631" priority="1975" stopIfTrue="1">
      <formula>E56&lt;&gt;""</formula>
    </cfRule>
    <cfRule type="expression" dxfId="630" priority="1976" stopIfTrue="1">
      <formula>E56=""</formula>
    </cfRule>
  </conditionalFormatting>
  <conditionalFormatting sqref="AP56">
    <cfRule type="expression" dxfId="629" priority="1980" stopIfTrue="1">
      <formula>LEN(AP56)&gt;AR$3</formula>
    </cfRule>
    <cfRule type="expression" dxfId="628" priority="1981" stopIfTrue="1">
      <formula>AND(NOT(ISERROR(SEARCH("~*~*~*",AP56,1))),SEARCH("~*~*~*",AP56,1)&gt;0)</formula>
    </cfRule>
  </conditionalFormatting>
  <conditionalFormatting sqref="Z56">
    <cfRule type="expression" dxfId="627" priority="1982" stopIfTrue="1">
      <formula>LEN(Z56)&gt;$AA$3</formula>
    </cfRule>
    <cfRule type="expression" dxfId="626" priority="1983" stopIfTrue="1">
      <formula>AND(NOT(ISERROR(SEARCH("~*~*~*",Z56,1))),SEARCH("~*~*~*",Z56,1)&gt;0)</formula>
    </cfRule>
  </conditionalFormatting>
  <conditionalFormatting sqref="AN56">
    <cfRule type="expression" dxfId="625" priority="1984" stopIfTrue="1">
      <formula>LEN(AN56)&gt;#REF!</formula>
    </cfRule>
    <cfRule type="expression" dxfId="624" priority="1985" stopIfTrue="1">
      <formula>AND(NOT(ISERROR(SEARCH("~*~*~*",AN56,1))),SEARCH("~*~*~*",AN56,1)&gt;0)</formula>
    </cfRule>
  </conditionalFormatting>
  <conditionalFormatting sqref="AO56 AM56">
    <cfRule type="expression" dxfId="623" priority="1986" stopIfTrue="1">
      <formula>LEN(AM56)&gt;32</formula>
    </cfRule>
    <cfRule type="expression" dxfId="622" priority="1987" stopIfTrue="1">
      <formula>AND(NOT(ISERROR(SEARCH("~*~*~*",AM56,1))),SEARCH("~*~*~*",AM56,1)&gt;0)</formula>
    </cfRule>
  </conditionalFormatting>
  <conditionalFormatting sqref="AT56">
    <cfRule type="cellIs" dxfId="621" priority="1988" stopIfTrue="1" operator="greaterThan">
      <formula>1</formula>
    </cfRule>
  </conditionalFormatting>
  <conditionalFormatting sqref="O57:X57">
    <cfRule type="expression" dxfId="620" priority="1961" stopIfTrue="1">
      <formula>E57&lt;&gt;""</formula>
    </cfRule>
    <cfRule type="expression" dxfId="619" priority="1962" stopIfTrue="1">
      <formula>E57=""</formula>
    </cfRule>
  </conditionalFormatting>
  <conditionalFormatting sqref="AP57">
    <cfRule type="expression" dxfId="618" priority="1966" stopIfTrue="1">
      <formula>LEN(AP57)&gt;AR$3</formula>
    </cfRule>
    <cfRule type="expression" dxfId="617" priority="1967" stopIfTrue="1">
      <formula>AND(NOT(ISERROR(SEARCH("~*~*~*",AP57,1))),SEARCH("~*~*~*",AP57,1)&gt;0)</formula>
    </cfRule>
  </conditionalFormatting>
  <conditionalFormatting sqref="Z57">
    <cfRule type="expression" dxfId="616" priority="1968" stopIfTrue="1">
      <formula>LEN(Z57)&gt;$AA$3</formula>
    </cfRule>
    <cfRule type="expression" dxfId="615" priority="1969" stopIfTrue="1">
      <formula>AND(NOT(ISERROR(SEARCH("~*~*~*",Z57,1))),SEARCH("~*~*~*",Z57,1)&gt;0)</formula>
    </cfRule>
  </conditionalFormatting>
  <conditionalFormatting sqref="AN57">
    <cfRule type="expression" dxfId="614" priority="1970" stopIfTrue="1">
      <formula>LEN(AN57)&gt;#REF!</formula>
    </cfRule>
    <cfRule type="expression" dxfId="613" priority="1971" stopIfTrue="1">
      <formula>AND(NOT(ISERROR(SEARCH("~*~*~*",AN57,1))),SEARCH("~*~*~*",AN57,1)&gt;0)</formula>
    </cfRule>
  </conditionalFormatting>
  <conditionalFormatting sqref="AO57 AM57">
    <cfRule type="expression" dxfId="612" priority="1972" stopIfTrue="1">
      <formula>LEN(AM57)&gt;32</formula>
    </cfRule>
    <cfRule type="expression" dxfId="611" priority="1973" stopIfTrue="1">
      <formula>AND(NOT(ISERROR(SEARCH("~*~*~*",AM57,1))),SEARCH("~*~*~*",AM57,1)&gt;0)</formula>
    </cfRule>
  </conditionalFormatting>
  <conditionalFormatting sqref="AT57">
    <cfRule type="cellIs" dxfId="610" priority="1974" stopIfTrue="1" operator="greaterThan">
      <formula>1</formula>
    </cfRule>
  </conditionalFormatting>
  <conditionalFormatting sqref="O58:X58">
    <cfRule type="expression" dxfId="609" priority="1947" stopIfTrue="1">
      <formula>E58&lt;&gt;""</formula>
    </cfRule>
    <cfRule type="expression" dxfId="608" priority="1948" stopIfTrue="1">
      <formula>E58=""</formula>
    </cfRule>
  </conditionalFormatting>
  <conditionalFormatting sqref="AP58">
    <cfRule type="expression" dxfId="607" priority="1952" stopIfTrue="1">
      <formula>LEN(AP58)&gt;AR$3</formula>
    </cfRule>
    <cfRule type="expression" dxfId="606" priority="1953" stopIfTrue="1">
      <formula>AND(NOT(ISERROR(SEARCH("~*~*~*",AP58,1))),SEARCH("~*~*~*",AP58,1)&gt;0)</formula>
    </cfRule>
  </conditionalFormatting>
  <conditionalFormatting sqref="Z58">
    <cfRule type="expression" dxfId="605" priority="1954" stopIfTrue="1">
      <formula>LEN(Z58)&gt;$AA$3</formula>
    </cfRule>
    <cfRule type="expression" dxfId="604" priority="1955" stopIfTrue="1">
      <formula>AND(NOT(ISERROR(SEARCH("~*~*~*",Z58,1))),SEARCH("~*~*~*",Z58,1)&gt;0)</formula>
    </cfRule>
  </conditionalFormatting>
  <conditionalFormatting sqref="AN58">
    <cfRule type="expression" dxfId="603" priority="1956" stopIfTrue="1">
      <formula>LEN(AN58)&gt;#REF!</formula>
    </cfRule>
    <cfRule type="expression" dxfId="602" priority="1957" stopIfTrue="1">
      <formula>AND(NOT(ISERROR(SEARCH("~*~*~*",AN58,1))),SEARCH("~*~*~*",AN58,1)&gt;0)</formula>
    </cfRule>
  </conditionalFormatting>
  <conditionalFormatting sqref="AO58 AM58">
    <cfRule type="expression" dxfId="601" priority="1958" stopIfTrue="1">
      <formula>LEN(AM58)&gt;32</formula>
    </cfRule>
    <cfRule type="expression" dxfId="600" priority="1959" stopIfTrue="1">
      <formula>AND(NOT(ISERROR(SEARCH("~*~*~*",AM58,1))),SEARCH("~*~*~*",AM58,1)&gt;0)</formula>
    </cfRule>
  </conditionalFormatting>
  <conditionalFormatting sqref="AT58">
    <cfRule type="cellIs" dxfId="599" priority="1960" stopIfTrue="1" operator="greaterThan">
      <formula>1</formula>
    </cfRule>
  </conditionalFormatting>
  <conditionalFormatting sqref="O59:X59">
    <cfRule type="expression" dxfId="598" priority="1933" stopIfTrue="1">
      <formula>E59&lt;&gt;""</formula>
    </cfRule>
    <cfRule type="expression" dxfId="597" priority="1934" stopIfTrue="1">
      <formula>E59=""</formula>
    </cfRule>
  </conditionalFormatting>
  <conditionalFormatting sqref="AP59">
    <cfRule type="expression" dxfId="596" priority="1938" stopIfTrue="1">
      <formula>LEN(AP59)&gt;AR$3</formula>
    </cfRule>
    <cfRule type="expression" dxfId="595" priority="1939" stopIfTrue="1">
      <formula>AND(NOT(ISERROR(SEARCH("~*~*~*",AP59,1))),SEARCH("~*~*~*",AP59,1)&gt;0)</formula>
    </cfRule>
  </conditionalFormatting>
  <conditionalFormatting sqref="Z59">
    <cfRule type="expression" dxfId="594" priority="1940" stopIfTrue="1">
      <formula>LEN(Z59)&gt;$AA$3</formula>
    </cfRule>
    <cfRule type="expression" dxfId="593" priority="1941" stopIfTrue="1">
      <formula>AND(NOT(ISERROR(SEARCH("~*~*~*",Z59,1))),SEARCH("~*~*~*",Z59,1)&gt;0)</formula>
    </cfRule>
  </conditionalFormatting>
  <conditionalFormatting sqref="AN59">
    <cfRule type="expression" dxfId="592" priority="1942" stopIfTrue="1">
      <formula>LEN(AN59)&gt;#REF!</formula>
    </cfRule>
    <cfRule type="expression" dxfId="591" priority="1943" stopIfTrue="1">
      <formula>AND(NOT(ISERROR(SEARCH("~*~*~*",AN59,1))),SEARCH("~*~*~*",AN59,1)&gt;0)</formula>
    </cfRule>
  </conditionalFormatting>
  <conditionalFormatting sqref="AO59 AM59">
    <cfRule type="expression" dxfId="590" priority="1944" stopIfTrue="1">
      <formula>LEN(AM59)&gt;32</formula>
    </cfRule>
    <cfRule type="expression" dxfId="589" priority="1945" stopIfTrue="1">
      <formula>AND(NOT(ISERROR(SEARCH("~*~*~*",AM59,1))),SEARCH("~*~*~*",AM59,1)&gt;0)</formula>
    </cfRule>
  </conditionalFormatting>
  <conditionalFormatting sqref="AT59">
    <cfRule type="cellIs" dxfId="588" priority="1946" stopIfTrue="1" operator="greaterThan">
      <formula>1</formula>
    </cfRule>
  </conditionalFormatting>
  <conditionalFormatting sqref="O60:X60">
    <cfRule type="expression" dxfId="587" priority="1919" stopIfTrue="1">
      <formula>E60&lt;&gt;""</formula>
    </cfRule>
    <cfRule type="expression" dxfId="586" priority="1920" stopIfTrue="1">
      <formula>E60=""</formula>
    </cfRule>
  </conditionalFormatting>
  <conditionalFormatting sqref="AP60">
    <cfRule type="expression" dxfId="585" priority="1924" stopIfTrue="1">
      <formula>LEN(AP60)&gt;AR$3</formula>
    </cfRule>
    <cfRule type="expression" dxfId="584" priority="1925" stopIfTrue="1">
      <formula>AND(NOT(ISERROR(SEARCH("~*~*~*",AP60,1))),SEARCH("~*~*~*",AP60,1)&gt;0)</formula>
    </cfRule>
  </conditionalFormatting>
  <conditionalFormatting sqref="Z60">
    <cfRule type="expression" dxfId="583" priority="1926" stopIfTrue="1">
      <formula>LEN(Z60)&gt;$AA$3</formula>
    </cfRule>
    <cfRule type="expression" dxfId="582" priority="1927" stopIfTrue="1">
      <formula>AND(NOT(ISERROR(SEARCH("~*~*~*",Z60,1))),SEARCH("~*~*~*",Z60,1)&gt;0)</formula>
    </cfRule>
  </conditionalFormatting>
  <conditionalFormatting sqref="AN60">
    <cfRule type="expression" dxfId="581" priority="1928" stopIfTrue="1">
      <formula>LEN(AN60)&gt;#REF!</formula>
    </cfRule>
    <cfRule type="expression" dxfId="580" priority="1929" stopIfTrue="1">
      <formula>AND(NOT(ISERROR(SEARCH("~*~*~*",AN60,1))),SEARCH("~*~*~*",AN60,1)&gt;0)</formula>
    </cfRule>
  </conditionalFormatting>
  <conditionalFormatting sqref="AO60 AM60">
    <cfRule type="expression" dxfId="579" priority="1930" stopIfTrue="1">
      <formula>LEN(AM60)&gt;32</formula>
    </cfRule>
    <cfRule type="expression" dxfId="578" priority="1931" stopIfTrue="1">
      <formula>AND(NOT(ISERROR(SEARCH("~*~*~*",AM60,1))),SEARCH("~*~*~*",AM60,1)&gt;0)</formula>
    </cfRule>
  </conditionalFormatting>
  <conditionalFormatting sqref="AT60">
    <cfRule type="cellIs" dxfId="577" priority="1932" stopIfTrue="1" operator="greaterThan">
      <formula>1</formula>
    </cfRule>
  </conditionalFormatting>
  <conditionalFormatting sqref="O61:X61">
    <cfRule type="expression" dxfId="576" priority="1905" stopIfTrue="1">
      <formula>E61&lt;&gt;""</formula>
    </cfRule>
    <cfRule type="expression" dxfId="575" priority="1906" stopIfTrue="1">
      <formula>E61=""</formula>
    </cfRule>
  </conditionalFormatting>
  <conditionalFormatting sqref="AP61">
    <cfRule type="expression" dxfId="574" priority="1910" stopIfTrue="1">
      <formula>LEN(AP61)&gt;AR$3</formula>
    </cfRule>
    <cfRule type="expression" dxfId="573" priority="1911" stopIfTrue="1">
      <formula>AND(NOT(ISERROR(SEARCH("~*~*~*",AP61,1))),SEARCH("~*~*~*",AP61,1)&gt;0)</formula>
    </cfRule>
  </conditionalFormatting>
  <conditionalFormatting sqref="Z61">
    <cfRule type="expression" dxfId="572" priority="1912" stopIfTrue="1">
      <formula>LEN(Z61)&gt;$AA$3</formula>
    </cfRule>
    <cfRule type="expression" dxfId="571" priority="1913" stopIfTrue="1">
      <formula>AND(NOT(ISERROR(SEARCH("~*~*~*",Z61,1))),SEARCH("~*~*~*",Z61,1)&gt;0)</formula>
    </cfRule>
  </conditionalFormatting>
  <conditionalFormatting sqref="AN61">
    <cfRule type="expression" dxfId="570" priority="1914" stopIfTrue="1">
      <formula>LEN(AN61)&gt;#REF!</formula>
    </cfRule>
    <cfRule type="expression" dxfId="569" priority="1915" stopIfTrue="1">
      <formula>AND(NOT(ISERROR(SEARCH("~*~*~*",AN61,1))),SEARCH("~*~*~*",AN61,1)&gt;0)</formula>
    </cfRule>
  </conditionalFormatting>
  <conditionalFormatting sqref="AO61 AM61">
    <cfRule type="expression" dxfId="568" priority="1916" stopIfTrue="1">
      <formula>LEN(AM61)&gt;32</formula>
    </cfRule>
    <cfRule type="expression" dxfId="567" priority="1917" stopIfTrue="1">
      <formula>AND(NOT(ISERROR(SEARCH("~*~*~*",AM61,1))),SEARCH("~*~*~*",AM61,1)&gt;0)</formula>
    </cfRule>
  </conditionalFormatting>
  <conditionalFormatting sqref="AT61">
    <cfRule type="cellIs" dxfId="566" priority="1918" stopIfTrue="1" operator="greaterThan">
      <formula>1</formula>
    </cfRule>
  </conditionalFormatting>
  <conditionalFormatting sqref="O62:X62">
    <cfRule type="expression" dxfId="565" priority="1891" stopIfTrue="1">
      <formula>E62&lt;&gt;""</formula>
    </cfRule>
    <cfRule type="expression" dxfId="564" priority="1892" stopIfTrue="1">
      <formula>E62=""</formula>
    </cfRule>
  </conditionalFormatting>
  <conditionalFormatting sqref="AP62">
    <cfRule type="expression" dxfId="563" priority="1896" stopIfTrue="1">
      <formula>LEN(AP62)&gt;AR$3</formula>
    </cfRule>
    <cfRule type="expression" dxfId="562" priority="1897" stopIfTrue="1">
      <formula>AND(NOT(ISERROR(SEARCH("~*~*~*",AP62,1))),SEARCH("~*~*~*",AP62,1)&gt;0)</formula>
    </cfRule>
  </conditionalFormatting>
  <conditionalFormatting sqref="Z62">
    <cfRule type="expression" dxfId="561" priority="1898" stopIfTrue="1">
      <formula>LEN(Z62)&gt;$AA$3</formula>
    </cfRule>
    <cfRule type="expression" dxfId="560" priority="1899" stopIfTrue="1">
      <formula>AND(NOT(ISERROR(SEARCH("~*~*~*",Z62,1))),SEARCH("~*~*~*",Z62,1)&gt;0)</formula>
    </cfRule>
  </conditionalFormatting>
  <conditionalFormatting sqref="AN62">
    <cfRule type="expression" dxfId="559" priority="1900" stopIfTrue="1">
      <formula>LEN(AN62)&gt;#REF!</formula>
    </cfRule>
    <cfRule type="expression" dxfId="558" priority="1901" stopIfTrue="1">
      <formula>AND(NOT(ISERROR(SEARCH("~*~*~*",AN62,1))),SEARCH("~*~*~*",AN62,1)&gt;0)</formula>
    </cfRule>
  </conditionalFormatting>
  <conditionalFormatting sqref="AO62 AM62">
    <cfRule type="expression" dxfId="557" priority="1902" stopIfTrue="1">
      <formula>LEN(AM62)&gt;32</formula>
    </cfRule>
    <cfRule type="expression" dxfId="556" priority="1903" stopIfTrue="1">
      <formula>AND(NOT(ISERROR(SEARCH("~*~*~*",AM62,1))),SEARCH("~*~*~*",AM62,1)&gt;0)</formula>
    </cfRule>
  </conditionalFormatting>
  <conditionalFormatting sqref="AT62">
    <cfRule type="cellIs" dxfId="555" priority="1904" stopIfTrue="1" operator="greaterThan">
      <formula>1</formula>
    </cfRule>
  </conditionalFormatting>
  <conditionalFormatting sqref="O63:X63">
    <cfRule type="expression" dxfId="554" priority="1877" stopIfTrue="1">
      <formula>E63&lt;&gt;""</formula>
    </cfRule>
    <cfRule type="expression" dxfId="553" priority="1878" stopIfTrue="1">
      <formula>E63=""</formula>
    </cfRule>
  </conditionalFormatting>
  <conditionalFormatting sqref="AP63">
    <cfRule type="expression" dxfId="552" priority="1882" stopIfTrue="1">
      <formula>LEN(AP63)&gt;AR$3</formula>
    </cfRule>
    <cfRule type="expression" dxfId="551" priority="1883" stopIfTrue="1">
      <formula>AND(NOT(ISERROR(SEARCH("~*~*~*",AP63,1))),SEARCH("~*~*~*",AP63,1)&gt;0)</formula>
    </cfRule>
  </conditionalFormatting>
  <conditionalFormatting sqref="Z63">
    <cfRule type="expression" dxfId="550" priority="1884" stopIfTrue="1">
      <formula>LEN(Z63)&gt;$AA$3</formula>
    </cfRule>
    <cfRule type="expression" dxfId="549" priority="1885" stopIfTrue="1">
      <formula>AND(NOT(ISERROR(SEARCH("~*~*~*",Z63,1))),SEARCH("~*~*~*",Z63,1)&gt;0)</formula>
    </cfRule>
  </conditionalFormatting>
  <conditionalFormatting sqref="AN63">
    <cfRule type="expression" dxfId="548" priority="1886" stopIfTrue="1">
      <formula>LEN(AN63)&gt;#REF!</formula>
    </cfRule>
    <cfRule type="expression" dxfId="547" priority="1887" stopIfTrue="1">
      <formula>AND(NOT(ISERROR(SEARCH("~*~*~*",AN63,1))),SEARCH("~*~*~*",AN63,1)&gt;0)</formula>
    </cfRule>
  </conditionalFormatting>
  <conditionalFormatting sqref="AO63 AM63">
    <cfRule type="expression" dxfId="546" priority="1888" stopIfTrue="1">
      <formula>LEN(AM63)&gt;32</formula>
    </cfRule>
    <cfRule type="expression" dxfId="545" priority="1889" stopIfTrue="1">
      <formula>AND(NOT(ISERROR(SEARCH("~*~*~*",AM63,1))),SEARCH("~*~*~*",AM63,1)&gt;0)</formula>
    </cfRule>
  </conditionalFormatting>
  <conditionalFormatting sqref="AT63">
    <cfRule type="cellIs" dxfId="544" priority="1890" stopIfTrue="1" operator="greaterThan">
      <formula>1</formula>
    </cfRule>
  </conditionalFormatting>
  <conditionalFormatting sqref="O64:X64">
    <cfRule type="expression" dxfId="543" priority="1863" stopIfTrue="1">
      <formula>E64&lt;&gt;""</formula>
    </cfRule>
    <cfRule type="expression" dxfId="542" priority="1864" stopIfTrue="1">
      <formula>E64=""</formula>
    </cfRule>
  </conditionalFormatting>
  <conditionalFormatting sqref="AP64">
    <cfRule type="expression" dxfId="541" priority="1868" stopIfTrue="1">
      <formula>LEN(AP64)&gt;AR$3</formula>
    </cfRule>
    <cfRule type="expression" dxfId="540" priority="1869" stopIfTrue="1">
      <formula>AND(NOT(ISERROR(SEARCH("~*~*~*",AP64,1))),SEARCH("~*~*~*",AP64,1)&gt;0)</formula>
    </cfRule>
  </conditionalFormatting>
  <conditionalFormatting sqref="Z64">
    <cfRule type="expression" dxfId="539" priority="1870" stopIfTrue="1">
      <formula>LEN(Z64)&gt;$AA$3</formula>
    </cfRule>
    <cfRule type="expression" dxfId="538" priority="1871" stopIfTrue="1">
      <formula>AND(NOT(ISERROR(SEARCH("~*~*~*",Z64,1))),SEARCH("~*~*~*",Z64,1)&gt;0)</formula>
    </cfRule>
  </conditionalFormatting>
  <conditionalFormatting sqref="AN64">
    <cfRule type="expression" dxfId="537" priority="1872" stopIfTrue="1">
      <formula>LEN(AN64)&gt;#REF!</formula>
    </cfRule>
    <cfRule type="expression" dxfId="536" priority="1873" stopIfTrue="1">
      <formula>AND(NOT(ISERROR(SEARCH("~*~*~*",AN64,1))),SEARCH("~*~*~*",AN64,1)&gt;0)</formula>
    </cfRule>
  </conditionalFormatting>
  <conditionalFormatting sqref="AO64 AM64">
    <cfRule type="expression" dxfId="535" priority="1874" stopIfTrue="1">
      <formula>LEN(AM64)&gt;32</formula>
    </cfRule>
    <cfRule type="expression" dxfId="534" priority="1875" stopIfTrue="1">
      <formula>AND(NOT(ISERROR(SEARCH("~*~*~*",AM64,1))),SEARCH("~*~*~*",AM64,1)&gt;0)</formula>
    </cfRule>
  </conditionalFormatting>
  <conditionalFormatting sqref="AT64">
    <cfRule type="cellIs" dxfId="533" priority="1876" stopIfTrue="1" operator="greaterThan">
      <formula>1</formula>
    </cfRule>
  </conditionalFormatting>
  <conditionalFormatting sqref="O65:X65">
    <cfRule type="expression" dxfId="532" priority="1849" stopIfTrue="1">
      <formula>E65&lt;&gt;""</formula>
    </cfRule>
    <cfRule type="expression" dxfId="531" priority="1850" stopIfTrue="1">
      <formula>E65=""</formula>
    </cfRule>
  </conditionalFormatting>
  <conditionalFormatting sqref="AP65">
    <cfRule type="expression" dxfId="530" priority="1854" stopIfTrue="1">
      <formula>LEN(AP65)&gt;AR$3</formula>
    </cfRule>
    <cfRule type="expression" dxfId="529" priority="1855" stopIfTrue="1">
      <formula>AND(NOT(ISERROR(SEARCH("~*~*~*",AP65,1))),SEARCH("~*~*~*",AP65,1)&gt;0)</formula>
    </cfRule>
  </conditionalFormatting>
  <conditionalFormatting sqref="Z65">
    <cfRule type="expression" dxfId="528" priority="1856" stopIfTrue="1">
      <formula>LEN(Z65)&gt;$AA$3</formula>
    </cfRule>
    <cfRule type="expression" dxfId="527" priority="1857" stopIfTrue="1">
      <formula>AND(NOT(ISERROR(SEARCH("~*~*~*",Z65,1))),SEARCH("~*~*~*",Z65,1)&gt;0)</formula>
    </cfRule>
  </conditionalFormatting>
  <conditionalFormatting sqref="AN65">
    <cfRule type="expression" dxfId="526" priority="1858" stopIfTrue="1">
      <formula>LEN(AN65)&gt;#REF!</formula>
    </cfRule>
    <cfRule type="expression" dxfId="525" priority="1859" stopIfTrue="1">
      <formula>AND(NOT(ISERROR(SEARCH("~*~*~*",AN65,1))),SEARCH("~*~*~*",AN65,1)&gt;0)</formula>
    </cfRule>
  </conditionalFormatting>
  <conditionalFormatting sqref="AO65 AM65">
    <cfRule type="expression" dxfId="524" priority="1860" stopIfTrue="1">
      <formula>LEN(AM65)&gt;32</formula>
    </cfRule>
    <cfRule type="expression" dxfId="523" priority="1861" stopIfTrue="1">
      <formula>AND(NOT(ISERROR(SEARCH("~*~*~*",AM65,1))),SEARCH("~*~*~*",AM65,1)&gt;0)</formula>
    </cfRule>
  </conditionalFormatting>
  <conditionalFormatting sqref="AT65">
    <cfRule type="cellIs" dxfId="522" priority="1862" stopIfTrue="1" operator="greaterThan">
      <formula>1</formula>
    </cfRule>
  </conditionalFormatting>
  <conditionalFormatting sqref="O66:X66">
    <cfRule type="expression" dxfId="521" priority="1835" stopIfTrue="1">
      <formula>E66&lt;&gt;""</formula>
    </cfRule>
    <cfRule type="expression" dxfId="520" priority="1836" stopIfTrue="1">
      <formula>E66=""</formula>
    </cfRule>
  </conditionalFormatting>
  <conditionalFormatting sqref="AP66">
    <cfRule type="expression" dxfId="519" priority="1840" stopIfTrue="1">
      <formula>LEN(AP66)&gt;AR$3</formula>
    </cfRule>
    <cfRule type="expression" dxfId="518" priority="1841" stopIfTrue="1">
      <formula>AND(NOT(ISERROR(SEARCH("~*~*~*",AP66,1))),SEARCH("~*~*~*",AP66,1)&gt;0)</formula>
    </cfRule>
  </conditionalFormatting>
  <conditionalFormatting sqref="Z66">
    <cfRule type="expression" dxfId="517" priority="1842" stopIfTrue="1">
      <formula>LEN(Z66)&gt;$AA$3</formula>
    </cfRule>
    <cfRule type="expression" dxfId="516" priority="1843" stopIfTrue="1">
      <formula>AND(NOT(ISERROR(SEARCH("~*~*~*",Z66,1))),SEARCH("~*~*~*",Z66,1)&gt;0)</formula>
    </cfRule>
  </conditionalFormatting>
  <conditionalFormatting sqref="AN66">
    <cfRule type="expression" dxfId="515" priority="1844" stopIfTrue="1">
      <formula>LEN(AN66)&gt;#REF!</formula>
    </cfRule>
    <cfRule type="expression" dxfId="514" priority="1845" stopIfTrue="1">
      <formula>AND(NOT(ISERROR(SEARCH("~*~*~*",AN66,1))),SEARCH("~*~*~*",AN66,1)&gt;0)</formula>
    </cfRule>
  </conditionalFormatting>
  <conditionalFormatting sqref="AO66 AM66">
    <cfRule type="expression" dxfId="513" priority="1846" stopIfTrue="1">
      <formula>LEN(AM66)&gt;32</formula>
    </cfRule>
    <cfRule type="expression" dxfId="512" priority="1847" stopIfTrue="1">
      <formula>AND(NOT(ISERROR(SEARCH("~*~*~*",AM66,1))),SEARCH("~*~*~*",AM66,1)&gt;0)</formula>
    </cfRule>
  </conditionalFormatting>
  <conditionalFormatting sqref="AT66">
    <cfRule type="cellIs" dxfId="511" priority="1848" stopIfTrue="1" operator="greaterThan">
      <formula>1</formula>
    </cfRule>
  </conditionalFormatting>
  <conditionalFormatting sqref="O67:X67">
    <cfRule type="expression" dxfId="510" priority="1821" stopIfTrue="1">
      <formula>E67&lt;&gt;""</formula>
    </cfRule>
    <cfRule type="expression" dxfId="509" priority="1822" stopIfTrue="1">
      <formula>E67=""</formula>
    </cfRule>
  </conditionalFormatting>
  <conditionalFormatting sqref="AP67">
    <cfRule type="expression" dxfId="508" priority="1826" stopIfTrue="1">
      <formula>LEN(AP67)&gt;AR$3</formula>
    </cfRule>
    <cfRule type="expression" dxfId="507" priority="1827" stopIfTrue="1">
      <formula>AND(NOT(ISERROR(SEARCH("~*~*~*",AP67,1))),SEARCH("~*~*~*",AP67,1)&gt;0)</formula>
    </cfRule>
  </conditionalFormatting>
  <conditionalFormatting sqref="Z67">
    <cfRule type="expression" dxfId="506" priority="1828" stopIfTrue="1">
      <formula>LEN(Z67)&gt;$AA$3</formula>
    </cfRule>
    <cfRule type="expression" dxfId="505" priority="1829" stopIfTrue="1">
      <formula>AND(NOT(ISERROR(SEARCH("~*~*~*",Z67,1))),SEARCH("~*~*~*",Z67,1)&gt;0)</formula>
    </cfRule>
  </conditionalFormatting>
  <conditionalFormatting sqref="AN67">
    <cfRule type="expression" dxfId="504" priority="1830" stopIfTrue="1">
      <formula>LEN(AN67)&gt;#REF!</formula>
    </cfRule>
    <cfRule type="expression" dxfId="503" priority="1831" stopIfTrue="1">
      <formula>AND(NOT(ISERROR(SEARCH("~*~*~*",AN67,1))),SEARCH("~*~*~*",AN67,1)&gt;0)</formula>
    </cfRule>
  </conditionalFormatting>
  <conditionalFormatting sqref="AO67 AM67">
    <cfRule type="expression" dxfId="502" priority="1832" stopIfTrue="1">
      <formula>LEN(AM67)&gt;32</formula>
    </cfRule>
    <cfRule type="expression" dxfId="501" priority="1833" stopIfTrue="1">
      <formula>AND(NOT(ISERROR(SEARCH("~*~*~*",AM67,1))),SEARCH("~*~*~*",AM67,1)&gt;0)</formula>
    </cfRule>
  </conditionalFormatting>
  <conditionalFormatting sqref="AT67">
    <cfRule type="cellIs" dxfId="500" priority="1834" stopIfTrue="1" operator="greaterThan">
      <formula>1</formula>
    </cfRule>
  </conditionalFormatting>
  <conditionalFormatting sqref="O42:X42">
    <cfRule type="expression" dxfId="499" priority="1807" stopIfTrue="1">
      <formula>E42&lt;&gt;""</formula>
    </cfRule>
    <cfRule type="expression" dxfId="498" priority="1808" stopIfTrue="1">
      <formula>E42=""</formula>
    </cfRule>
  </conditionalFormatting>
  <conditionalFormatting sqref="AP42">
    <cfRule type="expression" dxfId="497" priority="1812" stopIfTrue="1">
      <formula>LEN(AP42)&gt;AR$3</formula>
    </cfRule>
    <cfRule type="expression" dxfId="496" priority="1813" stopIfTrue="1">
      <formula>AND(NOT(ISERROR(SEARCH("~*~*~*",AP42,1))),SEARCH("~*~*~*",AP42,1)&gt;0)</formula>
    </cfRule>
  </conditionalFormatting>
  <conditionalFormatting sqref="Z42">
    <cfRule type="expression" dxfId="495" priority="1814" stopIfTrue="1">
      <formula>LEN(Z42)&gt;$AA$3</formula>
    </cfRule>
    <cfRule type="expression" dxfId="494" priority="1815" stopIfTrue="1">
      <formula>AND(NOT(ISERROR(SEARCH("~*~*~*",Z42,1))),SEARCH("~*~*~*",Z42,1)&gt;0)</formula>
    </cfRule>
  </conditionalFormatting>
  <conditionalFormatting sqref="AN42">
    <cfRule type="expression" dxfId="493" priority="1816" stopIfTrue="1">
      <formula>LEN(AN42)&gt;#REF!</formula>
    </cfRule>
    <cfRule type="expression" dxfId="492" priority="1817" stopIfTrue="1">
      <formula>AND(NOT(ISERROR(SEARCH("~*~*~*",AN42,1))),SEARCH("~*~*~*",AN42,1)&gt;0)</formula>
    </cfRule>
  </conditionalFormatting>
  <conditionalFormatting sqref="AO42 AM42">
    <cfRule type="expression" dxfId="491" priority="1818" stopIfTrue="1">
      <formula>LEN(AM42)&gt;32</formula>
    </cfRule>
    <cfRule type="expression" dxfId="490" priority="1819" stopIfTrue="1">
      <formula>AND(NOT(ISERROR(SEARCH("~*~*~*",AM42,1))),SEARCH("~*~*~*",AM42,1)&gt;0)</formula>
    </cfRule>
  </conditionalFormatting>
  <conditionalFormatting sqref="AT42">
    <cfRule type="cellIs" dxfId="489" priority="1820" stopIfTrue="1" operator="greaterThan">
      <formula>1</formula>
    </cfRule>
  </conditionalFormatting>
  <conditionalFormatting sqref="O43:X43">
    <cfRule type="expression" dxfId="488" priority="1793" stopIfTrue="1">
      <formula>E43&lt;&gt;""</formula>
    </cfRule>
    <cfRule type="expression" dxfId="487" priority="1794" stopIfTrue="1">
      <formula>E43=""</formula>
    </cfRule>
  </conditionalFormatting>
  <conditionalFormatting sqref="AP43">
    <cfRule type="expression" dxfId="486" priority="1798" stopIfTrue="1">
      <formula>LEN(AP43)&gt;AR$3</formula>
    </cfRule>
    <cfRule type="expression" dxfId="485" priority="1799" stopIfTrue="1">
      <formula>AND(NOT(ISERROR(SEARCH("~*~*~*",AP43,1))),SEARCH("~*~*~*",AP43,1)&gt;0)</formula>
    </cfRule>
  </conditionalFormatting>
  <conditionalFormatting sqref="Z43">
    <cfRule type="expression" dxfId="484" priority="1800" stopIfTrue="1">
      <formula>LEN(Z43)&gt;$AA$3</formula>
    </cfRule>
    <cfRule type="expression" dxfId="483" priority="1801" stopIfTrue="1">
      <formula>AND(NOT(ISERROR(SEARCH("~*~*~*",Z43,1))),SEARCH("~*~*~*",Z43,1)&gt;0)</formula>
    </cfRule>
  </conditionalFormatting>
  <conditionalFormatting sqref="AN43">
    <cfRule type="expression" dxfId="482" priority="1802" stopIfTrue="1">
      <formula>LEN(AN43)&gt;#REF!</formula>
    </cfRule>
    <cfRule type="expression" dxfId="481" priority="1803" stopIfTrue="1">
      <formula>AND(NOT(ISERROR(SEARCH("~*~*~*",AN43,1))),SEARCH("~*~*~*",AN43,1)&gt;0)</formula>
    </cfRule>
  </conditionalFormatting>
  <conditionalFormatting sqref="AO43 AM43">
    <cfRule type="expression" dxfId="480" priority="1804" stopIfTrue="1">
      <formula>LEN(AM43)&gt;32</formula>
    </cfRule>
    <cfRule type="expression" dxfId="479" priority="1805" stopIfTrue="1">
      <formula>AND(NOT(ISERROR(SEARCH("~*~*~*",AM43,1))),SEARCH("~*~*~*",AM43,1)&gt;0)</formula>
    </cfRule>
  </conditionalFormatting>
  <conditionalFormatting sqref="AT43">
    <cfRule type="cellIs" dxfId="478" priority="1806" stopIfTrue="1" operator="greaterThan">
      <formula>1</formula>
    </cfRule>
  </conditionalFormatting>
  <conditionalFormatting sqref="O44:X44">
    <cfRule type="expression" dxfId="477" priority="1779" stopIfTrue="1">
      <formula>E44&lt;&gt;""</formula>
    </cfRule>
    <cfRule type="expression" dxfId="476" priority="1780" stopIfTrue="1">
      <formula>E44=""</formula>
    </cfRule>
  </conditionalFormatting>
  <conditionalFormatting sqref="AP44">
    <cfRule type="expression" dxfId="475" priority="1784" stopIfTrue="1">
      <formula>LEN(AP44)&gt;AR$3</formula>
    </cfRule>
    <cfRule type="expression" dxfId="474" priority="1785" stopIfTrue="1">
      <formula>AND(NOT(ISERROR(SEARCH("~*~*~*",AP44,1))),SEARCH("~*~*~*",AP44,1)&gt;0)</formula>
    </cfRule>
  </conditionalFormatting>
  <conditionalFormatting sqref="Z44">
    <cfRule type="expression" dxfId="473" priority="1786" stopIfTrue="1">
      <formula>LEN(Z44)&gt;$AA$3</formula>
    </cfRule>
    <cfRule type="expression" dxfId="472" priority="1787" stopIfTrue="1">
      <formula>AND(NOT(ISERROR(SEARCH("~*~*~*",Z44,1))),SEARCH("~*~*~*",Z44,1)&gt;0)</formula>
    </cfRule>
  </conditionalFormatting>
  <conditionalFormatting sqref="AN44">
    <cfRule type="expression" dxfId="471" priority="1788" stopIfTrue="1">
      <formula>LEN(AN44)&gt;#REF!</formula>
    </cfRule>
    <cfRule type="expression" dxfId="470" priority="1789" stopIfTrue="1">
      <formula>AND(NOT(ISERROR(SEARCH("~*~*~*",AN44,1))),SEARCH("~*~*~*",AN44,1)&gt;0)</formula>
    </cfRule>
  </conditionalFormatting>
  <conditionalFormatting sqref="AO44 AM44">
    <cfRule type="expression" dxfId="469" priority="1790" stopIfTrue="1">
      <formula>LEN(AM44)&gt;32</formula>
    </cfRule>
    <cfRule type="expression" dxfId="468" priority="1791" stopIfTrue="1">
      <formula>AND(NOT(ISERROR(SEARCH("~*~*~*",AM44,1))),SEARCH("~*~*~*",AM44,1)&gt;0)</formula>
    </cfRule>
  </conditionalFormatting>
  <conditionalFormatting sqref="AT44">
    <cfRule type="cellIs" dxfId="467" priority="1792" stopIfTrue="1" operator="greaterThan">
      <formula>1</formula>
    </cfRule>
  </conditionalFormatting>
  <conditionalFormatting sqref="O45:X45">
    <cfRule type="expression" dxfId="466" priority="1765" stopIfTrue="1">
      <formula>E45&lt;&gt;""</formula>
    </cfRule>
    <cfRule type="expression" dxfId="465" priority="1766" stopIfTrue="1">
      <formula>E45=""</formula>
    </cfRule>
  </conditionalFormatting>
  <conditionalFormatting sqref="AP45">
    <cfRule type="expression" dxfId="464" priority="1770" stopIfTrue="1">
      <formula>LEN(AP45)&gt;AR$3</formula>
    </cfRule>
    <cfRule type="expression" dxfId="463" priority="1771" stopIfTrue="1">
      <formula>AND(NOT(ISERROR(SEARCH("~*~*~*",AP45,1))),SEARCH("~*~*~*",AP45,1)&gt;0)</formula>
    </cfRule>
  </conditionalFormatting>
  <conditionalFormatting sqref="Z45">
    <cfRule type="expression" dxfId="462" priority="1772" stopIfTrue="1">
      <formula>LEN(Z45)&gt;$AA$3</formula>
    </cfRule>
    <cfRule type="expression" dxfId="461" priority="1773" stopIfTrue="1">
      <formula>AND(NOT(ISERROR(SEARCH("~*~*~*",Z45,1))),SEARCH("~*~*~*",Z45,1)&gt;0)</formula>
    </cfRule>
  </conditionalFormatting>
  <conditionalFormatting sqref="AN45">
    <cfRule type="expression" dxfId="460" priority="1774" stopIfTrue="1">
      <formula>LEN(AN45)&gt;#REF!</formula>
    </cfRule>
    <cfRule type="expression" dxfId="459" priority="1775" stopIfTrue="1">
      <formula>AND(NOT(ISERROR(SEARCH("~*~*~*",AN45,1))),SEARCH("~*~*~*",AN45,1)&gt;0)</formula>
    </cfRule>
  </conditionalFormatting>
  <conditionalFormatting sqref="AO45 AM45">
    <cfRule type="expression" dxfId="458" priority="1776" stopIfTrue="1">
      <formula>LEN(AM45)&gt;32</formula>
    </cfRule>
    <cfRule type="expression" dxfId="457" priority="1777" stopIfTrue="1">
      <formula>AND(NOT(ISERROR(SEARCH("~*~*~*",AM45,1))),SEARCH("~*~*~*",AM45,1)&gt;0)</formula>
    </cfRule>
  </conditionalFormatting>
  <conditionalFormatting sqref="AT45">
    <cfRule type="cellIs" dxfId="456" priority="1778" stopIfTrue="1" operator="greaterThan">
      <formula>1</formula>
    </cfRule>
  </conditionalFormatting>
  <conditionalFormatting sqref="O46:X46">
    <cfRule type="expression" dxfId="455" priority="1751" stopIfTrue="1">
      <formula>E46&lt;&gt;""</formula>
    </cfRule>
    <cfRule type="expression" dxfId="454" priority="1752" stopIfTrue="1">
      <formula>E46=""</formula>
    </cfRule>
  </conditionalFormatting>
  <conditionalFormatting sqref="AP46">
    <cfRule type="expression" dxfId="453" priority="1756" stopIfTrue="1">
      <formula>LEN(AP46)&gt;AR$3</formula>
    </cfRule>
    <cfRule type="expression" dxfId="452" priority="1757" stopIfTrue="1">
      <formula>AND(NOT(ISERROR(SEARCH("~*~*~*",AP46,1))),SEARCH("~*~*~*",AP46,1)&gt;0)</formula>
    </cfRule>
  </conditionalFormatting>
  <conditionalFormatting sqref="Z46">
    <cfRule type="expression" dxfId="451" priority="1758" stopIfTrue="1">
      <formula>LEN(Z46)&gt;$AA$3</formula>
    </cfRule>
    <cfRule type="expression" dxfId="450" priority="1759" stopIfTrue="1">
      <formula>AND(NOT(ISERROR(SEARCH("~*~*~*",Z46,1))),SEARCH("~*~*~*",Z46,1)&gt;0)</formula>
    </cfRule>
  </conditionalFormatting>
  <conditionalFormatting sqref="AN46">
    <cfRule type="expression" dxfId="449" priority="1760" stopIfTrue="1">
      <formula>LEN(AN46)&gt;#REF!</formula>
    </cfRule>
    <cfRule type="expression" dxfId="448" priority="1761" stopIfTrue="1">
      <formula>AND(NOT(ISERROR(SEARCH("~*~*~*",AN46,1))),SEARCH("~*~*~*",AN46,1)&gt;0)</formula>
    </cfRule>
  </conditionalFormatting>
  <conditionalFormatting sqref="AO46 AM46">
    <cfRule type="expression" dxfId="447" priority="1762" stopIfTrue="1">
      <formula>LEN(AM46)&gt;32</formula>
    </cfRule>
    <cfRule type="expression" dxfId="446" priority="1763" stopIfTrue="1">
      <formula>AND(NOT(ISERROR(SEARCH("~*~*~*",AM46,1))),SEARCH("~*~*~*",AM46,1)&gt;0)</formula>
    </cfRule>
  </conditionalFormatting>
  <conditionalFormatting sqref="AT46">
    <cfRule type="cellIs" dxfId="445" priority="1764" stopIfTrue="1" operator="greaterThan">
      <formula>1</formula>
    </cfRule>
  </conditionalFormatting>
  <conditionalFormatting sqref="O47:X47">
    <cfRule type="expression" dxfId="444" priority="1737" stopIfTrue="1">
      <formula>E47&lt;&gt;""</formula>
    </cfRule>
    <cfRule type="expression" dxfId="443" priority="1738" stopIfTrue="1">
      <formula>E47=""</formula>
    </cfRule>
  </conditionalFormatting>
  <conditionalFormatting sqref="AP47">
    <cfRule type="expression" dxfId="442" priority="1742" stopIfTrue="1">
      <formula>LEN(AP47)&gt;AR$3</formula>
    </cfRule>
    <cfRule type="expression" dxfId="441" priority="1743" stopIfTrue="1">
      <formula>AND(NOT(ISERROR(SEARCH("~*~*~*",AP47,1))),SEARCH("~*~*~*",AP47,1)&gt;0)</formula>
    </cfRule>
  </conditionalFormatting>
  <conditionalFormatting sqref="Z47">
    <cfRule type="expression" dxfId="440" priority="1744" stopIfTrue="1">
      <formula>LEN(Z47)&gt;$AA$3</formula>
    </cfRule>
    <cfRule type="expression" dxfId="439" priority="1745" stopIfTrue="1">
      <formula>AND(NOT(ISERROR(SEARCH("~*~*~*",Z47,1))),SEARCH("~*~*~*",Z47,1)&gt;0)</formula>
    </cfRule>
  </conditionalFormatting>
  <conditionalFormatting sqref="AN47">
    <cfRule type="expression" dxfId="438" priority="1746" stopIfTrue="1">
      <formula>LEN(AN47)&gt;#REF!</formula>
    </cfRule>
    <cfRule type="expression" dxfId="437" priority="1747" stopIfTrue="1">
      <formula>AND(NOT(ISERROR(SEARCH("~*~*~*",AN47,1))),SEARCH("~*~*~*",AN47,1)&gt;0)</formula>
    </cfRule>
  </conditionalFormatting>
  <conditionalFormatting sqref="AO47 AM47">
    <cfRule type="expression" dxfId="436" priority="1748" stopIfTrue="1">
      <formula>LEN(AM47)&gt;32</formula>
    </cfRule>
    <cfRule type="expression" dxfId="435" priority="1749" stopIfTrue="1">
      <formula>AND(NOT(ISERROR(SEARCH("~*~*~*",AM47,1))),SEARCH("~*~*~*",AM47,1)&gt;0)</formula>
    </cfRule>
  </conditionalFormatting>
  <conditionalFormatting sqref="AT47">
    <cfRule type="cellIs" dxfId="434" priority="1750" stopIfTrue="1" operator="greaterThan">
      <formula>1</formula>
    </cfRule>
  </conditionalFormatting>
  <conditionalFormatting sqref="O48:X48">
    <cfRule type="expression" dxfId="433" priority="1723" stopIfTrue="1">
      <formula>E48&lt;&gt;""</formula>
    </cfRule>
    <cfRule type="expression" dxfId="432" priority="1724" stopIfTrue="1">
      <formula>E48=""</formula>
    </cfRule>
  </conditionalFormatting>
  <conditionalFormatting sqref="AP48">
    <cfRule type="expression" dxfId="431" priority="1728" stopIfTrue="1">
      <formula>LEN(AP48)&gt;AR$3</formula>
    </cfRule>
    <cfRule type="expression" dxfId="430" priority="1729" stopIfTrue="1">
      <formula>AND(NOT(ISERROR(SEARCH("~*~*~*",AP48,1))),SEARCH("~*~*~*",AP48,1)&gt;0)</formula>
    </cfRule>
  </conditionalFormatting>
  <conditionalFormatting sqref="Z48">
    <cfRule type="expression" dxfId="429" priority="1730" stopIfTrue="1">
      <formula>LEN(Z48)&gt;$AA$3</formula>
    </cfRule>
    <cfRule type="expression" dxfId="428" priority="1731" stopIfTrue="1">
      <formula>AND(NOT(ISERROR(SEARCH("~*~*~*",Z48,1))),SEARCH("~*~*~*",Z48,1)&gt;0)</formula>
    </cfRule>
  </conditionalFormatting>
  <conditionalFormatting sqref="AN48">
    <cfRule type="expression" dxfId="427" priority="1732" stopIfTrue="1">
      <formula>LEN(AN48)&gt;#REF!</formula>
    </cfRule>
    <cfRule type="expression" dxfId="426" priority="1733" stopIfTrue="1">
      <formula>AND(NOT(ISERROR(SEARCH("~*~*~*",AN48,1))),SEARCH("~*~*~*",AN48,1)&gt;0)</formula>
    </cfRule>
  </conditionalFormatting>
  <conditionalFormatting sqref="AO48 AM48">
    <cfRule type="expression" dxfId="425" priority="1734" stopIfTrue="1">
      <formula>LEN(AM48)&gt;32</formula>
    </cfRule>
    <cfRule type="expression" dxfId="424" priority="1735" stopIfTrue="1">
      <formula>AND(NOT(ISERROR(SEARCH("~*~*~*",AM48,1))),SEARCH("~*~*~*",AM48,1)&gt;0)</formula>
    </cfRule>
  </conditionalFormatting>
  <conditionalFormatting sqref="AT48">
    <cfRule type="cellIs" dxfId="423" priority="1736" stopIfTrue="1" operator="greaterThan">
      <formula>1</formula>
    </cfRule>
  </conditionalFormatting>
  <conditionalFormatting sqref="O49:X49">
    <cfRule type="expression" dxfId="422" priority="1709" stopIfTrue="1">
      <formula>E49&lt;&gt;""</formula>
    </cfRule>
    <cfRule type="expression" dxfId="421" priority="1710" stopIfTrue="1">
      <formula>E49=""</formula>
    </cfRule>
  </conditionalFormatting>
  <conditionalFormatting sqref="AP49">
    <cfRule type="expression" dxfId="420" priority="1714" stopIfTrue="1">
      <formula>LEN(AP49)&gt;AR$3</formula>
    </cfRule>
    <cfRule type="expression" dxfId="419" priority="1715" stopIfTrue="1">
      <formula>AND(NOT(ISERROR(SEARCH("~*~*~*",AP49,1))),SEARCH("~*~*~*",AP49,1)&gt;0)</formula>
    </cfRule>
  </conditionalFormatting>
  <conditionalFormatting sqref="Z49">
    <cfRule type="expression" dxfId="418" priority="1716" stopIfTrue="1">
      <formula>LEN(Z49)&gt;$AA$3</formula>
    </cfRule>
    <cfRule type="expression" dxfId="417" priority="1717" stopIfTrue="1">
      <formula>AND(NOT(ISERROR(SEARCH("~*~*~*",Z49,1))),SEARCH("~*~*~*",Z49,1)&gt;0)</formula>
    </cfRule>
  </conditionalFormatting>
  <conditionalFormatting sqref="AN49">
    <cfRule type="expression" dxfId="416" priority="1718" stopIfTrue="1">
      <formula>LEN(AN49)&gt;#REF!</formula>
    </cfRule>
    <cfRule type="expression" dxfId="415" priority="1719" stopIfTrue="1">
      <formula>AND(NOT(ISERROR(SEARCH("~*~*~*",AN49,1))),SEARCH("~*~*~*",AN49,1)&gt;0)</formula>
    </cfRule>
  </conditionalFormatting>
  <conditionalFormatting sqref="AO49 AM49">
    <cfRule type="expression" dxfId="414" priority="1720" stopIfTrue="1">
      <formula>LEN(AM49)&gt;32</formula>
    </cfRule>
    <cfRule type="expression" dxfId="413" priority="1721" stopIfTrue="1">
      <formula>AND(NOT(ISERROR(SEARCH("~*~*~*",AM49,1))),SEARCH("~*~*~*",AM49,1)&gt;0)</formula>
    </cfRule>
  </conditionalFormatting>
  <conditionalFormatting sqref="AT49">
    <cfRule type="cellIs" dxfId="412" priority="1722" stopIfTrue="1" operator="greaterThan">
      <formula>1</formula>
    </cfRule>
  </conditionalFormatting>
  <conditionalFormatting sqref="O50:X50">
    <cfRule type="expression" dxfId="411" priority="1695" stopIfTrue="1">
      <formula>E50&lt;&gt;""</formula>
    </cfRule>
    <cfRule type="expression" dxfId="410" priority="1696" stopIfTrue="1">
      <formula>E50=""</formula>
    </cfRule>
  </conditionalFormatting>
  <conditionalFormatting sqref="AP50">
    <cfRule type="expression" dxfId="409" priority="1700" stopIfTrue="1">
      <formula>LEN(AP50)&gt;AR$3</formula>
    </cfRule>
    <cfRule type="expression" dxfId="408" priority="1701" stopIfTrue="1">
      <formula>AND(NOT(ISERROR(SEARCH("~*~*~*",AP50,1))),SEARCH("~*~*~*",AP50,1)&gt;0)</formula>
    </cfRule>
  </conditionalFormatting>
  <conditionalFormatting sqref="Z50">
    <cfRule type="expression" dxfId="407" priority="1702" stopIfTrue="1">
      <formula>LEN(Z50)&gt;$AA$3</formula>
    </cfRule>
    <cfRule type="expression" dxfId="406" priority="1703" stopIfTrue="1">
      <formula>AND(NOT(ISERROR(SEARCH("~*~*~*",Z50,1))),SEARCH("~*~*~*",Z50,1)&gt;0)</formula>
    </cfRule>
  </conditionalFormatting>
  <conditionalFormatting sqref="AN50">
    <cfRule type="expression" dxfId="405" priority="1704" stopIfTrue="1">
      <formula>LEN(AN50)&gt;#REF!</formula>
    </cfRule>
    <cfRule type="expression" dxfId="404" priority="1705" stopIfTrue="1">
      <formula>AND(NOT(ISERROR(SEARCH("~*~*~*",AN50,1))),SEARCH("~*~*~*",AN50,1)&gt;0)</formula>
    </cfRule>
  </conditionalFormatting>
  <conditionalFormatting sqref="AO50 AM50">
    <cfRule type="expression" dxfId="403" priority="1706" stopIfTrue="1">
      <formula>LEN(AM50)&gt;32</formula>
    </cfRule>
    <cfRule type="expression" dxfId="402" priority="1707" stopIfTrue="1">
      <formula>AND(NOT(ISERROR(SEARCH("~*~*~*",AM50,1))),SEARCH("~*~*~*",AM50,1)&gt;0)</formula>
    </cfRule>
  </conditionalFormatting>
  <conditionalFormatting sqref="AT50">
    <cfRule type="cellIs" dxfId="401" priority="1708" stopIfTrue="1" operator="greaterThan">
      <formula>1</formula>
    </cfRule>
  </conditionalFormatting>
  <conditionalFormatting sqref="O51:X51">
    <cfRule type="expression" dxfId="400" priority="1681" stopIfTrue="1">
      <formula>E51&lt;&gt;""</formula>
    </cfRule>
    <cfRule type="expression" dxfId="399" priority="1682" stopIfTrue="1">
      <formula>E51=""</formula>
    </cfRule>
  </conditionalFormatting>
  <conditionalFormatting sqref="AP51">
    <cfRule type="expression" dxfId="398" priority="1686" stopIfTrue="1">
      <formula>LEN(AP51)&gt;AR$3</formula>
    </cfRule>
    <cfRule type="expression" dxfId="397" priority="1687" stopIfTrue="1">
      <formula>AND(NOT(ISERROR(SEARCH("~*~*~*",AP51,1))),SEARCH("~*~*~*",AP51,1)&gt;0)</formula>
    </cfRule>
  </conditionalFormatting>
  <conditionalFormatting sqref="Z51">
    <cfRule type="expression" dxfId="396" priority="1688" stopIfTrue="1">
      <formula>LEN(Z51)&gt;$AA$3</formula>
    </cfRule>
    <cfRule type="expression" dxfId="395" priority="1689" stopIfTrue="1">
      <formula>AND(NOT(ISERROR(SEARCH("~*~*~*",Z51,1))),SEARCH("~*~*~*",Z51,1)&gt;0)</formula>
    </cfRule>
  </conditionalFormatting>
  <conditionalFormatting sqref="AN51">
    <cfRule type="expression" dxfId="394" priority="1690" stopIfTrue="1">
      <formula>LEN(AN51)&gt;#REF!</formula>
    </cfRule>
    <cfRule type="expression" dxfId="393" priority="1691" stopIfTrue="1">
      <formula>AND(NOT(ISERROR(SEARCH("~*~*~*",AN51,1))),SEARCH("~*~*~*",AN51,1)&gt;0)</formula>
    </cfRule>
  </conditionalFormatting>
  <conditionalFormatting sqref="AO51 AM51">
    <cfRule type="expression" dxfId="392" priority="1692" stopIfTrue="1">
      <formula>LEN(AM51)&gt;32</formula>
    </cfRule>
    <cfRule type="expression" dxfId="391" priority="1693" stopIfTrue="1">
      <formula>AND(NOT(ISERROR(SEARCH("~*~*~*",AM51,1))),SEARCH("~*~*~*",AM51,1)&gt;0)</formula>
    </cfRule>
  </conditionalFormatting>
  <conditionalFormatting sqref="AT51">
    <cfRule type="cellIs" dxfId="390" priority="1694" stopIfTrue="1" operator="greaterThan">
      <formula>1</formula>
    </cfRule>
  </conditionalFormatting>
  <conditionalFormatting sqref="O52:X52">
    <cfRule type="expression" dxfId="389" priority="1667" stopIfTrue="1">
      <formula>E52&lt;&gt;""</formula>
    </cfRule>
    <cfRule type="expression" dxfId="388" priority="1668" stopIfTrue="1">
      <formula>E52=""</formula>
    </cfRule>
  </conditionalFormatting>
  <conditionalFormatting sqref="AP52">
    <cfRule type="expression" dxfId="387" priority="1672" stopIfTrue="1">
      <formula>LEN(AP52)&gt;AR$3</formula>
    </cfRule>
    <cfRule type="expression" dxfId="386" priority="1673" stopIfTrue="1">
      <formula>AND(NOT(ISERROR(SEARCH("~*~*~*",AP52,1))),SEARCH("~*~*~*",AP52,1)&gt;0)</formula>
    </cfRule>
  </conditionalFormatting>
  <conditionalFormatting sqref="Z52">
    <cfRule type="expression" dxfId="385" priority="1674" stopIfTrue="1">
      <formula>LEN(Z52)&gt;$AA$3</formula>
    </cfRule>
    <cfRule type="expression" dxfId="384" priority="1675" stopIfTrue="1">
      <formula>AND(NOT(ISERROR(SEARCH("~*~*~*",Z52,1))),SEARCH("~*~*~*",Z52,1)&gt;0)</formula>
    </cfRule>
  </conditionalFormatting>
  <conditionalFormatting sqref="AN52">
    <cfRule type="expression" dxfId="383" priority="1676" stopIfTrue="1">
      <formula>LEN(AN52)&gt;#REF!</formula>
    </cfRule>
    <cfRule type="expression" dxfId="382" priority="1677" stopIfTrue="1">
      <formula>AND(NOT(ISERROR(SEARCH("~*~*~*",AN52,1))),SEARCH("~*~*~*",AN52,1)&gt;0)</formula>
    </cfRule>
  </conditionalFormatting>
  <conditionalFormatting sqref="AO52 AM52">
    <cfRule type="expression" dxfId="381" priority="1678" stopIfTrue="1">
      <formula>LEN(AM52)&gt;32</formula>
    </cfRule>
    <cfRule type="expression" dxfId="380" priority="1679" stopIfTrue="1">
      <formula>AND(NOT(ISERROR(SEARCH("~*~*~*",AM52,1))),SEARCH("~*~*~*",AM52,1)&gt;0)</formula>
    </cfRule>
  </conditionalFormatting>
  <conditionalFormatting sqref="AT52">
    <cfRule type="cellIs" dxfId="379" priority="1680" stopIfTrue="1" operator="greaterThan">
      <formula>1</formula>
    </cfRule>
  </conditionalFormatting>
  <conditionalFormatting sqref="O53:X53">
    <cfRule type="expression" dxfId="378" priority="1653" stopIfTrue="1">
      <formula>E53&lt;&gt;""</formula>
    </cfRule>
    <cfRule type="expression" dxfId="377" priority="1654" stopIfTrue="1">
      <formula>E53=""</formula>
    </cfRule>
  </conditionalFormatting>
  <conditionalFormatting sqref="AP53">
    <cfRule type="expression" dxfId="376" priority="1658" stopIfTrue="1">
      <formula>LEN(AP53)&gt;AR$3</formula>
    </cfRule>
    <cfRule type="expression" dxfId="375" priority="1659" stopIfTrue="1">
      <formula>AND(NOT(ISERROR(SEARCH("~*~*~*",AP53,1))),SEARCH("~*~*~*",AP53,1)&gt;0)</formula>
    </cfRule>
  </conditionalFormatting>
  <conditionalFormatting sqref="Z53">
    <cfRule type="expression" dxfId="374" priority="1660" stopIfTrue="1">
      <formula>LEN(Z53)&gt;$AA$3</formula>
    </cfRule>
    <cfRule type="expression" dxfId="373" priority="1661" stopIfTrue="1">
      <formula>AND(NOT(ISERROR(SEARCH("~*~*~*",Z53,1))),SEARCH("~*~*~*",Z53,1)&gt;0)</formula>
    </cfRule>
  </conditionalFormatting>
  <conditionalFormatting sqref="AN53">
    <cfRule type="expression" dxfId="372" priority="1662" stopIfTrue="1">
      <formula>LEN(AN53)&gt;#REF!</formula>
    </cfRule>
    <cfRule type="expression" dxfId="371" priority="1663" stopIfTrue="1">
      <formula>AND(NOT(ISERROR(SEARCH("~*~*~*",AN53,1))),SEARCH("~*~*~*",AN53,1)&gt;0)</formula>
    </cfRule>
  </conditionalFormatting>
  <conditionalFormatting sqref="AO53 AM53">
    <cfRule type="expression" dxfId="370" priority="1664" stopIfTrue="1">
      <formula>LEN(AM53)&gt;32</formula>
    </cfRule>
    <cfRule type="expression" dxfId="369" priority="1665" stopIfTrue="1">
      <formula>AND(NOT(ISERROR(SEARCH("~*~*~*",AM53,1))),SEARCH("~*~*~*",AM53,1)&gt;0)</formula>
    </cfRule>
  </conditionalFormatting>
  <conditionalFormatting sqref="AT53">
    <cfRule type="cellIs" dxfId="368" priority="1666" stopIfTrue="1" operator="greaterThan">
      <formula>1</formula>
    </cfRule>
  </conditionalFormatting>
  <conditionalFormatting sqref="O54:X54">
    <cfRule type="expression" dxfId="367" priority="1639" stopIfTrue="1">
      <formula>E54&lt;&gt;""</formula>
    </cfRule>
    <cfRule type="expression" dxfId="366" priority="1640" stopIfTrue="1">
      <formula>E54=""</formula>
    </cfRule>
  </conditionalFormatting>
  <conditionalFormatting sqref="AP54">
    <cfRule type="expression" dxfId="365" priority="1644" stopIfTrue="1">
      <formula>LEN(AP54)&gt;AR$3</formula>
    </cfRule>
    <cfRule type="expression" dxfId="364" priority="1645" stopIfTrue="1">
      <formula>AND(NOT(ISERROR(SEARCH("~*~*~*",AP54,1))),SEARCH("~*~*~*",AP54,1)&gt;0)</formula>
    </cfRule>
  </conditionalFormatting>
  <conditionalFormatting sqref="Z54">
    <cfRule type="expression" dxfId="363" priority="1646" stopIfTrue="1">
      <formula>LEN(Z54)&gt;$AA$3</formula>
    </cfRule>
    <cfRule type="expression" dxfId="362" priority="1647" stopIfTrue="1">
      <formula>AND(NOT(ISERROR(SEARCH("~*~*~*",Z54,1))),SEARCH("~*~*~*",Z54,1)&gt;0)</formula>
    </cfRule>
  </conditionalFormatting>
  <conditionalFormatting sqref="AN54">
    <cfRule type="expression" dxfId="361" priority="1648" stopIfTrue="1">
      <formula>LEN(AN54)&gt;#REF!</formula>
    </cfRule>
    <cfRule type="expression" dxfId="360" priority="1649" stopIfTrue="1">
      <formula>AND(NOT(ISERROR(SEARCH("~*~*~*",AN54,1))),SEARCH("~*~*~*",AN54,1)&gt;0)</formula>
    </cfRule>
  </conditionalFormatting>
  <conditionalFormatting sqref="AO54 AM54">
    <cfRule type="expression" dxfId="359" priority="1650" stopIfTrue="1">
      <formula>LEN(AM54)&gt;32</formula>
    </cfRule>
    <cfRule type="expression" dxfId="358" priority="1651" stopIfTrue="1">
      <formula>AND(NOT(ISERROR(SEARCH("~*~*~*",AM54,1))),SEARCH("~*~*~*",AM54,1)&gt;0)</formula>
    </cfRule>
  </conditionalFormatting>
  <conditionalFormatting sqref="AT54">
    <cfRule type="cellIs" dxfId="357" priority="1652" stopIfTrue="1" operator="greaterThan">
      <formula>1</formula>
    </cfRule>
  </conditionalFormatting>
  <conditionalFormatting sqref="O33:X33">
    <cfRule type="expression" dxfId="356" priority="533" stopIfTrue="1">
      <formula>E33&lt;&gt;""</formula>
    </cfRule>
    <cfRule type="expression" dxfId="355" priority="534" stopIfTrue="1">
      <formula>E33=""</formula>
    </cfRule>
  </conditionalFormatting>
  <conditionalFormatting sqref="AP33">
    <cfRule type="expression" dxfId="354" priority="538" stopIfTrue="1">
      <formula>LEN(AP33)&gt;AR$3</formula>
    </cfRule>
    <cfRule type="expression" dxfId="353" priority="539" stopIfTrue="1">
      <formula>AND(NOT(ISERROR(SEARCH("~*~*~*",AP33,1))),SEARCH("~*~*~*",AP33,1)&gt;0)</formula>
    </cfRule>
  </conditionalFormatting>
  <conditionalFormatting sqref="Z33">
    <cfRule type="expression" dxfId="352" priority="540" stopIfTrue="1">
      <formula>LEN(Z33)&gt;$AA$3</formula>
    </cfRule>
    <cfRule type="expression" dxfId="351" priority="541" stopIfTrue="1">
      <formula>AND(NOT(ISERROR(SEARCH("~*~*~*",Z33,1))),SEARCH("~*~*~*",Z33,1)&gt;0)</formula>
    </cfRule>
  </conditionalFormatting>
  <conditionalFormatting sqref="AN33">
    <cfRule type="expression" dxfId="350" priority="542" stopIfTrue="1">
      <formula>LEN(AN33)&gt;#REF!</formula>
    </cfRule>
    <cfRule type="expression" dxfId="349" priority="543" stopIfTrue="1">
      <formula>AND(NOT(ISERROR(SEARCH("~*~*~*",AN33,1))),SEARCH("~*~*~*",AN33,1)&gt;0)</formula>
    </cfRule>
  </conditionalFormatting>
  <conditionalFormatting sqref="AO33 AM33">
    <cfRule type="expression" dxfId="348" priority="544" stopIfTrue="1">
      <formula>LEN(AM33)&gt;32</formula>
    </cfRule>
    <cfRule type="expression" dxfId="347" priority="545" stopIfTrue="1">
      <formula>AND(NOT(ISERROR(SEARCH("~*~*~*",AM33,1))),SEARCH("~*~*~*",AM33,1)&gt;0)</formula>
    </cfRule>
  </conditionalFormatting>
  <conditionalFormatting sqref="AT33">
    <cfRule type="cellIs" dxfId="346" priority="546" stopIfTrue="1" operator="greaterThan">
      <formula>1</formula>
    </cfRule>
  </conditionalFormatting>
  <conditionalFormatting sqref="O34:X34">
    <cfRule type="expression" dxfId="345" priority="519" stopIfTrue="1">
      <formula>E34&lt;&gt;""</formula>
    </cfRule>
    <cfRule type="expression" dxfId="344" priority="520" stopIfTrue="1">
      <formula>E34=""</formula>
    </cfRule>
  </conditionalFormatting>
  <conditionalFormatting sqref="AP34">
    <cfRule type="expression" dxfId="343" priority="524" stopIfTrue="1">
      <formula>LEN(AP34)&gt;AR$3</formula>
    </cfRule>
    <cfRule type="expression" dxfId="342" priority="525" stopIfTrue="1">
      <formula>AND(NOT(ISERROR(SEARCH("~*~*~*",AP34,1))),SEARCH("~*~*~*",AP34,1)&gt;0)</formula>
    </cfRule>
  </conditionalFormatting>
  <conditionalFormatting sqref="Z34">
    <cfRule type="expression" dxfId="341" priority="526" stopIfTrue="1">
      <formula>LEN(Z34)&gt;$AA$3</formula>
    </cfRule>
    <cfRule type="expression" dxfId="340" priority="527" stopIfTrue="1">
      <formula>AND(NOT(ISERROR(SEARCH("~*~*~*",Z34,1))),SEARCH("~*~*~*",Z34,1)&gt;0)</formula>
    </cfRule>
  </conditionalFormatting>
  <conditionalFormatting sqref="AN34">
    <cfRule type="expression" dxfId="339" priority="528" stopIfTrue="1">
      <formula>LEN(AN34)&gt;#REF!</formula>
    </cfRule>
    <cfRule type="expression" dxfId="338" priority="529" stopIfTrue="1">
      <formula>AND(NOT(ISERROR(SEARCH("~*~*~*",AN34,1))),SEARCH("~*~*~*",AN34,1)&gt;0)</formula>
    </cfRule>
  </conditionalFormatting>
  <conditionalFormatting sqref="AO34 AM34">
    <cfRule type="expression" dxfId="337" priority="530" stopIfTrue="1">
      <formula>LEN(AM34)&gt;32</formula>
    </cfRule>
    <cfRule type="expression" dxfId="336" priority="531" stopIfTrue="1">
      <formula>AND(NOT(ISERROR(SEARCH("~*~*~*",AM34,1))),SEARCH("~*~*~*",AM34,1)&gt;0)</formula>
    </cfRule>
  </conditionalFormatting>
  <conditionalFormatting sqref="AT34">
    <cfRule type="cellIs" dxfId="335" priority="532" stopIfTrue="1" operator="greaterThan">
      <formula>1</formula>
    </cfRule>
  </conditionalFormatting>
  <conditionalFormatting sqref="O35:X35">
    <cfRule type="expression" dxfId="334" priority="505" stopIfTrue="1">
      <formula>E35&lt;&gt;""</formula>
    </cfRule>
    <cfRule type="expression" dxfId="333" priority="506" stopIfTrue="1">
      <formula>E35=""</formula>
    </cfRule>
  </conditionalFormatting>
  <conditionalFormatting sqref="AP35">
    <cfRule type="expression" dxfId="332" priority="510" stopIfTrue="1">
      <formula>LEN(AP35)&gt;AR$3</formula>
    </cfRule>
    <cfRule type="expression" dxfId="331" priority="511" stopIfTrue="1">
      <formula>AND(NOT(ISERROR(SEARCH("~*~*~*",AP35,1))),SEARCH("~*~*~*",AP35,1)&gt;0)</formula>
    </cfRule>
  </conditionalFormatting>
  <conditionalFormatting sqref="Z35">
    <cfRule type="expression" dxfId="330" priority="512" stopIfTrue="1">
      <formula>LEN(Z35)&gt;$AA$3</formula>
    </cfRule>
    <cfRule type="expression" dxfId="329" priority="513" stopIfTrue="1">
      <formula>AND(NOT(ISERROR(SEARCH("~*~*~*",Z35,1))),SEARCH("~*~*~*",Z35,1)&gt;0)</formula>
    </cfRule>
  </conditionalFormatting>
  <conditionalFormatting sqref="AN35">
    <cfRule type="expression" dxfId="328" priority="514" stopIfTrue="1">
      <formula>LEN(AN35)&gt;#REF!</formula>
    </cfRule>
    <cfRule type="expression" dxfId="327" priority="515" stopIfTrue="1">
      <formula>AND(NOT(ISERROR(SEARCH("~*~*~*",AN35,1))),SEARCH("~*~*~*",AN35,1)&gt;0)</formula>
    </cfRule>
  </conditionalFormatting>
  <conditionalFormatting sqref="AO35 AM35">
    <cfRule type="expression" dxfId="326" priority="516" stopIfTrue="1">
      <formula>LEN(AM35)&gt;32</formula>
    </cfRule>
    <cfRule type="expression" dxfId="325" priority="517" stopIfTrue="1">
      <formula>AND(NOT(ISERROR(SEARCH("~*~*~*",AM35,1))),SEARCH("~*~*~*",AM35,1)&gt;0)</formula>
    </cfRule>
  </conditionalFormatting>
  <conditionalFormatting sqref="AT35">
    <cfRule type="cellIs" dxfId="324" priority="518" stopIfTrue="1" operator="greaterThan">
      <formula>1</formula>
    </cfRule>
  </conditionalFormatting>
  <conditionalFormatting sqref="O36:X36">
    <cfRule type="expression" dxfId="323" priority="491" stopIfTrue="1">
      <formula>E36&lt;&gt;""</formula>
    </cfRule>
    <cfRule type="expression" dxfId="322" priority="492" stopIfTrue="1">
      <formula>E36=""</formula>
    </cfRule>
  </conditionalFormatting>
  <conditionalFormatting sqref="AP36">
    <cfRule type="expression" dxfId="321" priority="496" stopIfTrue="1">
      <formula>LEN(AP36)&gt;AR$3</formula>
    </cfRule>
    <cfRule type="expression" dxfId="320" priority="497" stopIfTrue="1">
      <formula>AND(NOT(ISERROR(SEARCH("~*~*~*",AP36,1))),SEARCH("~*~*~*",AP36,1)&gt;0)</formula>
    </cfRule>
  </conditionalFormatting>
  <conditionalFormatting sqref="Z36">
    <cfRule type="expression" dxfId="319" priority="498" stopIfTrue="1">
      <formula>LEN(Z36)&gt;$AA$3</formula>
    </cfRule>
    <cfRule type="expression" dxfId="318" priority="499" stopIfTrue="1">
      <formula>AND(NOT(ISERROR(SEARCH("~*~*~*",Z36,1))),SEARCH("~*~*~*",Z36,1)&gt;0)</formula>
    </cfRule>
  </conditionalFormatting>
  <conditionalFormatting sqref="AN36">
    <cfRule type="expression" dxfId="317" priority="500" stopIfTrue="1">
      <formula>LEN(AN36)&gt;#REF!</formula>
    </cfRule>
    <cfRule type="expression" dxfId="316" priority="501" stopIfTrue="1">
      <formula>AND(NOT(ISERROR(SEARCH("~*~*~*",AN36,1))),SEARCH("~*~*~*",AN36,1)&gt;0)</formula>
    </cfRule>
  </conditionalFormatting>
  <conditionalFormatting sqref="AO36 AM36">
    <cfRule type="expression" dxfId="315" priority="502" stopIfTrue="1">
      <formula>LEN(AM36)&gt;32</formula>
    </cfRule>
    <cfRule type="expression" dxfId="314" priority="503" stopIfTrue="1">
      <formula>AND(NOT(ISERROR(SEARCH("~*~*~*",AM36,1))),SEARCH("~*~*~*",AM36,1)&gt;0)</formula>
    </cfRule>
  </conditionalFormatting>
  <conditionalFormatting sqref="AT36">
    <cfRule type="cellIs" dxfId="313" priority="504" stopIfTrue="1" operator="greaterThan">
      <formula>1</formula>
    </cfRule>
  </conditionalFormatting>
  <conditionalFormatting sqref="O37:X37">
    <cfRule type="expression" dxfId="312" priority="477" stopIfTrue="1">
      <formula>E37&lt;&gt;""</formula>
    </cfRule>
    <cfRule type="expression" dxfId="311" priority="478" stopIfTrue="1">
      <formula>E37=""</formula>
    </cfRule>
  </conditionalFormatting>
  <conditionalFormatting sqref="AP37">
    <cfRule type="expression" dxfId="310" priority="482" stopIfTrue="1">
      <formula>LEN(AP37)&gt;AR$3</formula>
    </cfRule>
    <cfRule type="expression" dxfId="309" priority="483" stopIfTrue="1">
      <formula>AND(NOT(ISERROR(SEARCH("~*~*~*",AP37,1))),SEARCH("~*~*~*",AP37,1)&gt;0)</formula>
    </cfRule>
  </conditionalFormatting>
  <conditionalFormatting sqref="Z37">
    <cfRule type="expression" dxfId="308" priority="484" stopIfTrue="1">
      <formula>LEN(Z37)&gt;$AA$3</formula>
    </cfRule>
    <cfRule type="expression" dxfId="307" priority="485" stopIfTrue="1">
      <formula>AND(NOT(ISERROR(SEARCH("~*~*~*",Z37,1))),SEARCH("~*~*~*",Z37,1)&gt;0)</formula>
    </cfRule>
  </conditionalFormatting>
  <conditionalFormatting sqref="AN37">
    <cfRule type="expression" dxfId="306" priority="486" stopIfTrue="1">
      <formula>LEN(AN37)&gt;#REF!</formula>
    </cfRule>
    <cfRule type="expression" dxfId="305" priority="487" stopIfTrue="1">
      <formula>AND(NOT(ISERROR(SEARCH("~*~*~*",AN37,1))),SEARCH("~*~*~*",AN37,1)&gt;0)</formula>
    </cfRule>
  </conditionalFormatting>
  <conditionalFormatting sqref="AO37 AM37">
    <cfRule type="expression" dxfId="304" priority="488" stopIfTrue="1">
      <formula>LEN(AM37)&gt;32</formula>
    </cfRule>
    <cfRule type="expression" dxfId="303" priority="489" stopIfTrue="1">
      <formula>AND(NOT(ISERROR(SEARCH("~*~*~*",AM37,1))),SEARCH("~*~*~*",AM37,1)&gt;0)</formula>
    </cfRule>
  </conditionalFormatting>
  <conditionalFormatting sqref="AT37">
    <cfRule type="cellIs" dxfId="302" priority="490" stopIfTrue="1" operator="greaterThan">
      <formula>1</formula>
    </cfRule>
  </conditionalFormatting>
  <conditionalFormatting sqref="O38:X38">
    <cfRule type="expression" dxfId="301" priority="463" stopIfTrue="1">
      <formula>E38&lt;&gt;""</formula>
    </cfRule>
    <cfRule type="expression" dxfId="300" priority="464" stopIfTrue="1">
      <formula>E38=""</formula>
    </cfRule>
  </conditionalFormatting>
  <conditionalFormatting sqref="AP38">
    <cfRule type="expression" dxfId="299" priority="468" stopIfTrue="1">
      <formula>LEN(AP38)&gt;AR$3</formula>
    </cfRule>
    <cfRule type="expression" dxfId="298" priority="469" stopIfTrue="1">
      <formula>AND(NOT(ISERROR(SEARCH("~*~*~*",AP38,1))),SEARCH("~*~*~*",AP38,1)&gt;0)</formula>
    </cfRule>
  </conditionalFormatting>
  <conditionalFormatting sqref="Z38">
    <cfRule type="expression" dxfId="297" priority="470" stopIfTrue="1">
      <formula>LEN(Z38)&gt;$AA$3</formula>
    </cfRule>
    <cfRule type="expression" dxfId="296" priority="471" stopIfTrue="1">
      <formula>AND(NOT(ISERROR(SEARCH("~*~*~*",Z38,1))),SEARCH("~*~*~*",Z38,1)&gt;0)</formula>
    </cfRule>
  </conditionalFormatting>
  <conditionalFormatting sqref="AN38">
    <cfRule type="expression" dxfId="295" priority="472" stopIfTrue="1">
      <formula>LEN(AN38)&gt;#REF!</formula>
    </cfRule>
    <cfRule type="expression" dxfId="294" priority="473" stopIfTrue="1">
      <formula>AND(NOT(ISERROR(SEARCH("~*~*~*",AN38,1))),SEARCH("~*~*~*",AN38,1)&gt;0)</formula>
    </cfRule>
  </conditionalFormatting>
  <conditionalFormatting sqref="AO38 AM38">
    <cfRule type="expression" dxfId="293" priority="474" stopIfTrue="1">
      <formula>LEN(AM38)&gt;32</formula>
    </cfRule>
    <cfRule type="expression" dxfId="292" priority="475" stopIfTrue="1">
      <formula>AND(NOT(ISERROR(SEARCH("~*~*~*",AM38,1))),SEARCH("~*~*~*",AM38,1)&gt;0)</formula>
    </cfRule>
  </conditionalFormatting>
  <conditionalFormatting sqref="AT38">
    <cfRule type="cellIs" dxfId="291" priority="476" stopIfTrue="1" operator="greaterThan">
      <formula>1</formula>
    </cfRule>
  </conditionalFormatting>
  <conditionalFormatting sqref="O39:X39">
    <cfRule type="expression" dxfId="290" priority="449" stopIfTrue="1">
      <formula>E39&lt;&gt;""</formula>
    </cfRule>
    <cfRule type="expression" dxfId="289" priority="450" stopIfTrue="1">
      <formula>E39=""</formula>
    </cfRule>
  </conditionalFormatting>
  <conditionalFormatting sqref="AP39">
    <cfRule type="expression" dxfId="288" priority="454" stopIfTrue="1">
      <formula>LEN(AP39)&gt;AR$3</formula>
    </cfRule>
    <cfRule type="expression" dxfId="287" priority="455" stopIfTrue="1">
      <formula>AND(NOT(ISERROR(SEARCH("~*~*~*",AP39,1))),SEARCH("~*~*~*",AP39,1)&gt;0)</formula>
    </cfRule>
  </conditionalFormatting>
  <conditionalFormatting sqref="Z39">
    <cfRule type="expression" dxfId="286" priority="456" stopIfTrue="1">
      <formula>LEN(Z39)&gt;$AA$3</formula>
    </cfRule>
    <cfRule type="expression" dxfId="285" priority="457" stopIfTrue="1">
      <formula>AND(NOT(ISERROR(SEARCH("~*~*~*",Z39,1))),SEARCH("~*~*~*",Z39,1)&gt;0)</formula>
    </cfRule>
  </conditionalFormatting>
  <conditionalFormatting sqref="AN39">
    <cfRule type="expression" dxfId="284" priority="458" stopIfTrue="1">
      <formula>LEN(AN39)&gt;#REF!</formula>
    </cfRule>
    <cfRule type="expression" dxfId="283" priority="459" stopIfTrue="1">
      <formula>AND(NOT(ISERROR(SEARCH("~*~*~*",AN39,1))),SEARCH("~*~*~*",AN39,1)&gt;0)</formula>
    </cfRule>
  </conditionalFormatting>
  <conditionalFormatting sqref="AO39 AM39">
    <cfRule type="expression" dxfId="282" priority="460" stopIfTrue="1">
      <formula>LEN(AM39)&gt;32</formula>
    </cfRule>
    <cfRule type="expression" dxfId="281" priority="461" stopIfTrue="1">
      <formula>AND(NOT(ISERROR(SEARCH("~*~*~*",AM39,1))),SEARCH("~*~*~*",AM39,1)&gt;0)</formula>
    </cfRule>
  </conditionalFormatting>
  <conditionalFormatting sqref="AT39">
    <cfRule type="cellIs" dxfId="280" priority="462" stopIfTrue="1" operator="greaterThan">
      <formula>1</formula>
    </cfRule>
  </conditionalFormatting>
  <conditionalFormatting sqref="O40:X40">
    <cfRule type="expression" dxfId="279" priority="435" stopIfTrue="1">
      <formula>E40&lt;&gt;""</formula>
    </cfRule>
    <cfRule type="expression" dxfId="278" priority="436" stopIfTrue="1">
      <formula>E40=""</formula>
    </cfRule>
  </conditionalFormatting>
  <conditionalFormatting sqref="AP40">
    <cfRule type="expression" dxfId="277" priority="440" stopIfTrue="1">
      <formula>LEN(AP40)&gt;AR$3</formula>
    </cfRule>
    <cfRule type="expression" dxfId="276" priority="441" stopIfTrue="1">
      <formula>AND(NOT(ISERROR(SEARCH("~*~*~*",AP40,1))),SEARCH("~*~*~*",AP40,1)&gt;0)</formula>
    </cfRule>
  </conditionalFormatting>
  <conditionalFormatting sqref="Z40">
    <cfRule type="expression" dxfId="275" priority="442" stopIfTrue="1">
      <formula>LEN(Z40)&gt;$AA$3</formula>
    </cfRule>
    <cfRule type="expression" dxfId="274" priority="443" stopIfTrue="1">
      <formula>AND(NOT(ISERROR(SEARCH("~*~*~*",Z40,1))),SEARCH("~*~*~*",Z40,1)&gt;0)</formula>
    </cfRule>
  </conditionalFormatting>
  <conditionalFormatting sqref="AN40">
    <cfRule type="expression" dxfId="273" priority="444" stopIfTrue="1">
      <formula>LEN(AN40)&gt;#REF!</formula>
    </cfRule>
    <cfRule type="expression" dxfId="272" priority="445" stopIfTrue="1">
      <formula>AND(NOT(ISERROR(SEARCH("~*~*~*",AN40,1))),SEARCH("~*~*~*",AN40,1)&gt;0)</formula>
    </cfRule>
  </conditionalFormatting>
  <conditionalFormatting sqref="AO40 AM40">
    <cfRule type="expression" dxfId="271" priority="446" stopIfTrue="1">
      <formula>LEN(AM40)&gt;32</formula>
    </cfRule>
    <cfRule type="expression" dxfId="270" priority="447" stopIfTrue="1">
      <formula>AND(NOT(ISERROR(SEARCH("~*~*~*",AM40,1))),SEARCH("~*~*~*",AM40,1)&gt;0)</formula>
    </cfRule>
  </conditionalFormatting>
  <conditionalFormatting sqref="AT40">
    <cfRule type="cellIs" dxfId="269" priority="448" stopIfTrue="1" operator="greaterThan">
      <formula>1</formula>
    </cfRule>
  </conditionalFormatting>
  <conditionalFormatting sqref="O41:X41">
    <cfRule type="expression" dxfId="268" priority="421" stopIfTrue="1">
      <formula>E41&lt;&gt;""</formula>
    </cfRule>
    <cfRule type="expression" dxfId="267" priority="422" stopIfTrue="1">
      <formula>E41=""</formula>
    </cfRule>
  </conditionalFormatting>
  <conditionalFormatting sqref="AP41">
    <cfRule type="expression" dxfId="266" priority="426" stopIfTrue="1">
      <formula>LEN(AP41)&gt;AR$3</formula>
    </cfRule>
    <cfRule type="expression" dxfId="265" priority="427" stopIfTrue="1">
      <formula>AND(NOT(ISERROR(SEARCH("~*~*~*",AP41,1))),SEARCH("~*~*~*",AP41,1)&gt;0)</formula>
    </cfRule>
  </conditionalFormatting>
  <conditionalFormatting sqref="Z41">
    <cfRule type="expression" dxfId="264" priority="428" stopIfTrue="1">
      <formula>LEN(Z41)&gt;$AA$3</formula>
    </cfRule>
    <cfRule type="expression" dxfId="263" priority="429" stopIfTrue="1">
      <formula>AND(NOT(ISERROR(SEARCH("~*~*~*",Z41,1))),SEARCH("~*~*~*",Z41,1)&gt;0)</formula>
    </cfRule>
  </conditionalFormatting>
  <conditionalFormatting sqref="AN41">
    <cfRule type="expression" dxfId="262" priority="430" stopIfTrue="1">
      <formula>LEN(AN41)&gt;#REF!</formula>
    </cfRule>
    <cfRule type="expression" dxfId="261" priority="431" stopIfTrue="1">
      <formula>AND(NOT(ISERROR(SEARCH("~*~*~*",AN41,1))),SEARCH("~*~*~*",AN41,1)&gt;0)</formula>
    </cfRule>
  </conditionalFormatting>
  <conditionalFormatting sqref="AO41 AM41">
    <cfRule type="expression" dxfId="260" priority="432" stopIfTrue="1">
      <formula>LEN(AM41)&gt;32</formula>
    </cfRule>
    <cfRule type="expression" dxfId="259" priority="433" stopIfTrue="1">
      <formula>AND(NOT(ISERROR(SEARCH("~*~*~*",AM41,1))),SEARCH("~*~*~*",AM41,1)&gt;0)</formula>
    </cfRule>
  </conditionalFormatting>
  <conditionalFormatting sqref="AT41">
    <cfRule type="cellIs" dxfId="258" priority="434" stopIfTrue="1" operator="greaterThan">
      <formula>1</formula>
    </cfRule>
  </conditionalFormatting>
  <conditionalFormatting sqref="O21:X21">
    <cfRule type="expression" dxfId="257" priority="351" stopIfTrue="1">
      <formula>E21&lt;&gt;""</formula>
    </cfRule>
    <cfRule type="expression" dxfId="256" priority="352" stopIfTrue="1">
      <formula>E21=""</formula>
    </cfRule>
  </conditionalFormatting>
  <conditionalFormatting sqref="AP21">
    <cfRule type="expression" dxfId="255" priority="356" stopIfTrue="1">
      <formula>LEN(AP21)&gt;AR$3</formula>
    </cfRule>
    <cfRule type="expression" dxfId="254" priority="357" stopIfTrue="1">
      <formula>AND(NOT(ISERROR(SEARCH("~*~*~*",AP21,1))),SEARCH("~*~*~*",AP21,1)&gt;0)</formula>
    </cfRule>
  </conditionalFormatting>
  <conditionalFormatting sqref="Z21">
    <cfRule type="expression" dxfId="253" priority="358" stopIfTrue="1">
      <formula>LEN(Z21)&gt;$AA$3</formula>
    </cfRule>
    <cfRule type="expression" dxfId="252" priority="359" stopIfTrue="1">
      <formula>AND(NOT(ISERROR(SEARCH("~*~*~*",Z21,1))),SEARCH("~*~*~*",Z21,1)&gt;0)</formula>
    </cfRule>
  </conditionalFormatting>
  <conditionalFormatting sqref="AN21">
    <cfRule type="expression" dxfId="251" priority="360" stopIfTrue="1">
      <formula>LEN(AN21)&gt;#REF!</formula>
    </cfRule>
    <cfRule type="expression" dxfId="250" priority="361" stopIfTrue="1">
      <formula>AND(NOT(ISERROR(SEARCH("~*~*~*",AN21,1))),SEARCH("~*~*~*",AN21,1)&gt;0)</formula>
    </cfRule>
  </conditionalFormatting>
  <conditionalFormatting sqref="AO21 AM21">
    <cfRule type="expression" dxfId="249" priority="362" stopIfTrue="1">
      <formula>LEN(AM21)&gt;32</formula>
    </cfRule>
    <cfRule type="expression" dxfId="248" priority="363" stopIfTrue="1">
      <formula>AND(NOT(ISERROR(SEARCH("~*~*~*",AM21,1))),SEARCH("~*~*~*",AM21,1)&gt;0)</formula>
    </cfRule>
  </conditionalFormatting>
  <conditionalFormatting sqref="AT21">
    <cfRule type="cellIs" dxfId="247" priority="364" stopIfTrue="1" operator="greaterThan">
      <formula>1</formula>
    </cfRule>
  </conditionalFormatting>
  <conditionalFormatting sqref="O22:X22">
    <cfRule type="expression" dxfId="246" priority="337" stopIfTrue="1">
      <formula>E22&lt;&gt;""</formula>
    </cfRule>
    <cfRule type="expression" dxfId="245" priority="338" stopIfTrue="1">
      <formula>E22=""</formula>
    </cfRule>
  </conditionalFormatting>
  <conditionalFormatting sqref="AP22">
    <cfRule type="expression" dxfId="244" priority="342" stopIfTrue="1">
      <formula>LEN(AP22)&gt;AR$3</formula>
    </cfRule>
    <cfRule type="expression" dxfId="243" priority="343" stopIfTrue="1">
      <formula>AND(NOT(ISERROR(SEARCH("~*~*~*",AP22,1))),SEARCH("~*~*~*",AP22,1)&gt;0)</formula>
    </cfRule>
  </conditionalFormatting>
  <conditionalFormatting sqref="Z22">
    <cfRule type="expression" dxfId="242" priority="344" stopIfTrue="1">
      <formula>LEN(Z22)&gt;$AA$3</formula>
    </cfRule>
    <cfRule type="expression" dxfId="241" priority="345" stopIfTrue="1">
      <formula>AND(NOT(ISERROR(SEARCH("~*~*~*",Z22,1))),SEARCH("~*~*~*",Z22,1)&gt;0)</formula>
    </cfRule>
  </conditionalFormatting>
  <conditionalFormatting sqref="AN22">
    <cfRule type="expression" dxfId="240" priority="346" stopIfTrue="1">
      <formula>LEN(AN22)&gt;#REF!</formula>
    </cfRule>
    <cfRule type="expression" dxfId="239" priority="347" stopIfTrue="1">
      <formula>AND(NOT(ISERROR(SEARCH("~*~*~*",AN22,1))),SEARCH("~*~*~*",AN22,1)&gt;0)</formula>
    </cfRule>
  </conditionalFormatting>
  <conditionalFormatting sqref="AO22 AM22">
    <cfRule type="expression" dxfId="238" priority="348" stopIfTrue="1">
      <formula>LEN(AM22)&gt;32</formula>
    </cfRule>
    <cfRule type="expression" dxfId="237" priority="349" stopIfTrue="1">
      <formula>AND(NOT(ISERROR(SEARCH("~*~*~*",AM22,1))),SEARCH("~*~*~*",AM22,1)&gt;0)</formula>
    </cfRule>
  </conditionalFormatting>
  <conditionalFormatting sqref="AT22">
    <cfRule type="cellIs" dxfId="236" priority="350" stopIfTrue="1" operator="greaterThan">
      <formula>1</formula>
    </cfRule>
  </conditionalFormatting>
  <conditionalFormatting sqref="O23:X23">
    <cfRule type="expression" dxfId="235" priority="323" stopIfTrue="1">
      <formula>E23&lt;&gt;""</formula>
    </cfRule>
    <cfRule type="expression" dxfId="234" priority="324" stopIfTrue="1">
      <formula>E23=""</formula>
    </cfRule>
  </conditionalFormatting>
  <conditionalFormatting sqref="AP23">
    <cfRule type="expression" dxfId="233" priority="328" stopIfTrue="1">
      <formula>LEN(AP23)&gt;AR$3</formula>
    </cfRule>
    <cfRule type="expression" dxfId="232" priority="329" stopIfTrue="1">
      <formula>AND(NOT(ISERROR(SEARCH("~*~*~*",AP23,1))),SEARCH("~*~*~*",AP23,1)&gt;0)</formula>
    </cfRule>
  </conditionalFormatting>
  <conditionalFormatting sqref="Z23">
    <cfRule type="expression" dxfId="231" priority="330" stopIfTrue="1">
      <formula>LEN(Z23)&gt;$AA$3</formula>
    </cfRule>
    <cfRule type="expression" dxfId="230" priority="331" stopIfTrue="1">
      <formula>AND(NOT(ISERROR(SEARCH("~*~*~*",Z23,1))),SEARCH("~*~*~*",Z23,1)&gt;0)</formula>
    </cfRule>
  </conditionalFormatting>
  <conditionalFormatting sqref="AN23">
    <cfRule type="expression" dxfId="229" priority="332" stopIfTrue="1">
      <formula>LEN(AN23)&gt;#REF!</formula>
    </cfRule>
    <cfRule type="expression" dxfId="228" priority="333" stopIfTrue="1">
      <formula>AND(NOT(ISERROR(SEARCH("~*~*~*",AN23,1))),SEARCH("~*~*~*",AN23,1)&gt;0)</formula>
    </cfRule>
  </conditionalFormatting>
  <conditionalFormatting sqref="AO23 AM23">
    <cfRule type="expression" dxfId="227" priority="334" stopIfTrue="1">
      <formula>LEN(AM23)&gt;32</formula>
    </cfRule>
    <cfRule type="expression" dxfId="226" priority="335" stopIfTrue="1">
      <formula>AND(NOT(ISERROR(SEARCH("~*~*~*",AM23,1))),SEARCH("~*~*~*",AM23,1)&gt;0)</formula>
    </cfRule>
  </conditionalFormatting>
  <conditionalFormatting sqref="AT23">
    <cfRule type="cellIs" dxfId="225" priority="336" stopIfTrue="1" operator="greaterThan">
      <formula>1</formula>
    </cfRule>
  </conditionalFormatting>
  <conditionalFormatting sqref="O24:X24">
    <cfRule type="expression" dxfId="224" priority="309" stopIfTrue="1">
      <formula>E24&lt;&gt;""</formula>
    </cfRule>
    <cfRule type="expression" dxfId="223" priority="310" stopIfTrue="1">
      <formula>E24=""</formula>
    </cfRule>
  </conditionalFormatting>
  <conditionalFormatting sqref="AP24">
    <cfRule type="expression" dxfId="222" priority="314" stopIfTrue="1">
      <formula>LEN(AP24)&gt;AR$3</formula>
    </cfRule>
    <cfRule type="expression" dxfId="221" priority="315" stopIfTrue="1">
      <formula>AND(NOT(ISERROR(SEARCH("~*~*~*",AP24,1))),SEARCH("~*~*~*",AP24,1)&gt;0)</formula>
    </cfRule>
  </conditionalFormatting>
  <conditionalFormatting sqref="Z24">
    <cfRule type="expression" dxfId="220" priority="316" stopIfTrue="1">
      <formula>LEN(Z24)&gt;$AA$3</formula>
    </cfRule>
    <cfRule type="expression" dxfId="219" priority="317" stopIfTrue="1">
      <formula>AND(NOT(ISERROR(SEARCH("~*~*~*",Z24,1))),SEARCH("~*~*~*",Z24,1)&gt;0)</formula>
    </cfRule>
  </conditionalFormatting>
  <conditionalFormatting sqref="AN24">
    <cfRule type="expression" dxfId="218" priority="318" stopIfTrue="1">
      <formula>LEN(AN24)&gt;#REF!</formula>
    </cfRule>
    <cfRule type="expression" dxfId="217" priority="319" stopIfTrue="1">
      <formula>AND(NOT(ISERROR(SEARCH("~*~*~*",AN24,1))),SEARCH("~*~*~*",AN24,1)&gt;0)</formula>
    </cfRule>
  </conditionalFormatting>
  <conditionalFormatting sqref="AO24 AM24">
    <cfRule type="expression" dxfId="216" priority="320" stopIfTrue="1">
      <formula>LEN(AM24)&gt;32</formula>
    </cfRule>
    <cfRule type="expression" dxfId="215" priority="321" stopIfTrue="1">
      <formula>AND(NOT(ISERROR(SEARCH("~*~*~*",AM24,1))),SEARCH("~*~*~*",AM24,1)&gt;0)</formula>
    </cfRule>
  </conditionalFormatting>
  <conditionalFormatting sqref="AT24">
    <cfRule type="cellIs" dxfId="214" priority="322" stopIfTrue="1" operator="greaterThan">
      <formula>1</formula>
    </cfRule>
  </conditionalFormatting>
  <conditionalFormatting sqref="O25:X25">
    <cfRule type="expression" dxfId="213" priority="295" stopIfTrue="1">
      <formula>E25&lt;&gt;""</formula>
    </cfRule>
    <cfRule type="expression" dxfId="212" priority="296" stopIfTrue="1">
      <formula>E25=""</formula>
    </cfRule>
  </conditionalFormatting>
  <conditionalFormatting sqref="AP25">
    <cfRule type="expression" dxfId="211" priority="300" stopIfTrue="1">
      <formula>LEN(AP25)&gt;AR$3</formula>
    </cfRule>
    <cfRule type="expression" dxfId="210" priority="301" stopIfTrue="1">
      <formula>AND(NOT(ISERROR(SEARCH("~*~*~*",AP25,1))),SEARCH("~*~*~*",AP25,1)&gt;0)</formula>
    </cfRule>
  </conditionalFormatting>
  <conditionalFormatting sqref="Z25">
    <cfRule type="expression" dxfId="209" priority="302" stopIfTrue="1">
      <formula>LEN(Z25)&gt;$AA$3</formula>
    </cfRule>
    <cfRule type="expression" dxfId="208" priority="303" stopIfTrue="1">
      <formula>AND(NOT(ISERROR(SEARCH("~*~*~*",Z25,1))),SEARCH("~*~*~*",Z25,1)&gt;0)</formula>
    </cfRule>
  </conditionalFormatting>
  <conditionalFormatting sqref="AN25">
    <cfRule type="expression" dxfId="207" priority="304" stopIfTrue="1">
      <formula>LEN(AN25)&gt;#REF!</formula>
    </cfRule>
    <cfRule type="expression" dxfId="206" priority="305" stopIfTrue="1">
      <formula>AND(NOT(ISERROR(SEARCH("~*~*~*",AN25,1))),SEARCH("~*~*~*",AN25,1)&gt;0)</formula>
    </cfRule>
  </conditionalFormatting>
  <conditionalFormatting sqref="AO25 AM25">
    <cfRule type="expression" dxfId="205" priority="306" stopIfTrue="1">
      <formula>LEN(AM25)&gt;32</formula>
    </cfRule>
    <cfRule type="expression" dxfId="204" priority="307" stopIfTrue="1">
      <formula>AND(NOT(ISERROR(SEARCH("~*~*~*",AM25,1))),SEARCH("~*~*~*",AM25,1)&gt;0)</formula>
    </cfRule>
  </conditionalFormatting>
  <conditionalFormatting sqref="AT25">
    <cfRule type="cellIs" dxfId="203" priority="308" stopIfTrue="1" operator="greaterThan">
      <formula>1</formula>
    </cfRule>
  </conditionalFormatting>
  <conditionalFormatting sqref="O26:X26">
    <cfRule type="expression" dxfId="202" priority="281" stopIfTrue="1">
      <formula>E26&lt;&gt;""</formula>
    </cfRule>
    <cfRule type="expression" dxfId="201" priority="282" stopIfTrue="1">
      <formula>E26=""</formula>
    </cfRule>
  </conditionalFormatting>
  <conditionalFormatting sqref="AP26">
    <cfRule type="expression" dxfId="200" priority="286" stopIfTrue="1">
      <formula>LEN(AP26)&gt;AR$3</formula>
    </cfRule>
    <cfRule type="expression" dxfId="199" priority="287" stopIfTrue="1">
      <formula>AND(NOT(ISERROR(SEARCH("~*~*~*",AP26,1))),SEARCH("~*~*~*",AP26,1)&gt;0)</formula>
    </cfRule>
  </conditionalFormatting>
  <conditionalFormatting sqref="Z26">
    <cfRule type="expression" dxfId="198" priority="288" stopIfTrue="1">
      <formula>LEN(Z26)&gt;$AA$3</formula>
    </cfRule>
    <cfRule type="expression" dxfId="197" priority="289" stopIfTrue="1">
      <formula>AND(NOT(ISERROR(SEARCH("~*~*~*",Z26,1))),SEARCH("~*~*~*",Z26,1)&gt;0)</formula>
    </cfRule>
  </conditionalFormatting>
  <conditionalFormatting sqref="AN26">
    <cfRule type="expression" dxfId="196" priority="290" stopIfTrue="1">
      <formula>LEN(AN26)&gt;#REF!</formula>
    </cfRule>
    <cfRule type="expression" dxfId="195" priority="291" stopIfTrue="1">
      <formula>AND(NOT(ISERROR(SEARCH("~*~*~*",AN26,1))),SEARCH("~*~*~*",AN26,1)&gt;0)</formula>
    </cfRule>
  </conditionalFormatting>
  <conditionalFormatting sqref="AO26 AM26">
    <cfRule type="expression" dxfId="194" priority="292" stopIfTrue="1">
      <formula>LEN(AM26)&gt;32</formula>
    </cfRule>
    <cfRule type="expression" dxfId="193" priority="293" stopIfTrue="1">
      <formula>AND(NOT(ISERROR(SEARCH("~*~*~*",AM26,1))),SEARCH("~*~*~*",AM26,1)&gt;0)</formula>
    </cfRule>
  </conditionalFormatting>
  <conditionalFormatting sqref="AT26">
    <cfRule type="cellIs" dxfId="192" priority="294" stopIfTrue="1" operator="greaterThan">
      <formula>1</formula>
    </cfRule>
  </conditionalFormatting>
  <conditionalFormatting sqref="O27:X27">
    <cfRule type="expression" dxfId="191" priority="267" stopIfTrue="1">
      <formula>E27&lt;&gt;""</formula>
    </cfRule>
    <cfRule type="expression" dxfId="190" priority="268" stopIfTrue="1">
      <formula>E27=""</formula>
    </cfRule>
  </conditionalFormatting>
  <conditionalFormatting sqref="AP27">
    <cfRule type="expression" dxfId="189" priority="272" stopIfTrue="1">
      <formula>LEN(AP27)&gt;AR$3</formula>
    </cfRule>
    <cfRule type="expression" dxfId="188" priority="273" stopIfTrue="1">
      <formula>AND(NOT(ISERROR(SEARCH("~*~*~*",AP27,1))),SEARCH("~*~*~*",AP27,1)&gt;0)</formula>
    </cfRule>
  </conditionalFormatting>
  <conditionalFormatting sqref="Z27">
    <cfRule type="expression" dxfId="187" priority="274" stopIfTrue="1">
      <formula>LEN(Z27)&gt;$AA$3</formula>
    </cfRule>
    <cfRule type="expression" dxfId="186" priority="275" stopIfTrue="1">
      <formula>AND(NOT(ISERROR(SEARCH("~*~*~*",Z27,1))),SEARCH("~*~*~*",Z27,1)&gt;0)</formula>
    </cfRule>
  </conditionalFormatting>
  <conditionalFormatting sqref="AN27">
    <cfRule type="expression" dxfId="185" priority="276" stopIfTrue="1">
      <formula>LEN(AN27)&gt;#REF!</formula>
    </cfRule>
    <cfRule type="expression" dxfId="184" priority="277" stopIfTrue="1">
      <formula>AND(NOT(ISERROR(SEARCH("~*~*~*",AN27,1))),SEARCH("~*~*~*",AN27,1)&gt;0)</formula>
    </cfRule>
  </conditionalFormatting>
  <conditionalFormatting sqref="AO27 AM27">
    <cfRule type="expression" dxfId="183" priority="278" stopIfTrue="1">
      <formula>LEN(AM27)&gt;32</formula>
    </cfRule>
    <cfRule type="expression" dxfId="182" priority="279" stopIfTrue="1">
      <formula>AND(NOT(ISERROR(SEARCH("~*~*~*",AM27,1))),SEARCH("~*~*~*",AM27,1)&gt;0)</formula>
    </cfRule>
  </conditionalFormatting>
  <conditionalFormatting sqref="AT27">
    <cfRule type="cellIs" dxfId="181" priority="280" stopIfTrue="1" operator="greaterThan">
      <formula>1</formula>
    </cfRule>
  </conditionalFormatting>
  <conditionalFormatting sqref="O28:X28">
    <cfRule type="expression" dxfId="180" priority="239" stopIfTrue="1">
      <formula>E28&lt;&gt;""</formula>
    </cfRule>
    <cfRule type="expression" dxfId="179" priority="240" stopIfTrue="1">
      <formula>E28=""</formula>
    </cfRule>
  </conditionalFormatting>
  <conditionalFormatting sqref="AP28">
    <cfRule type="expression" dxfId="178" priority="244" stopIfTrue="1">
      <formula>LEN(AP28)&gt;AR$3</formula>
    </cfRule>
    <cfRule type="expression" dxfId="177" priority="245" stopIfTrue="1">
      <formula>AND(NOT(ISERROR(SEARCH("~*~*~*",AP28,1))),SEARCH("~*~*~*",AP28,1)&gt;0)</formula>
    </cfRule>
  </conditionalFormatting>
  <conditionalFormatting sqref="Z28">
    <cfRule type="expression" dxfId="176" priority="246" stopIfTrue="1">
      <formula>LEN(Z28)&gt;$AA$3</formula>
    </cfRule>
    <cfRule type="expression" dxfId="175" priority="247" stopIfTrue="1">
      <formula>AND(NOT(ISERROR(SEARCH("~*~*~*",Z28,1))),SEARCH("~*~*~*",Z28,1)&gt;0)</formula>
    </cfRule>
  </conditionalFormatting>
  <conditionalFormatting sqref="AN28">
    <cfRule type="expression" dxfId="174" priority="248" stopIfTrue="1">
      <formula>LEN(AN28)&gt;#REF!</formula>
    </cfRule>
    <cfRule type="expression" dxfId="173" priority="249" stopIfTrue="1">
      <formula>AND(NOT(ISERROR(SEARCH("~*~*~*",AN28,1))),SEARCH("~*~*~*",AN28,1)&gt;0)</formula>
    </cfRule>
  </conditionalFormatting>
  <conditionalFormatting sqref="AO28 AM28">
    <cfRule type="expression" dxfId="172" priority="250" stopIfTrue="1">
      <formula>LEN(AM28)&gt;32</formula>
    </cfRule>
    <cfRule type="expression" dxfId="171" priority="251" stopIfTrue="1">
      <formula>AND(NOT(ISERROR(SEARCH("~*~*~*",AM28,1))),SEARCH("~*~*~*",AM28,1)&gt;0)</formula>
    </cfRule>
  </conditionalFormatting>
  <conditionalFormatting sqref="AT28">
    <cfRule type="cellIs" dxfId="170" priority="252" stopIfTrue="1" operator="greaterThan">
      <formula>1</formula>
    </cfRule>
  </conditionalFormatting>
  <conditionalFormatting sqref="O29:X29">
    <cfRule type="expression" dxfId="169" priority="225" stopIfTrue="1">
      <formula>E29&lt;&gt;""</formula>
    </cfRule>
    <cfRule type="expression" dxfId="168" priority="226" stopIfTrue="1">
      <formula>E29=""</formula>
    </cfRule>
  </conditionalFormatting>
  <conditionalFormatting sqref="AP29">
    <cfRule type="expression" dxfId="167" priority="230" stopIfTrue="1">
      <formula>LEN(AP29)&gt;AR$3</formula>
    </cfRule>
    <cfRule type="expression" dxfId="166" priority="231" stopIfTrue="1">
      <formula>AND(NOT(ISERROR(SEARCH("~*~*~*",AP29,1))),SEARCH("~*~*~*",AP29,1)&gt;0)</formula>
    </cfRule>
  </conditionalFormatting>
  <conditionalFormatting sqref="Z29">
    <cfRule type="expression" dxfId="165" priority="232" stopIfTrue="1">
      <formula>LEN(Z29)&gt;$AA$3</formula>
    </cfRule>
    <cfRule type="expression" dxfId="164" priority="233" stopIfTrue="1">
      <formula>AND(NOT(ISERROR(SEARCH("~*~*~*",Z29,1))),SEARCH("~*~*~*",Z29,1)&gt;0)</formula>
    </cfRule>
  </conditionalFormatting>
  <conditionalFormatting sqref="AN29">
    <cfRule type="expression" dxfId="163" priority="234" stopIfTrue="1">
      <formula>LEN(AN29)&gt;#REF!</formula>
    </cfRule>
    <cfRule type="expression" dxfId="162" priority="235" stopIfTrue="1">
      <formula>AND(NOT(ISERROR(SEARCH("~*~*~*",AN29,1))),SEARCH("~*~*~*",AN29,1)&gt;0)</formula>
    </cfRule>
  </conditionalFormatting>
  <conditionalFormatting sqref="AO29 AM29">
    <cfRule type="expression" dxfId="161" priority="236" stopIfTrue="1">
      <formula>LEN(AM29)&gt;32</formula>
    </cfRule>
    <cfRule type="expression" dxfId="160" priority="237" stopIfTrue="1">
      <formula>AND(NOT(ISERROR(SEARCH("~*~*~*",AM29,1))),SEARCH("~*~*~*",AM29,1)&gt;0)</formula>
    </cfRule>
  </conditionalFormatting>
  <conditionalFormatting sqref="AT29">
    <cfRule type="cellIs" dxfId="159" priority="238" stopIfTrue="1" operator="greaterThan">
      <formula>1</formula>
    </cfRule>
  </conditionalFormatting>
  <conditionalFormatting sqref="O30:X30">
    <cfRule type="expression" dxfId="158" priority="211" stopIfTrue="1">
      <formula>E30&lt;&gt;""</formula>
    </cfRule>
    <cfRule type="expression" dxfId="157" priority="212" stopIfTrue="1">
      <formula>E30=""</formula>
    </cfRule>
  </conditionalFormatting>
  <conditionalFormatting sqref="AP30">
    <cfRule type="expression" dxfId="156" priority="216" stopIfTrue="1">
      <formula>LEN(AP30)&gt;AR$3</formula>
    </cfRule>
    <cfRule type="expression" dxfId="155" priority="217" stopIfTrue="1">
      <formula>AND(NOT(ISERROR(SEARCH("~*~*~*",AP30,1))),SEARCH("~*~*~*",AP30,1)&gt;0)</formula>
    </cfRule>
  </conditionalFormatting>
  <conditionalFormatting sqref="Z30">
    <cfRule type="expression" dxfId="154" priority="218" stopIfTrue="1">
      <formula>LEN(Z30)&gt;$AA$3</formula>
    </cfRule>
    <cfRule type="expression" dxfId="153" priority="219" stopIfTrue="1">
      <formula>AND(NOT(ISERROR(SEARCH("~*~*~*",Z30,1))),SEARCH("~*~*~*",Z30,1)&gt;0)</formula>
    </cfRule>
  </conditionalFormatting>
  <conditionalFormatting sqref="AN30">
    <cfRule type="expression" dxfId="152" priority="220" stopIfTrue="1">
      <formula>LEN(AN30)&gt;#REF!</formula>
    </cfRule>
    <cfRule type="expression" dxfId="151" priority="221" stopIfTrue="1">
      <formula>AND(NOT(ISERROR(SEARCH("~*~*~*",AN30,1))),SEARCH("~*~*~*",AN30,1)&gt;0)</formula>
    </cfRule>
  </conditionalFormatting>
  <conditionalFormatting sqref="AO30 AM30">
    <cfRule type="expression" dxfId="150" priority="222" stopIfTrue="1">
      <formula>LEN(AM30)&gt;32</formula>
    </cfRule>
    <cfRule type="expression" dxfId="149" priority="223" stopIfTrue="1">
      <formula>AND(NOT(ISERROR(SEARCH("~*~*~*",AM30,1))),SEARCH("~*~*~*",AM30,1)&gt;0)</formula>
    </cfRule>
  </conditionalFormatting>
  <conditionalFormatting sqref="AT30">
    <cfRule type="cellIs" dxfId="148" priority="224" stopIfTrue="1" operator="greaterThan">
      <formula>1</formula>
    </cfRule>
  </conditionalFormatting>
  <conditionalFormatting sqref="O31:X31">
    <cfRule type="expression" dxfId="147" priority="197" stopIfTrue="1">
      <formula>E31&lt;&gt;""</formula>
    </cfRule>
    <cfRule type="expression" dxfId="146" priority="198" stopIfTrue="1">
      <formula>E31=""</formula>
    </cfRule>
  </conditionalFormatting>
  <conditionalFormatting sqref="AP31">
    <cfRule type="expression" dxfId="145" priority="202" stopIfTrue="1">
      <formula>LEN(AP31)&gt;AR$3</formula>
    </cfRule>
    <cfRule type="expression" dxfId="144" priority="203" stopIfTrue="1">
      <formula>AND(NOT(ISERROR(SEARCH("~*~*~*",AP31,1))),SEARCH("~*~*~*",AP31,1)&gt;0)</formula>
    </cfRule>
  </conditionalFormatting>
  <conditionalFormatting sqref="Z31">
    <cfRule type="expression" dxfId="143" priority="204" stopIfTrue="1">
      <formula>LEN(Z31)&gt;$AA$3</formula>
    </cfRule>
    <cfRule type="expression" dxfId="142" priority="205" stopIfTrue="1">
      <formula>AND(NOT(ISERROR(SEARCH("~*~*~*",Z31,1))),SEARCH("~*~*~*",Z31,1)&gt;0)</formula>
    </cfRule>
  </conditionalFormatting>
  <conditionalFormatting sqref="AN31">
    <cfRule type="expression" dxfId="141" priority="206" stopIfTrue="1">
      <formula>LEN(AN31)&gt;#REF!</formula>
    </cfRule>
    <cfRule type="expression" dxfId="140" priority="207" stopIfTrue="1">
      <formula>AND(NOT(ISERROR(SEARCH("~*~*~*",AN31,1))),SEARCH("~*~*~*",AN31,1)&gt;0)</formula>
    </cfRule>
  </conditionalFormatting>
  <conditionalFormatting sqref="AO31 AM31">
    <cfRule type="expression" dxfId="139" priority="208" stopIfTrue="1">
      <formula>LEN(AM31)&gt;32</formula>
    </cfRule>
    <cfRule type="expression" dxfId="138" priority="209" stopIfTrue="1">
      <formula>AND(NOT(ISERROR(SEARCH("~*~*~*",AM31,1))),SEARCH("~*~*~*",AM31,1)&gt;0)</formula>
    </cfRule>
  </conditionalFormatting>
  <conditionalFormatting sqref="AT31">
    <cfRule type="cellIs" dxfId="137" priority="210" stopIfTrue="1" operator="greaterThan">
      <formula>1</formula>
    </cfRule>
  </conditionalFormatting>
  <conditionalFormatting sqref="O32:X32">
    <cfRule type="expression" dxfId="136" priority="183" stopIfTrue="1">
      <formula>E32&lt;&gt;""</formula>
    </cfRule>
    <cfRule type="expression" dxfId="135" priority="184" stopIfTrue="1">
      <formula>E32=""</formula>
    </cfRule>
  </conditionalFormatting>
  <conditionalFormatting sqref="AP32">
    <cfRule type="expression" dxfId="134" priority="188" stopIfTrue="1">
      <formula>LEN(AP32)&gt;AR$3</formula>
    </cfRule>
    <cfRule type="expression" dxfId="133" priority="189" stopIfTrue="1">
      <formula>AND(NOT(ISERROR(SEARCH("~*~*~*",AP32,1))),SEARCH("~*~*~*",AP32,1)&gt;0)</formula>
    </cfRule>
  </conditionalFormatting>
  <conditionalFormatting sqref="Z32">
    <cfRule type="expression" dxfId="132" priority="190" stopIfTrue="1">
      <formula>LEN(Z32)&gt;$AA$3</formula>
    </cfRule>
    <cfRule type="expression" dxfId="131" priority="191" stopIfTrue="1">
      <formula>AND(NOT(ISERROR(SEARCH("~*~*~*",Z32,1))),SEARCH("~*~*~*",Z32,1)&gt;0)</formula>
    </cfRule>
  </conditionalFormatting>
  <conditionalFormatting sqref="AN32">
    <cfRule type="expression" dxfId="130" priority="192" stopIfTrue="1">
      <formula>LEN(AN32)&gt;#REF!</formula>
    </cfRule>
    <cfRule type="expression" dxfId="129" priority="193" stopIfTrue="1">
      <formula>AND(NOT(ISERROR(SEARCH("~*~*~*",AN32,1))),SEARCH("~*~*~*",AN32,1)&gt;0)</formula>
    </cfRule>
  </conditionalFormatting>
  <conditionalFormatting sqref="AO32 AM32">
    <cfRule type="expression" dxfId="128" priority="194" stopIfTrue="1">
      <formula>LEN(AM32)&gt;32</formula>
    </cfRule>
    <cfRule type="expression" dxfId="127" priority="195" stopIfTrue="1">
      <formula>AND(NOT(ISERROR(SEARCH("~*~*~*",AM32,1))),SEARCH("~*~*~*",AM32,1)&gt;0)</formula>
    </cfRule>
  </conditionalFormatting>
  <conditionalFormatting sqref="AT32">
    <cfRule type="cellIs" dxfId="126" priority="196" stopIfTrue="1" operator="greaterThan">
      <formula>1</formula>
    </cfRule>
  </conditionalFormatting>
  <conditionalFormatting sqref="O9:X9">
    <cfRule type="expression" dxfId="125" priority="169" stopIfTrue="1">
      <formula>E9&lt;&gt;""</formula>
    </cfRule>
    <cfRule type="expression" dxfId="124" priority="170" stopIfTrue="1">
      <formula>E9=""</formula>
    </cfRule>
  </conditionalFormatting>
  <conditionalFormatting sqref="AP9">
    <cfRule type="expression" dxfId="123" priority="174" stopIfTrue="1">
      <formula>LEN(AP9)&gt;AR$3</formula>
    </cfRule>
    <cfRule type="expression" dxfId="122" priority="175" stopIfTrue="1">
      <formula>AND(NOT(ISERROR(SEARCH("~*~*~*",AP9,1))),SEARCH("~*~*~*",AP9,1)&gt;0)</formula>
    </cfRule>
  </conditionalFormatting>
  <conditionalFormatting sqref="Z9">
    <cfRule type="expression" dxfId="121" priority="176" stopIfTrue="1">
      <formula>LEN(Z9)&gt;$AA$3</formula>
    </cfRule>
    <cfRule type="expression" dxfId="120" priority="177" stopIfTrue="1">
      <formula>AND(NOT(ISERROR(SEARCH("~*~*~*",Z9,1))),SEARCH("~*~*~*",Z9,1)&gt;0)</formula>
    </cfRule>
  </conditionalFormatting>
  <conditionalFormatting sqref="AN9">
    <cfRule type="expression" dxfId="119" priority="178" stopIfTrue="1">
      <formula>LEN(AN9)&gt;#REF!</formula>
    </cfRule>
    <cfRule type="expression" dxfId="118" priority="179" stopIfTrue="1">
      <formula>AND(NOT(ISERROR(SEARCH("~*~*~*",AN9,1))),SEARCH("~*~*~*",AN9,1)&gt;0)</formula>
    </cfRule>
  </conditionalFormatting>
  <conditionalFormatting sqref="AO9 AM9">
    <cfRule type="expression" dxfId="117" priority="180" stopIfTrue="1">
      <formula>LEN(AM9)&gt;32</formula>
    </cfRule>
    <cfRule type="expression" dxfId="116" priority="181" stopIfTrue="1">
      <formula>AND(NOT(ISERROR(SEARCH("~*~*~*",AM9,1))),SEARCH("~*~*~*",AM9,1)&gt;0)</formula>
    </cfRule>
  </conditionalFormatting>
  <conditionalFormatting sqref="AT9">
    <cfRule type="cellIs" dxfId="115" priority="182" stopIfTrue="1" operator="greaterThan">
      <formula>1</formula>
    </cfRule>
  </conditionalFormatting>
  <conditionalFormatting sqref="O10:X10">
    <cfRule type="expression" dxfId="114" priority="155" stopIfTrue="1">
      <formula>E10&lt;&gt;""</formula>
    </cfRule>
    <cfRule type="expression" dxfId="113" priority="156" stopIfTrue="1">
      <formula>E10=""</formula>
    </cfRule>
  </conditionalFormatting>
  <conditionalFormatting sqref="AP10">
    <cfRule type="expression" dxfId="112" priority="160" stopIfTrue="1">
      <formula>LEN(AP10)&gt;AR$3</formula>
    </cfRule>
    <cfRule type="expression" dxfId="111" priority="161" stopIfTrue="1">
      <formula>AND(NOT(ISERROR(SEARCH("~*~*~*",AP10,1))),SEARCH("~*~*~*",AP10,1)&gt;0)</formula>
    </cfRule>
  </conditionalFormatting>
  <conditionalFormatting sqref="Z10">
    <cfRule type="expression" dxfId="110" priority="162" stopIfTrue="1">
      <formula>LEN(Z10)&gt;$AA$3</formula>
    </cfRule>
    <cfRule type="expression" dxfId="109" priority="163" stopIfTrue="1">
      <formula>AND(NOT(ISERROR(SEARCH("~*~*~*",Z10,1))),SEARCH("~*~*~*",Z10,1)&gt;0)</formula>
    </cfRule>
  </conditionalFormatting>
  <conditionalFormatting sqref="AN10">
    <cfRule type="expression" dxfId="108" priority="164" stopIfTrue="1">
      <formula>LEN(AN10)&gt;#REF!</formula>
    </cfRule>
    <cfRule type="expression" dxfId="107" priority="165" stopIfTrue="1">
      <formula>AND(NOT(ISERROR(SEARCH("~*~*~*",AN10,1))),SEARCH("~*~*~*",AN10,1)&gt;0)</formula>
    </cfRule>
  </conditionalFormatting>
  <conditionalFormatting sqref="AO10 AM10">
    <cfRule type="expression" dxfId="106" priority="166" stopIfTrue="1">
      <formula>LEN(AM10)&gt;32</formula>
    </cfRule>
    <cfRule type="expression" dxfId="105" priority="167" stopIfTrue="1">
      <formula>AND(NOT(ISERROR(SEARCH("~*~*~*",AM10,1))),SEARCH("~*~*~*",AM10,1)&gt;0)</formula>
    </cfRule>
  </conditionalFormatting>
  <conditionalFormatting sqref="AT10">
    <cfRule type="cellIs" dxfId="104" priority="168" stopIfTrue="1" operator="greaterThan">
      <formula>1</formula>
    </cfRule>
  </conditionalFormatting>
  <conditionalFormatting sqref="O11:X11">
    <cfRule type="expression" dxfId="103" priority="141" stopIfTrue="1">
      <formula>E11&lt;&gt;""</formula>
    </cfRule>
    <cfRule type="expression" dxfId="102" priority="142" stopIfTrue="1">
      <formula>E11=""</formula>
    </cfRule>
  </conditionalFormatting>
  <conditionalFormatting sqref="AP11">
    <cfRule type="expression" dxfId="101" priority="146" stopIfTrue="1">
      <formula>LEN(AP11)&gt;AR$3</formula>
    </cfRule>
    <cfRule type="expression" dxfId="100" priority="147" stopIfTrue="1">
      <formula>AND(NOT(ISERROR(SEARCH("~*~*~*",AP11,1))),SEARCH("~*~*~*",AP11,1)&gt;0)</formula>
    </cfRule>
  </conditionalFormatting>
  <conditionalFormatting sqref="Z11">
    <cfRule type="expression" dxfId="99" priority="148" stopIfTrue="1">
      <formula>LEN(Z11)&gt;$AA$3</formula>
    </cfRule>
    <cfRule type="expression" dxfId="98" priority="149" stopIfTrue="1">
      <formula>AND(NOT(ISERROR(SEARCH("~*~*~*",Z11,1))),SEARCH("~*~*~*",Z11,1)&gt;0)</formula>
    </cfRule>
  </conditionalFormatting>
  <conditionalFormatting sqref="AN11">
    <cfRule type="expression" dxfId="97" priority="150" stopIfTrue="1">
      <formula>LEN(AN11)&gt;#REF!</formula>
    </cfRule>
    <cfRule type="expression" dxfId="96" priority="151" stopIfTrue="1">
      <formula>AND(NOT(ISERROR(SEARCH("~*~*~*",AN11,1))),SEARCH("~*~*~*",AN11,1)&gt;0)</formula>
    </cfRule>
  </conditionalFormatting>
  <conditionalFormatting sqref="AO11 AM11">
    <cfRule type="expression" dxfId="95" priority="152" stopIfTrue="1">
      <formula>LEN(AM11)&gt;32</formula>
    </cfRule>
    <cfRule type="expression" dxfId="94" priority="153" stopIfTrue="1">
      <formula>AND(NOT(ISERROR(SEARCH("~*~*~*",AM11,1))),SEARCH("~*~*~*",AM11,1)&gt;0)</formula>
    </cfRule>
  </conditionalFormatting>
  <conditionalFormatting sqref="AT11">
    <cfRule type="cellIs" dxfId="93" priority="154" stopIfTrue="1" operator="greaterThan">
      <formula>1</formula>
    </cfRule>
  </conditionalFormatting>
  <conditionalFormatting sqref="O12:X12">
    <cfRule type="expression" dxfId="92" priority="127" stopIfTrue="1">
      <formula>E12&lt;&gt;""</formula>
    </cfRule>
    <cfRule type="expression" dxfId="91" priority="128" stopIfTrue="1">
      <formula>E12=""</formula>
    </cfRule>
  </conditionalFormatting>
  <conditionalFormatting sqref="AP12">
    <cfRule type="expression" dxfId="90" priority="132" stopIfTrue="1">
      <formula>LEN(AP12)&gt;AR$3</formula>
    </cfRule>
    <cfRule type="expression" dxfId="89" priority="133" stopIfTrue="1">
      <formula>AND(NOT(ISERROR(SEARCH("~*~*~*",AP12,1))),SEARCH("~*~*~*",AP12,1)&gt;0)</formula>
    </cfRule>
  </conditionalFormatting>
  <conditionalFormatting sqref="Z12">
    <cfRule type="expression" dxfId="88" priority="134" stopIfTrue="1">
      <formula>LEN(Z12)&gt;$AA$3</formula>
    </cfRule>
    <cfRule type="expression" dxfId="87" priority="135" stopIfTrue="1">
      <formula>AND(NOT(ISERROR(SEARCH("~*~*~*",Z12,1))),SEARCH("~*~*~*",Z12,1)&gt;0)</formula>
    </cfRule>
  </conditionalFormatting>
  <conditionalFormatting sqref="AN12">
    <cfRule type="expression" dxfId="86" priority="136" stopIfTrue="1">
      <formula>LEN(AN12)&gt;#REF!</formula>
    </cfRule>
    <cfRule type="expression" dxfId="85" priority="137" stopIfTrue="1">
      <formula>AND(NOT(ISERROR(SEARCH("~*~*~*",AN12,1))),SEARCH("~*~*~*",AN12,1)&gt;0)</formula>
    </cfRule>
  </conditionalFormatting>
  <conditionalFormatting sqref="AO12 AM12">
    <cfRule type="expression" dxfId="84" priority="138" stopIfTrue="1">
      <formula>LEN(AM12)&gt;32</formula>
    </cfRule>
    <cfRule type="expression" dxfId="83" priority="139" stopIfTrue="1">
      <formula>AND(NOT(ISERROR(SEARCH("~*~*~*",AM12,1))),SEARCH("~*~*~*",AM12,1)&gt;0)</formula>
    </cfRule>
  </conditionalFormatting>
  <conditionalFormatting sqref="AT12">
    <cfRule type="cellIs" dxfId="82" priority="140" stopIfTrue="1" operator="greaterThan">
      <formula>1</formula>
    </cfRule>
  </conditionalFormatting>
  <conditionalFormatting sqref="O13:X13">
    <cfRule type="expression" dxfId="81" priority="113" stopIfTrue="1">
      <formula>E13&lt;&gt;""</formula>
    </cfRule>
    <cfRule type="expression" dxfId="80" priority="114" stopIfTrue="1">
      <formula>E13=""</formula>
    </cfRule>
  </conditionalFormatting>
  <conditionalFormatting sqref="AP13">
    <cfRule type="expression" dxfId="79" priority="118" stopIfTrue="1">
      <formula>LEN(AP13)&gt;AR$3</formula>
    </cfRule>
    <cfRule type="expression" dxfId="78" priority="119" stopIfTrue="1">
      <formula>AND(NOT(ISERROR(SEARCH("~*~*~*",AP13,1))),SEARCH("~*~*~*",AP13,1)&gt;0)</formula>
    </cfRule>
  </conditionalFormatting>
  <conditionalFormatting sqref="Z13">
    <cfRule type="expression" dxfId="77" priority="120" stopIfTrue="1">
      <formula>LEN(Z13)&gt;$AA$3</formula>
    </cfRule>
    <cfRule type="expression" dxfId="76" priority="121" stopIfTrue="1">
      <formula>AND(NOT(ISERROR(SEARCH("~*~*~*",Z13,1))),SEARCH("~*~*~*",Z13,1)&gt;0)</formula>
    </cfRule>
  </conditionalFormatting>
  <conditionalFormatting sqref="AN13">
    <cfRule type="expression" dxfId="75" priority="122" stopIfTrue="1">
      <formula>LEN(AN13)&gt;#REF!</formula>
    </cfRule>
    <cfRule type="expression" dxfId="74" priority="123" stopIfTrue="1">
      <formula>AND(NOT(ISERROR(SEARCH("~*~*~*",AN13,1))),SEARCH("~*~*~*",AN13,1)&gt;0)</formula>
    </cfRule>
  </conditionalFormatting>
  <conditionalFormatting sqref="AO13 AM13">
    <cfRule type="expression" dxfId="73" priority="124" stopIfTrue="1">
      <formula>LEN(AM13)&gt;32</formula>
    </cfRule>
    <cfRule type="expression" dxfId="72" priority="125" stopIfTrue="1">
      <formula>AND(NOT(ISERROR(SEARCH("~*~*~*",AM13,1))),SEARCH("~*~*~*",AM13,1)&gt;0)</formula>
    </cfRule>
  </conditionalFormatting>
  <conditionalFormatting sqref="AT13">
    <cfRule type="cellIs" dxfId="71" priority="126" stopIfTrue="1" operator="greaterThan">
      <formula>1</formula>
    </cfRule>
  </conditionalFormatting>
  <conditionalFormatting sqref="O14:X14">
    <cfRule type="expression" dxfId="70" priority="99" stopIfTrue="1">
      <formula>E14&lt;&gt;""</formula>
    </cfRule>
    <cfRule type="expression" dxfId="69" priority="100" stopIfTrue="1">
      <formula>E14=""</formula>
    </cfRule>
  </conditionalFormatting>
  <conditionalFormatting sqref="AP14">
    <cfRule type="expression" dxfId="68" priority="104" stopIfTrue="1">
      <formula>LEN(AP14)&gt;AR$3</formula>
    </cfRule>
    <cfRule type="expression" dxfId="67" priority="105" stopIfTrue="1">
      <formula>AND(NOT(ISERROR(SEARCH("~*~*~*",AP14,1))),SEARCH("~*~*~*",AP14,1)&gt;0)</formula>
    </cfRule>
  </conditionalFormatting>
  <conditionalFormatting sqref="Z14">
    <cfRule type="expression" dxfId="66" priority="106" stopIfTrue="1">
      <formula>LEN(Z14)&gt;$AA$3</formula>
    </cfRule>
    <cfRule type="expression" dxfId="65" priority="107" stopIfTrue="1">
      <formula>AND(NOT(ISERROR(SEARCH("~*~*~*",Z14,1))),SEARCH("~*~*~*",Z14,1)&gt;0)</formula>
    </cfRule>
  </conditionalFormatting>
  <conditionalFormatting sqref="AN14">
    <cfRule type="expression" dxfId="64" priority="108" stopIfTrue="1">
      <formula>LEN(AN14)&gt;#REF!</formula>
    </cfRule>
    <cfRule type="expression" dxfId="63" priority="109" stopIfTrue="1">
      <formula>AND(NOT(ISERROR(SEARCH("~*~*~*",AN14,1))),SEARCH("~*~*~*",AN14,1)&gt;0)</formula>
    </cfRule>
  </conditionalFormatting>
  <conditionalFormatting sqref="AO14 AM14">
    <cfRule type="expression" dxfId="62" priority="110" stopIfTrue="1">
      <formula>LEN(AM14)&gt;32</formula>
    </cfRule>
    <cfRule type="expression" dxfId="61" priority="111" stopIfTrue="1">
      <formula>AND(NOT(ISERROR(SEARCH("~*~*~*",AM14,1))),SEARCH("~*~*~*",AM14,1)&gt;0)</formula>
    </cfRule>
  </conditionalFormatting>
  <conditionalFormatting sqref="AT14">
    <cfRule type="cellIs" dxfId="60" priority="112" stopIfTrue="1" operator="greaterThan">
      <formula>1</formula>
    </cfRule>
  </conditionalFormatting>
  <conditionalFormatting sqref="O15:X15">
    <cfRule type="expression" dxfId="59" priority="85" stopIfTrue="1">
      <formula>E15&lt;&gt;""</formula>
    </cfRule>
    <cfRule type="expression" dxfId="58" priority="86" stopIfTrue="1">
      <formula>E15=""</formula>
    </cfRule>
  </conditionalFormatting>
  <conditionalFormatting sqref="AP15">
    <cfRule type="expression" dxfId="57" priority="90" stopIfTrue="1">
      <formula>LEN(AP15)&gt;AR$3</formula>
    </cfRule>
    <cfRule type="expression" dxfId="56" priority="91" stopIfTrue="1">
      <formula>AND(NOT(ISERROR(SEARCH("~*~*~*",AP15,1))),SEARCH("~*~*~*",AP15,1)&gt;0)</formula>
    </cfRule>
  </conditionalFormatting>
  <conditionalFormatting sqref="Z15">
    <cfRule type="expression" dxfId="55" priority="92" stopIfTrue="1">
      <formula>LEN(Z15)&gt;$AA$3</formula>
    </cfRule>
    <cfRule type="expression" dxfId="54" priority="93" stopIfTrue="1">
      <formula>AND(NOT(ISERROR(SEARCH("~*~*~*",Z15,1))),SEARCH("~*~*~*",Z15,1)&gt;0)</formula>
    </cfRule>
  </conditionalFormatting>
  <conditionalFormatting sqref="AN15">
    <cfRule type="expression" dxfId="53" priority="94" stopIfTrue="1">
      <formula>LEN(AN15)&gt;#REF!</formula>
    </cfRule>
    <cfRule type="expression" dxfId="52" priority="95" stopIfTrue="1">
      <formula>AND(NOT(ISERROR(SEARCH("~*~*~*",AN15,1))),SEARCH("~*~*~*",AN15,1)&gt;0)</formula>
    </cfRule>
  </conditionalFormatting>
  <conditionalFormatting sqref="AO15 AM15">
    <cfRule type="expression" dxfId="51" priority="96" stopIfTrue="1">
      <formula>LEN(AM15)&gt;32</formula>
    </cfRule>
    <cfRule type="expression" dxfId="50" priority="97" stopIfTrue="1">
      <formula>AND(NOT(ISERROR(SEARCH("~*~*~*",AM15,1))),SEARCH("~*~*~*",AM15,1)&gt;0)</formula>
    </cfRule>
  </conditionalFormatting>
  <conditionalFormatting sqref="AT15">
    <cfRule type="cellIs" dxfId="49" priority="98" stopIfTrue="1" operator="greaterThan">
      <formula>1</formula>
    </cfRule>
  </conditionalFormatting>
  <conditionalFormatting sqref="O16:X16">
    <cfRule type="expression" dxfId="48" priority="57" stopIfTrue="1">
      <formula>E16&lt;&gt;""</formula>
    </cfRule>
    <cfRule type="expression" dxfId="47" priority="58" stopIfTrue="1">
      <formula>E16=""</formula>
    </cfRule>
  </conditionalFormatting>
  <conditionalFormatting sqref="Z16">
    <cfRule type="expression" dxfId="46" priority="64" stopIfTrue="1">
      <formula>LEN(Z16)&gt;$AA$3</formula>
    </cfRule>
    <cfRule type="expression" dxfId="45" priority="65" stopIfTrue="1">
      <formula>AND(NOT(ISERROR(SEARCH("~*~*~*",Z16,1))),SEARCH("~*~*~*",Z16,1)&gt;0)</formula>
    </cfRule>
  </conditionalFormatting>
  <conditionalFormatting sqref="AN16">
    <cfRule type="expression" dxfId="44" priority="66" stopIfTrue="1">
      <formula>LEN(AN16)&gt;#REF!</formula>
    </cfRule>
    <cfRule type="expression" dxfId="43" priority="67" stopIfTrue="1">
      <formula>AND(NOT(ISERROR(SEARCH("~*~*~*",AN16,1))),SEARCH("~*~*~*",AN16,1)&gt;0)</formula>
    </cfRule>
  </conditionalFormatting>
  <conditionalFormatting sqref="AO16 AM16">
    <cfRule type="expression" dxfId="42" priority="68" stopIfTrue="1">
      <formula>LEN(AM16)&gt;32</formula>
    </cfRule>
    <cfRule type="expression" dxfId="41" priority="69" stopIfTrue="1">
      <formula>AND(NOT(ISERROR(SEARCH("~*~*~*",AM16,1))),SEARCH("~*~*~*",AM16,1)&gt;0)</formula>
    </cfRule>
  </conditionalFormatting>
  <conditionalFormatting sqref="AT16">
    <cfRule type="cellIs" dxfId="40" priority="70" stopIfTrue="1" operator="greaterThan">
      <formula>1</formula>
    </cfRule>
  </conditionalFormatting>
  <conditionalFormatting sqref="O17:X17">
    <cfRule type="expression" dxfId="39" priority="43" stopIfTrue="1">
      <formula>E17&lt;&gt;""</formula>
    </cfRule>
    <cfRule type="expression" dxfId="38" priority="44" stopIfTrue="1">
      <formula>E17=""</formula>
    </cfRule>
  </conditionalFormatting>
  <conditionalFormatting sqref="Z17">
    <cfRule type="expression" dxfId="37" priority="50" stopIfTrue="1">
      <formula>LEN(Z17)&gt;$AA$3</formula>
    </cfRule>
    <cfRule type="expression" dxfId="36" priority="51" stopIfTrue="1">
      <formula>AND(NOT(ISERROR(SEARCH("~*~*~*",Z17,1))),SEARCH("~*~*~*",Z17,1)&gt;0)</formula>
    </cfRule>
  </conditionalFormatting>
  <conditionalFormatting sqref="AN17">
    <cfRule type="expression" dxfId="35" priority="52" stopIfTrue="1">
      <formula>LEN(AN17)&gt;#REF!</formula>
    </cfRule>
    <cfRule type="expression" dxfId="34" priority="53" stopIfTrue="1">
      <formula>AND(NOT(ISERROR(SEARCH("~*~*~*",AN17,1))),SEARCH("~*~*~*",AN17,1)&gt;0)</formula>
    </cfRule>
  </conditionalFormatting>
  <conditionalFormatting sqref="AO17 AM17">
    <cfRule type="expression" dxfId="33" priority="54" stopIfTrue="1">
      <formula>LEN(AM17)&gt;32</formula>
    </cfRule>
    <cfRule type="expression" dxfId="32" priority="55" stopIfTrue="1">
      <formula>AND(NOT(ISERROR(SEARCH("~*~*~*",AM17,1))),SEARCH("~*~*~*",AM17,1)&gt;0)</formula>
    </cfRule>
  </conditionalFormatting>
  <conditionalFormatting sqref="AT17">
    <cfRule type="cellIs" dxfId="31" priority="56" stopIfTrue="1" operator="greaterThan">
      <formula>1</formula>
    </cfRule>
  </conditionalFormatting>
  <conditionalFormatting sqref="O18:X18">
    <cfRule type="expression" dxfId="30" priority="29" stopIfTrue="1">
      <formula>E18&lt;&gt;""</formula>
    </cfRule>
    <cfRule type="expression" dxfId="29" priority="30" stopIfTrue="1">
      <formula>E18=""</formula>
    </cfRule>
  </conditionalFormatting>
  <conditionalFormatting sqref="Z18">
    <cfRule type="expression" dxfId="28" priority="36" stopIfTrue="1">
      <formula>LEN(Z18)&gt;$AA$3</formula>
    </cfRule>
    <cfRule type="expression" dxfId="27" priority="37" stopIfTrue="1">
      <formula>AND(NOT(ISERROR(SEARCH("~*~*~*",Z18,1))),SEARCH("~*~*~*",Z18,1)&gt;0)</formula>
    </cfRule>
  </conditionalFormatting>
  <conditionalFormatting sqref="AN18">
    <cfRule type="expression" dxfId="26" priority="38" stopIfTrue="1">
      <formula>LEN(AN18)&gt;#REF!</formula>
    </cfRule>
    <cfRule type="expression" dxfId="25" priority="39" stopIfTrue="1">
      <formula>AND(NOT(ISERROR(SEARCH("~*~*~*",AN18,1))),SEARCH("~*~*~*",AN18,1)&gt;0)</formula>
    </cfRule>
  </conditionalFormatting>
  <conditionalFormatting sqref="AO18 AM18">
    <cfRule type="expression" dxfId="24" priority="40" stopIfTrue="1">
      <formula>LEN(AM18)&gt;32</formula>
    </cfRule>
    <cfRule type="expression" dxfId="23" priority="41" stopIfTrue="1">
      <formula>AND(NOT(ISERROR(SEARCH("~*~*~*",AM18,1))),SEARCH("~*~*~*",AM18,1)&gt;0)</formula>
    </cfRule>
  </conditionalFormatting>
  <conditionalFormatting sqref="AT18">
    <cfRule type="cellIs" dxfId="22" priority="42" stopIfTrue="1" operator="greaterThan">
      <formula>1</formula>
    </cfRule>
  </conditionalFormatting>
  <conditionalFormatting sqref="O19:X19">
    <cfRule type="expression" dxfId="21" priority="15" stopIfTrue="1">
      <formula>E19&lt;&gt;""</formula>
    </cfRule>
    <cfRule type="expression" dxfId="20" priority="16" stopIfTrue="1">
      <formula>E19=""</formula>
    </cfRule>
  </conditionalFormatting>
  <conditionalFormatting sqref="AP19">
    <cfRule type="expression" dxfId="19" priority="20" stopIfTrue="1">
      <formula>LEN(AP19)&gt;AR$3</formula>
    </cfRule>
    <cfRule type="expression" dxfId="18" priority="21" stopIfTrue="1">
      <formula>AND(NOT(ISERROR(SEARCH("~*~*~*",AP19,1))),SEARCH("~*~*~*",AP19,1)&gt;0)</formula>
    </cfRule>
  </conditionalFormatting>
  <conditionalFormatting sqref="Z19">
    <cfRule type="expression" dxfId="17" priority="22" stopIfTrue="1">
      <formula>LEN(Z19)&gt;$AA$3</formula>
    </cfRule>
    <cfRule type="expression" dxfId="16" priority="23" stopIfTrue="1">
      <formula>AND(NOT(ISERROR(SEARCH("~*~*~*",Z19,1))),SEARCH("~*~*~*",Z19,1)&gt;0)</formula>
    </cfRule>
  </conditionalFormatting>
  <conditionalFormatting sqref="AN19">
    <cfRule type="expression" dxfId="15" priority="24" stopIfTrue="1">
      <formula>LEN(AN19)&gt;#REF!</formula>
    </cfRule>
    <cfRule type="expression" dxfId="14" priority="25" stopIfTrue="1">
      <formula>AND(NOT(ISERROR(SEARCH("~*~*~*",AN19,1))),SEARCH("~*~*~*",AN19,1)&gt;0)</formula>
    </cfRule>
  </conditionalFormatting>
  <conditionalFormatting sqref="AO19 AM19">
    <cfRule type="expression" dxfId="13" priority="26" stopIfTrue="1">
      <formula>LEN(AM19)&gt;32</formula>
    </cfRule>
    <cfRule type="expression" dxfId="12" priority="27" stopIfTrue="1">
      <formula>AND(NOT(ISERROR(SEARCH("~*~*~*",AM19,1))),SEARCH("~*~*~*",AM19,1)&gt;0)</formula>
    </cfRule>
  </conditionalFormatting>
  <conditionalFormatting sqref="AT19">
    <cfRule type="cellIs" dxfId="11" priority="28" stopIfTrue="1" operator="greaterThan">
      <formula>1</formula>
    </cfRule>
  </conditionalFormatting>
  <conditionalFormatting sqref="O20:X20">
    <cfRule type="expression" dxfId="10" priority="1" stopIfTrue="1">
      <formula>E20&lt;&gt;""</formula>
    </cfRule>
    <cfRule type="expression" dxfId="9" priority="2" stopIfTrue="1">
      <formula>E20=""</formula>
    </cfRule>
  </conditionalFormatting>
  <conditionalFormatting sqref="AP20">
    <cfRule type="expression" dxfId="8" priority="6" stopIfTrue="1">
      <formula>LEN(AP20)&gt;AR$3</formula>
    </cfRule>
    <cfRule type="expression" dxfId="7" priority="7" stopIfTrue="1">
      <formula>AND(NOT(ISERROR(SEARCH("~*~*~*",AP20,1))),SEARCH("~*~*~*",AP20,1)&gt;0)</formula>
    </cfRule>
  </conditionalFormatting>
  <conditionalFormatting sqref="Z20">
    <cfRule type="expression" dxfId="6" priority="8" stopIfTrue="1">
      <formula>LEN(Z20)&gt;$AA$3</formula>
    </cfRule>
    <cfRule type="expression" dxfId="5" priority="9" stopIfTrue="1">
      <formula>AND(NOT(ISERROR(SEARCH("~*~*~*",Z20,1))),SEARCH("~*~*~*",Z20,1)&gt;0)</formula>
    </cfRule>
  </conditionalFormatting>
  <conditionalFormatting sqref="AN20">
    <cfRule type="expression" dxfId="4" priority="10" stopIfTrue="1">
      <formula>LEN(AN20)&gt;#REF!</formula>
    </cfRule>
    <cfRule type="expression" dxfId="3" priority="11" stopIfTrue="1">
      <formula>AND(NOT(ISERROR(SEARCH("~*~*~*",AN20,1))),SEARCH("~*~*~*",AN20,1)&gt;0)</formula>
    </cfRule>
  </conditionalFormatting>
  <conditionalFormatting sqref="AO20 AM20">
    <cfRule type="expression" dxfId="2" priority="12" stopIfTrue="1">
      <formula>LEN(AM20)&gt;32</formula>
    </cfRule>
    <cfRule type="expression" dxfId="1" priority="13" stopIfTrue="1">
      <formula>AND(NOT(ISERROR(SEARCH("~*~*~*",AM20,1))),SEARCH("~*~*~*",AM20,1)&gt;0)</formula>
    </cfRule>
  </conditionalFormatting>
  <conditionalFormatting sqref="AT20">
    <cfRule type="cellIs" dxfId="0" priority="14" stopIfTrue="1" operator="greaterThan">
      <formula>1</formula>
    </cfRule>
  </conditionalFormatting>
  <dataValidations count="3">
    <dataValidation type="list" allowBlank="1" showInputMessage="1" showErrorMessage="1" sqref="AR3" xr:uid="{00000000-0002-0000-0200-000000000000}">
      <formula1>"18,32"</formula1>
    </dataValidation>
    <dataValidation type="list" allowBlank="1" showInputMessage="1" showErrorMessage="1" sqref="AA3" xr:uid="{00000000-0002-0000-0200-000001000000}">
      <formula1>"18,32,64"</formula1>
    </dataValidation>
    <dataValidation type="list" allowBlank="1" showInputMessage="1" showErrorMessage="1" sqref="C4:C416" xr:uid="{00000000-0002-0000-0200-000002000000}">
      <formula1>"A,E"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2"/>
  <dimension ref="A1:L2805"/>
  <sheetViews>
    <sheetView zoomScale="115" zoomScaleNormal="115" workbookViewId="0">
      <pane ySplit="1" topLeftCell="A2605" activePane="bottomLeft" state="frozen"/>
      <selection pane="bottomLeft" activeCell="B2613" sqref="B2613"/>
    </sheetView>
  </sheetViews>
  <sheetFormatPr defaultColWidth="9.140625" defaultRowHeight="10.5" x14ac:dyDescent="0.2"/>
  <cols>
    <col min="1" max="1" width="6.42578125" style="2" bestFit="1" customWidth="1"/>
    <col min="2" max="2" width="26.42578125" style="2" customWidth="1"/>
    <col min="3" max="4" width="10.28515625" style="2" bestFit="1" customWidth="1"/>
    <col min="5" max="5" width="57" style="7" customWidth="1"/>
    <col min="6" max="6" width="4.140625" style="5" bestFit="1" customWidth="1"/>
    <col min="7" max="7" width="3.28515625" style="2" customWidth="1"/>
    <col min="8" max="16384" width="9.140625" style="2"/>
  </cols>
  <sheetData>
    <row r="1" spans="1:6" s="9" customFormat="1" ht="21" x14ac:dyDescent="0.2">
      <c r="A1" s="6" t="s">
        <v>58</v>
      </c>
      <c r="B1" s="6" t="s">
        <v>59</v>
      </c>
      <c r="C1" s="6" t="s">
        <v>60</v>
      </c>
      <c r="D1" s="6" t="s">
        <v>61</v>
      </c>
      <c r="E1" s="6" t="s">
        <v>62</v>
      </c>
      <c r="F1" s="6" t="s">
        <v>63</v>
      </c>
    </row>
    <row r="2" spans="1:6" x14ac:dyDescent="0.2">
      <c r="A2" s="3">
        <v>1</v>
      </c>
      <c r="B2" s="3" t="s">
        <v>64</v>
      </c>
      <c r="C2" s="3" t="s">
        <v>65</v>
      </c>
      <c r="D2" s="3" t="s">
        <v>65</v>
      </c>
      <c r="E2" s="1"/>
      <c r="F2" s="8" t="s">
        <v>66</v>
      </c>
    </row>
    <row r="3" spans="1:6" x14ac:dyDescent="0.2">
      <c r="A3" s="3">
        <v>2</v>
      </c>
      <c r="B3" s="3" t="s">
        <v>67</v>
      </c>
      <c r="C3" s="3" t="s">
        <v>68</v>
      </c>
      <c r="D3" s="3" t="s">
        <v>68</v>
      </c>
      <c r="E3" s="1"/>
      <c r="F3" s="8" t="s">
        <v>66</v>
      </c>
    </row>
    <row r="4" spans="1:6" x14ac:dyDescent="0.2">
      <c r="A4" s="3">
        <v>3</v>
      </c>
      <c r="B4" s="3" t="s">
        <v>69</v>
      </c>
      <c r="C4" s="3" t="s">
        <v>68</v>
      </c>
      <c r="D4" s="3" t="s">
        <v>68</v>
      </c>
      <c r="E4" s="1"/>
      <c r="F4" s="8" t="s">
        <v>66</v>
      </c>
    </row>
    <row r="5" spans="1:6" x14ac:dyDescent="0.2">
      <c r="A5" s="3">
        <v>4</v>
      </c>
      <c r="B5" s="3" t="s">
        <v>70</v>
      </c>
      <c r="C5" s="3" t="s">
        <v>71</v>
      </c>
      <c r="D5" s="3" t="s">
        <v>71</v>
      </c>
      <c r="E5" s="1"/>
      <c r="F5" s="8" t="s">
        <v>66</v>
      </c>
    </row>
    <row r="6" spans="1:6" x14ac:dyDescent="0.2">
      <c r="A6" s="3">
        <v>5</v>
      </c>
      <c r="B6" s="3" t="s">
        <v>72</v>
      </c>
      <c r="C6" s="3" t="s">
        <v>71</v>
      </c>
      <c r="D6" s="3" t="s">
        <v>71</v>
      </c>
      <c r="E6" s="1"/>
      <c r="F6" s="8" t="s">
        <v>66</v>
      </c>
    </row>
    <row r="7" spans="1:6" x14ac:dyDescent="0.2">
      <c r="A7" s="3">
        <v>6</v>
      </c>
      <c r="B7" s="3" t="s">
        <v>73</v>
      </c>
      <c r="C7" s="3" t="s">
        <v>71</v>
      </c>
      <c r="D7" s="3" t="s">
        <v>71</v>
      </c>
      <c r="E7" s="1"/>
      <c r="F7" s="8" t="s">
        <v>66</v>
      </c>
    </row>
    <row r="8" spans="1:6" x14ac:dyDescent="0.2">
      <c r="A8" s="3">
        <v>7</v>
      </c>
      <c r="B8" s="3" t="s">
        <v>74</v>
      </c>
      <c r="C8" s="3" t="s">
        <v>75</v>
      </c>
      <c r="D8" s="3" t="s">
        <v>75</v>
      </c>
      <c r="E8" s="1"/>
      <c r="F8" s="8" t="s">
        <v>66</v>
      </c>
    </row>
    <row r="9" spans="1:6" x14ac:dyDescent="0.2">
      <c r="A9" s="3">
        <v>8</v>
      </c>
      <c r="B9" s="3" t="s">
        <v>76</v>
      </c>
      <c r="C9" s="3" t="s">
        <v>75</v>
      </c>
      <c r="D9" s="3" t="s">
        <v>75</v>
      </c>
      <c r="E9" s="1"/>
      <c r="F9" s="8" t="s">
        <v>66</v>
      </c>
    </row>
    <row r="10" spans="1:6" x14ac:dyDescent="0.2">
      <c r="A10" s="3">
        <v>9</v>
      </c>
      <c r="B10" s="3" t="s">
        <v>77</v>
      </c>
      <c r="C10" s="3" t="s">
        <v>78</v>
      </c>
      <c r="D10" s="3" t="s">
        <v>78</v>
      </c>
      <c r="E10" s="1"/>
      <c r="F10" s="8" t="s">
        <v>66</v>
      </c>
    </row>
    <row r="11" spans="1:6" x14ac:dyDescent="0.2">
      <c r="A11" s="3">
        <v>10</v>
      </c>
      <c r="B11" s="3" t="s">
        <v>79</v>
      </c>
      <c r="C11" s="3" t="s">
        <v>78</v>
      </c>
      <c r="D11" s="3" t="s">
        <v>78</v>
      </c>
      <c r="E11" s="1"/>
      <c r="F11" s="8" t="s">
        <v>66</v>
      </c>
    </row>
    <row r="12" spans="1:6" x14ac:dyDescent="0.2">
      <c r="A12" s="3">
        <v>11</v>
      </c>
      <c r="B12" s="3" t="s">
        <v>80</v>
      </c>
      <c r="C12" s="3" t="s">
        <v>81</v>
      </c>
      <c r="D12" s="3" t="s">
        <v>81</v>
      </c>
      <c r="E12" s="1"/>
      <c r="F12" s="8" t="s">
        <v>66</v>
      </c>
    </row>
    <row r="13" spans="1:6" x14ac:dyDescent="0.2">
      <c r="A13" s="3">
        <v>12</v>
      </c>
      <c r="B13" s="3" t="s">
        <v>82</v>
      </c>
      <c r="C13" s="3" t="s">
        <v>83</v>
      </c>
      <c r="D13" s="3" t="s">
        <v>83</v>
      </c>
      <c r="E13" s="1"/>
      <c r="F13" s="8" t="s">
        <v>66</v>
      </c>
    </row>
    <row r="14" spans="1:6" x14ac:dyDescent="0.2">
      <c r="A14" s="3">
        <v>13</v>
      </c>
      <c r="B14" s="3" t="s">
        <v>84</v>
      </c>
      <c r="C14" s="3" t="s">
        <v>83</v>
      </c>
      <c r="D14" s="3" t="s">
        <v>83</v>
      </c>
      <c r="E14" s="1"/>
      <c r="F14" s="8" t="s">
        <v>66</v>
      </c>
    </row>
    <row r="15" spans="1:6" x14ac:dyDescent="0.2">
      <c r="A15" s="3">
        <v>14</v>
      </c>
      <c r="B15" s="3" t="s">
        <v>85</v>
      </c>
      <c r="C15" s="3" t="s">
        <v>83</v>
      </c>
      <c r="D15" s="3" t="s">
        <v>83</v>
      </c>
      <c r="E15" s="1"/>
      <c r="F15" s="8" t="s">
        <v>66</v>
      </c>
    </row>
    <row r="16" spans="1:6" x14ac:dyDescent="0.2">
      <c r="A16" s="3">
        <v>15</v>
      </c>
      <c r="B16" s="3" t="s">
        <v>86</v>
      </c>
      <c r="C16" s="3" t="s">
        <v>87</v>
      </c>
      <c r="D16" s="3" t="s">
        <v>87</v>
      </c>
      <c r="E16" s="1"/>
      <c r="F16" s="8" t="s">
        <v>66</v>
      </c>
    </row>
    <row r="17" spans="1:6" x14ac:dyDescent="0.2">
      <c r="A17" s="3">
        <v>16</v>
      </c>
      <c r="B17" s="3" t="s">
        <v>88</v>
      </c>
      <c r="C17" s="3" t="s">
        <v>87</v>
      </c>
      <c r="D17" s="3" t="s">
        <v>87</v>
      </c>
      <c r="E17" s="1"/>
      <c r="F17" s="8" t="s">
        <v>66</v>
      </c>
    </row>
    <row r="18" spans="1:6" x14ac:dyDescent="0.2">
      <c r="A18" s="3">
        <v>17</v>
      </c>
      <c r="B18" s="3" t="s">
        <v>89</v>
      </c>
      <c r="C18" s="3" t="s">
        <v>90</v>
      </c>
      <c r="D18" s="3" t="s">
        <v>90</v>
      </c>
      <c r="E18" s="1"/>
      <c r="F18" s="8" t="s">
        <v>66</v>
      </c>
    </row>
    <row r="19" spans="1:6" x14ac:dyDescent="0.2">
      <c r="A19" s="3">
        <v>18</v>
      </c>
      <c r="B19" s="3" t="s">
        <v>91</v>
      </c>
      <c r="C19" s="3" t="s">
        <v>90</v>
      </c>
      <c r="D19" s="3" t="s">
        <v>90</v>
      </c>
      <c r="E19" s="1"/>
      <c r="F19" s="8" t="s">
        <v>66</v>
      </c>
    </row>
    <row r="20" spans="1:6" x14ac:dyDescent="0.2">
      <c r="A20" s="3">
        <v>19</v>
      </c>
      <c r="B20" s="3" t="s">
        <v>92</v>
      </c>
      <c r="C20" s="3" t="s">
        <v>93</v>
      </c>
      <c r="D20" s="3" t="s">
        <v>93</v>
      </c>
      <c r="E20" s="1"/>
      <c r="F20" s="8" t="s">
        <v>66</v>
      </c>
    </row>
    <row r="21" spans="1:6" x14ac:dyDescent="0.2">
      <c r="A21" s="3">
        <v>20</v>
      </c>
      <c r="B21" s="3" t="s">
        <v>94</v>
      </c>
      <c r="C21" s="3" t="s">
        <v>93</v>
      </c>
      <c r="D21" s="3" t="s">
        <v>93</v>
      </c>
      <c r="E21" s="1"/>
      <c r="F21" s="8" t="s">
        <v>66</v>
      </c>
    </row>
    <row r="22" spans="1:6" x14ac:dyDescent="0.2">
      <c r="A22" s="3">
        <v>21</v>
      </c>
      <c r="B22" s="3" t="s">
        <v>95</v>
      </c>
      <c r="C22" s="3" t="s">
        <v>96</v>
      </c>
      <c r="D22" s="3" t="s">
        <v>96</v>
      </c>
      <c r="E22" s="1"/>
      <c r="F22" s="8" t="s">
        <v>66</v>
      </c>
    </row>
    <row r="23" spans="1:6" x14ac:dyDescent="0.2">
      <c r="A23" s="3">
        <v>22</v>
      </c>
      <c r="B23" s="3" t="s">
        <v>97</v>
      </c>
      <c r="C23" s="3" t="s">
        <v>96</v>
      </c>
      <c r="D23" s="3" t="s">
        <v>96</v>
      </c>
      <c r="E23" s="1"/>
      <c r="F23" s="8" t="s">
        <v>66</v>
      </c>
    </row>
    <row r="24" spans="1:6" x14ac:dyDescent="0.2">
      <c r="A24" s="3">
        <v>23</v>
      </c>
      <c r="B24" s="3" t="s">
        <v>98</v>
      </c>
      <c r="C24" s="3" t="s">
        <v>99</v>
      </c>
      <c r="D24" s="3" t="s">
        <v>99</v>
      </c>
      <c r="E24" s="1"/>
      <c r="F24" s="8" t="s">
        <v>66</v>
      </c>
    </row>
    <row r="25" spans="1:6" x14ac:dyDescent="0.2">
      <c r="A25" s="3">
        <v>24</v>
      </c>
      <c r="B25" s="3" t="s">
        <v>100</v>
      </c>
      <c r="C25" s="3" t="s">
        <v>101</v>
      </c>
      <c r="D25" s="3" t="s">
        <v>101</v>
      </c>
      <c r="E25" s="1"/>
      <c r="F25" s="8" t="s">
        <v>66</v>
      </c>
    </row>
    <row r="26" spans="1:6" x14ac:dyDescent="0.2">
      <c r="A26" s="3">
        <v>25</v>
      </c>
      <c r="B26" s="3" t="s">
        <v>102</v>
      </c>
      <c r="C26" s="3" t="s">
        <v>103</v>
      </c>
      <c r="D26" s="3" t="s">
        <v>103</v>
      </c>
      <c r="E26" s="1"/>
      <c r="F26" s="8" t="s">
        <v>66</v>
      </c>
    </row>
    <row r="27" spans="1:6" x14ac:dyDescent="0.2">
      <c r="A27" s="3">
        <v>26</v>
      </c>
      <c r="B27" s="3" t="s">
        <v>104</v>
      </c>
      <c r="C27" s="3" t="s">
        <v>103</v>
      </c>
      <c r="D27" s="3" t="s">
        <v>103</v>
      </c>
      <c r="E27" s="1"/>
      <c r="F27" s="8" t="s">
        <v>66</v>
      </c>
    </row>
    <row r="28" spans="1:6" x14ac:dyDescent="0.2">
      <c r="A28" s="3">
        <v>27</v>
      </c>
      <c r="B28" s="3" t="s">
        <v>105</v>
      </c>
      <c r="C28" s="3" t="s">
        <v>103</v>
      </c>
      <c r="D28" s="3" t="s">
        <v>103</v>
      </c>
      <c r="E28" s="1"/>
      <c r="F28" s="8" t="s">
        <v>66</v>
      </c>
    </row>
    <row r="29" spans="1:6" x14ac:dyDescent="0.2">
      <c r="A29" s="3">
        <v>28</v>
      </c>
      <c r="B29" s="3" t="s">
        <v>106</v>
      </c>
      <c r="C29" s="3" t="s">
        <v>103</v>
      </c>
      <c r="D29" s="3" t="s">
        <v>103</v>
      </c>
      <c r="E29" s="1"/>
      <c r="F29" s="8" t="s">
        <v>66</v>
      </c>
    </row>
    <row r="30" spans="1:6" x14ac:dyDescent="0.2">
      <c r="A30" s="3">
        <v>29</v>
      </c>
      <c r="B30" s="3" t="s">
        <v>107</v>
      </c>
      <c r="C30" s="3" t="s">
        <v>108</v>
      </c>
      <c r="D30" s="3" t="s">
        <v>108</v>
      </c>
      <c r="E30" s="1"/>
      <c r="F30" s="8" t="s">
        <v>66</v>
      </c>
    </row>
    <row r="31" spans="1:6" x14ac:dyDescent="0.2">
      <c r="A31" s="3">
        <v>30</v>
      </c>
      <c r="B31" s="3" t="s">
        <v>109</v>
      </c>
      <c r="C31" s="3" t="s">
        <v>108</v>
      </c>
      <c r="D31" s="3" t="s">
        <v>108</v>
      </c>
      <c r="E31" s="1"/>
      <c r="F31" s="8" t="s">
        <v>66</v>
      </c>
    </row>
    <row r="32" spans="1:6" x14ac:dyDescent="0.2">
      <c r="A32" s="3">
        <v>31</v>
      </c>
      <c r="B32" s="3" t="s">
        <v>110</v>
      </c>
      <c r="C32" s="3" t="s">
        <v>108</v>
      </c>
      <c r="D32" s="3" t="s">
        <v>108</v>
      </c>
      <c r="E32" s="1"/>
      <c r="F32" s="8" t="s">
        <v>66</v>
      </c>
    </row>
    <row r="33" spans="1:6" x14ac:dyDescent="0.2">
      <c r="A33" s="3">
        <v>32</v>
      </c>
      <c r="B33" s="3" t="s">
        <v>111</v>
      </c>
      <c r="C33" s="3" t="s">
        <v>112</v>
      </c>
      <c r="D33" s="3" t="s">
        <v>112</v>
      </c>
      <c r="E33" s="1"/>
      <c r="F33" s="8" t="s">
        <v>66</v>
      </c>
    </row>
    <row r="34" spans="1:6" x14ac:dyDescent="0.2">
      <c r="A34" s="3">
        <v>33</v>
      </c>
      <c r="B34" s="3" t="s">
        <v>113</v>
      </c>
      <c r="C34" s="3" t="s">
        <v>114</v>
      </c>
      <c r="D34" s="3" t="s">
        <v>114</v>
      </c>
      <c r="E34" s="1"/>
      <c r="F34" s="8" t="s">
        <v>66</v>
      </c>
    </row>
    <row r="35" spans="1:6" x14ac:dyDescent="0.2">
      <c r="A35" s="3">
        <v>34</v>
      </c>
      <c r="B35" s="3" t="s">
        <v>115</v>
      </c>
      <c r="C35" s="3" t="s">
        <v>114</v>
      </c>
      <c r="D35" s="3" t="s">
        <v>114</v>
      </c>
      <c r="E35" s="1"/>
      <c r="F35" s="8" t="s">
        <v>66</v>
      </c>
    </row>
    <row r="36" spans="1:6" x14ac:dyDescent="0.2">
      <c r="A36" s="3">
        <v>35</v>
      </c>
      <c r="B36" s="3" t="s">
        <v>116</v>
      </c>
      <c r="C36" s="3" t="s">
        <v>117</v>
      </c>
      <c r="D36" s="3" t="s">
        <v>117</v>
      </c>
      <c r="E36" s="1"/>
      <c r="F36" s="8" t="s">
        <v>66</v>
      </c>
    </row>
    <row r="37" spans="1:6" x14ac:dyDescent="0.2">
      <c r="A37" s="3">
        <v>36</v>
      </c>
      <c r="B37" s="3" t="s">
        <v>118</v>
      </c>
      <c r="C37" s="3" t="s">
        <v>117</v>
      </c>
      <c r="D37" s="3" t="s">
        <v>117</v>
      </c>
      <c r="E37" s="1"/>
      <c r="F37" s="8" t="s">
        <v>66</v>
      </c>
    </row>
    <row r="38" spans="1:6" x14ac:dyDescent="0.2">
      <c r="A38" s="3">
        <v>37</v>
      </c>
      <c r="B38" s="3" t="s">
        <v>119</v>
      </c>
      <c r="C38" s="3" t="s">
        <v>120</v>
      </c>
      <c r="D38" s="3" t="s">
        <v>120</v>
      </c>
      <c r="E38" s="1"/>
      <c r="F38" s="8" t="s">
        <v>66</v>
      </c>
    </row>
    <row r="39" spans="1:6" x14ac:dyDescent="0.2">
      <c r="A39" s="3">
        <v>38</v>
      </c>
      <c r="B39" s="3" t="s">
        <v>121</v>
      </c>
      <c r="C39" s="3" t="s">
        <v>122</v>
      </c>
      <c r="D39" s="3" t="s">
        <v>122</v>
      </c>
      <c r="E39" s="1"/>
      <c r="F39" s="8" t="s">
        <v>66</v>
      </c>
    </row>
    <row r="40" spans="1:6" x14ac:dyDescent="0.2">
      <c r="A40" s="3">
        <v>39</v>
      </c>
      <c r="B40" s="3" t="s">
        <v>123</v>
      </c>
      <c r="C40" s="3" t="s">
        <v>122</v>
      </c>
      <c r="D40" s="3" t="s">
        <v>122</v>
      </c>
      <c r="E40" s="1"/>
      <c r="F40" s="8" t="s">
        <v>66</v>
      </c>
    </row>
    <row r="41" spans="1:6" x14ac:dyDescent="0.2">
      <c r="A41" s="3">
        <v>40</v>
      </c>
      <c r="B41" s="3" t="s">
        <v>124</v>
      </c>
      <c r="C41" s="3" t="s">
        <v>122</v>
      </c>
      <c r="D41" s="3" t="s">
        <v>122</v>
      </c>
      <c r="E41" s="1"/>
      <c r="F41" s="8" t="s">
        <v>66</v>
      </c>
    </row>
    <row r="42" spans="1:6" x14ac:dyDescent="0.2">
      <c r="A42" s="3">
        <v>41</v>
      </c>
      <c r="B42" s="3" t="s">
        <v>125</v>
      </c>
      <c r="C42" s="3" t="s">
        <v>122</v>
      </c>
      <c r="D42" s="3" t="s">
        <v>122</v>
      </c>
      <c r="E42" s="1"/>
      <c r="F42" s="8" t="s">
        <v>66</v>
      </c>
    </row>
    <row r="43" spans="1:6" x14ac:dyDescent="0.2">
      <c r="A43" s="3">
        <v>42</v>
      </c>
      <c r="B43" s="3" t="s">
        <v>126</v>
      </c>
      <c r="C43" s="3" t="s">
        <v>127</v>
      </c>
      <c r="D43" s="3" t="s">
        <v>127</v>
      </c>
      <c r="E43" s="1"/>
      <c r="F43" s="8" t="s">
        <v>66</v>
      </c>
    </row>
    <row r="44" spans="1:6" x14ac:dyDescent="0.2">
      <c r="A44" s="3">
        <v>43</v>
      </c>
      <c r="B44" s="3" t="s">
        <v>128</v>
      </c>
      <c r="C44" s="3" t="s">
        <v>129</v>
      </c>
      <c r="D44" s="3" t="s">
        <v>129</v>
      </c>
      <c r="E44" s="1"/>
      <c r="F44" s="8" t="s">
        <v>66</v>
      </c>
    </row>
    <row r="45" spans="1:6" x14ac:dyDescent="0.2">
      <c r="A45" s="3">
        <v>44</v>
      </c>
      <c r="B45" s="3" t="s">
        <v>130</v>
      </c>
      <c r="C45" s="3" t="s">
        <v>129</v>
      </c>
      <c r="D45" s="3" t="s">
        <v>129</v>
      </c>
      <c r="E45" s="1"/>
      <c r="F45" s="8" t="s">
        <v>66</v>
      </c>
    </row>
    <row r="46" spans="1:6" x14ac:dyDescent="0.2">
      <c r="A46" s="3">
        <v>45</v>
      </c>
      <c r="B46" s="3" t="s">
        <v>131</v>
      </c>
      <c r="C46" s="3" t="s">
        <v>132</v>
      </c>
      <c r="D46" s="3" t="s">
        <v>132</v>
      </c>
      <c r="E46" s="1"/>
      <c r="F46" s="8" t="s">
        <v>66</v>
      </c>
    </row>
    <row r="47" spans="1:6" x14ac:dyDescent="0.2">
      <c r="A47" s="3">
        <v>46</v>
      </c>
      <c r="B47" s="3" t="s">
        <v>133</v>
      </c>
      <c r="C47" s="3" t="s">
        <v>134</v>
      </c>
      <c r="D47" s="3" t="s">
        <v>134</v>
      </c>
      <c r="E47" s="1"/>
      <c r="F47" s="8" t="s">
        <v>66</v>
      </c>
    </row>
    <row r="48" spans="1:6" x14ac:dyDescent="0.2">
      <c r="A48" s="3">
        <v>47</v>
      </c>
      <c r="B48" s="3" t="s">
        <v>135</v>
      </c>
      <c r="C48" s="3" t="s">
        <v>134</v>
      </c>
      <c r="D48" s="3" t="s">
        <v>134</v>
      </c>
      <c r="E48" s="1"/>
      <c r="F48" s="8" t="s">
        <v>66</v>
      </c>
    </row>
    <row r="49" spans="1:6" x14ac:dyDescent="0.2">
      <c r="A49" s="3">
        <v>48</v>
      </c>
      <c r="B49" s="3" t="s">
        <v>136</v>
      </c>
      <c r="C49" s="3" t="s">
        <v>137</v>
      </c>
      <c r="D49" s="3" t="s">
        <v>137</v>
      </c>
      <c r="E49" s="1"/>
      <c r="F49" s="8" t="s">
        <v>66</v>
      </c>
    </row>
    <row r="50" spans="1:6" x14ac:dyDescent="0.2">
      <c r="A50" s="3">
        <v>49</v>
      </c>
      <c r="B50" s="3" t="s">
        <v>138</v>
      </c>
      <c r="C50" s="3" t="s">
        <v>137</v>
      </c>
      <c r="D50" s="3" t="s">
        <v>137</v>
      </c>
      <c r="E50" s="1"/>
      <c r="F50" s="8" t="s">
        <v>66</v>
      </c>
    </row>
    <row r="51" spans="1:6" x14ac:dyDescent="0.2">
      <c r="A51" s="3">
        <v>50</v>
      </c>
      <c r="B51" s="3" t="s">
        <v>139</v>
      </c>
      <c r="C51" s="3" t="s">
        <v>140</v>
      </c>
      <c r="D51" s="3" t="s">
        <v>140</v>
      </c>
      <c r="E51" s="1"/>
      <c r="F51" s="8" t="s">
        <v>66</v>
      </c>
    </row>
    <row r="52" spans="1:6" x14ac:dyDescent="0.2">
      <c r="A52" s="3">
        <v>51</v>
      </c>
      <c r="B52" s="3" t="s">
        <v>141</v>
      </c>
      <c r="C52" s="3" t="s">
        <v>142</v>
      </c>
      <c r="D52" s="3" t="s">
        <v>142</v>
      </c>
      <c r="E52" s="1"/>
      <c r="F52" s="8" t="s">
        <v>66</v>
      </c>
    </row>
    <row r="53" spans="1:6" x14ac:dyDescent="0.2">
      <c r="A53" s="3">
        <v>52</v>
      </c>
      <c r="B53" s="3" t="s">
        <v>143</v>
      </c>
      <c r="C53" s="3" t="s">
        <v>142</v>
      </c>
      <c r="D53" s="3" t="s">
        <v>142</v>
      </c>
      <c r="E53" s="1"/>
      <c r="F53" s="8" t="s">
        <v>66</v>
      </c>
    </row>
    <row r="54" spans="1:6" x14ac:dyDescent="0.2">
      <c r="A54" s="3">
        <v>53</v>
      </c>
      <c r="B54" s="3" t="s">
        <v>144</v>
      </c>
      <c r="C54" s="3" t="s">
        <v>145</v>
      </c>
      <c r="D54" s="3" t="s">
        <v>145</v>
      </c>
      <c r="E54" s="1"/>
      <c r="F54" s="8" t="s">
        <v>66</v>
      </c>
    </row>
    <row r="55" spans="1:6" x14ac:dyDescent="0.2">
      <c r="A55" s="3">
        <v>54</v>
      </c>
      <c r="B55" s="3" t="s">
        <v>146</v>
      </c>
      <c r="C55" s="3" t="s">
        <v>147</v>
      </c>
      <c r="D55" s="3" t="s">
        <v>147</v>
      </c>
      <c r="E55" s="1"/>
      <c r="F55" s="8" t="s">
        <v>66</v>
      </c>
    </row>
    <row r="56" spans="1:6" x14ac:dyDescent="0.2">
      <c r="A56" s="3">
        <v>55</v>
      </c>
      <c r="B56" s="3" t="s">
        <v>148</v>
      </c>
      <c r="C56" s="3" t="s">
        <v>149</v>
      </c>
      <c r="D56" s="3" t="s">
        <v>149</v>
      </c>
      <c r="E56" s="1"/>
      <c r="F56" s="8" t="s">
        <v>66</v>
      </c>
    </row>
    <row r="57" spans="1:6" x14ac:dyDescent="0.2">
      <c r="A57" s="3">
        <v>56</v>
      </c>
      <c r="B57" s="3" t="s">
        <v>150</v>
      </c>
      <c r="C57" s="3" t="s">
        <v>151</v>
      </c>
      <c r="D57" s="3" t="s">
        <v>151</v>
      </c>
      <c r="E57" s="1"/>
      <c r="F57" s="8" t="s">
        <v>66</v>
      </c>
    </row>
    <row r="58" spans="1:6" x14ac:dyDescent="0.2">
      <c r="A58" s="3">
        <v>57</v>
      </c>
      <c r="B58" s="3" t="s">
        <v>152</v>
      </c>
      <c r="C58" s="3" t="s">
        <v>151</v>
      </c>
      <c r="D58" s="3" t="s">
        <v>151</v>
      </c>
      <c r="E58" s="1"/>
      <c r="F58" s="8" t="s">
        <v>66</v>
      </c>
    </row>
    <row r="59" spans="1:6" x14ac:dyDescent="0.2">
      <c r="A59" s="3">
        <v>58</v>
      </c>
      <c r="B59" s="3" t="s">
        <v>153</v>
      </c>
      <c r="C59" s="3" t="s">
        <v>151</v>
      </c>
      <c r="D59" s="3" t="s">
        <v>151</v>
      </c>
      <c r="E59" s="1"/>
      <c r="F59" s="8" t="s">
        <v>66</v>
      </c>
    </row>
    <row r="60" spans="1:6" x14ac:dyDescent="0.2">
      <c r="A60" s="3">
        <v>59</v>
      </c>
      <c r="B60" s="3" t="s">
        <v>154</v>
      </c>
      <c r="C60" s="3" t="s">
        <v>151</v>
      </c>
      <c r="D60" s="3" t="s">
        <v>151</v>
      </c>
      <c r="E60" s="1"/>
      <c r="F60" s="8" t="s">
        <v>66</v>
      </c>
    </row>
    <row r="61" spans="1:6" x14ac:dyDescent="0.2">
      <c r="A61" s="3">
        <v>60</v>
      </c>
      <c r="B61" s="3" t="s">
        <v>155</v>
      </c>
      <c r="C61" s="3" t="s">
        <v>151</v>
      </c>
      <c r="D61" s="3" t="s">
        <v>151</v>
      </c>
      <c r="E61" s="1"/>
      <c r="F61" s="8" t="s">
        <v>66</v>
      </c>
    </row>
    <row r="62" spans="1:6" x14ac:dyDescent="0.2">
      <c r="A62" s="3">
        <v>61</v>
      </c>
      <c r="B62" s="3" t="s">
        <v>156</v>
      </c>
      <c r="C62" s="3" t="s">
        <v>151</v>
      </c>
      <c r="D62" s="3" t="s">
        <v>151</v>
      </c>
      <c r="E62" s="1"/>
      <c r="F62" s="8" t="s">
        <v>66</v>
      </c>
    </row>
    <row r="63" spans="1:6" x14ac:dyDescent="0.2">
      <c r="A63" s="3">
        <v>62</v>
      </c>
      <c r="B63" s="3" t="s">
        <v>157</v>
      </c>
      <c r="C63" s="3" t="s">
        <v>151</v>
      </c>
      <c r="D63" s="3" t="s">
        <v>151</v>
      </c>
      <c r="E63" s="1"/>
      <c r="F63" s="8" t="s">
        <v>66</v>
      </c>
    </row>
    <row r="64" spans="1:6" x14ac:dyDescent="0.2">
      <c r="A64" s="3">
        <v>63</v>
      </c>
      <c r="B64" s="3" t="s">
        <v>158</v>
      </c>
      <c r="C64" s="3" t="s">
        <v>159</v>
      </c>
      <c r="D64" s="3" t="s">
        <v>159</v>
      </c>
      <c r="E64" s="1"/>
      <c r="F64" s="8" t="s">
        <v>66</v>
      </c>
    </row>
    <row r="65" spans="1:6" x14ac:dyDescent="0.2">
      <c r="A65" s="3">
        <v>64</v>
      </c>
      <c r="B65" s="3" t="s">
        <v>160</v>
      </c>
      <c r="C65" s="3" t="s">
        <v>161</v>
      </c>
      <c r="D65" s="3" t="s">
        <v>161</v>
      </c>
      <c r="E65" s="1"/>
      <c r="F65" s="8" t="s">
        <v>66</v>
      </c>
    </row>
    <row r="66" spans="1:6" x14ac:dyDescent="0.2">
      <c r="A66" s="3">
        <v>65</v>
      </c>
      <c r="B66" s="3" t="s">
        <v>162</v>
      </c>
      <c r="C66" s="3" t="s">
        <v>161</v>
      </c>
      <c r="D66" s="3" t="s">
        <v>161</v>
      </c>
      <c r="E66" s="1"/>
      <c r="F66" s="8" t="s">
        <v>66</v>
      </c>
    </row>
    <row r="67" spans="1:6" x14ac:dyDescent="0.2">
      <c r="A67" s="3">
        <v>66</v>
      </c>
      <c r="B67" s="3" t="s">
        <v>163</v>
      </c>
      <c r="C67" s="3" t="s">
        <v>164</v>
      </c>
      <c r="D67" s="3" t="s">
        <v>164</v>
      </c>
      <c r="E67" s="1"/>
      <c r="F67" s="8" t="s">
        <v>66</v>
      </c>
    </row>
    <row r="68" spans="1:6" x14ac:dyDescent="0.2">
      <c r="A68" s="3">
        <v>67</v>
      </c>
      <c r="B68" s="3" t="s">
        <v>165</v>
      </c>
      <c r="C68" s="3" t="s">
        <v>166</v>
      </c>
      <c r="D68" s="3" t="s">
        <v>166</v>
      </c>
      <c r="E68" s="1"/>
      <c r="F68" s="8" t="s">
        <v>66</v>
      </c>
    </row>
    <row r="69" spans="1:6" x14ac:dyDescent="0.2">
      <c r="A69" s="3">
        <v>68</v>
      </c>
      <c r="B69" s="3" t="s">
        <v>167</v>
      </c>
      <c r="C69" s="3" t="s">
        <v>168</v>
      </c>
      <c r="D69" s="3" t="s">
        <v>168</v>
      </c>
      <c r="E69" s="1"/>
      <c r="F69" s="8" t="s">
        <v>66</v>
      </c>
    </row>
    <row r="70" spans="1:6" x14ac:dyDescent="0.2">
      <c r="A70" s="3">
        <v>69</v>
      </c>
      <c r="B70" s="3" t="s">
        <v>169</v>
      </c>
      <c r="C70" s="3" t="s">
        <v>168</v>
      </c>
      <c r="D70" s="3" t="s">
        <v>168</v>
      </c>
      <c r="E70" s="1"/>
      <c r="F70" s="8" t="s">
        <v>66</v>
      </c>
    </row>
    <row r="71" spans="1:6" x14ac:dyDescent="0.2">
      <c r="A71" s="3">
        <v>70</v>
      </c>
      <c r="B71" s="3" t="s">
        <v>170</v>
      </c>
      <c r="C71" s="3" t="s">
        <v>168</v>
      </c>
      <c r="D71" s="3" t="s">
        <v>168</v>
      </c>
      <c r="E71" s="1"/>
      <c r="F71" s="8" t="s">
        <v>66</v>
      </c>
    </row>
    <row r="72" spans="1:6" x14ac:dyDescent="0.2">
      <c r="A72" s="3">
        <v>71</v>
      </c>
      <c r="B72" s="3" t="s">
        <v>171</v>
      </c>
      <c r="C72" s="3" t="s">
        <v>172</v>
      </c>
      <c r="D72" s="3" t="s">
        <v>172</v>
      </c>
      <c r="E72" s="1"/>
      <c r="F72" s="8" t="s">
        <v>66</v>
      </c>
    </row>
    <row r="73" spans="1:6" x14ac:dyDescent="0.2">
      <c r="A73" s="3">
        <v>72</v>
      </c>
      <c r="B73" s="3" t="s">
        <v>173</v>
      </c>
      <c r="C73" s="3" t="s">
        <v>174</v>
      </c>
      <c r="D73" s="3" t="s">
        <v>174</v>
      </c>
      <c r="E73" s="1"/>
      <c r="F73" s="8" t="s">
        <v>66</v>
      </c>
    </row>
    <row r="74" spans="1:6" x14ac:dyDescent="0.2">
      <c r="A74" s="3">
        <v>73</v>
      </c>
      <c r="B74" s="3" t="s">
        <v>175</v>
      </c>
      <c r="C74" s="3" t="s">
        <v>174</v>
      </c>
      <c r="D74" s="3" t="s">
        <v>174</v>
      </c>
      <c r="E74" s="1"/>
      <c r="F74" s="8" t="s">
        <v>66</v>
      </c>
    </row>
    <row r="75" spans="1:6" x14ac:dyDescent="0.2">
      <c r="A75" s="3">
        <v>74</v>
      </c>
      <c r="B75" s="3" t="s">
        <v>176</v>
      </c>
      <c r="C75" s="3" t="s">
        <v>177</v>
      </c>
      <c r="D75" s="3" t="s">
        <v>177</v>
      </c>
      <c r="E75" s="1"/>
      <c r="F75" s="8" t="s">
        <v>66</v>
      </c>
    </row>
    <row r="76" spans="1:6" x14ac:dyDescent="0.2">
      <c r="A76" s="3">
        <v>75</v>
      </c>
      <c r="B76" s="3" t="s">
        <v>178</v>
      </c>
      <c r="C76" s="3" t="s">
        <v>177</v>
      </c>
      <c r="D76" s="3" t="s">
        <v>177</v>
      </c>
      <c r="E76" s="1"/>
      <c r="F76" s="8" t="s">
        <v>66</v>
      </c>
    </row>
    <row r="77" spans="1:6" x14ac:dyDescent="0.2">
      <c r="A77" s="3">
        <v>76</v>
      </c>
      <c r="B77" s="3" t="s">
        <v>179</v>
      </c>
      <c r="C77" s="3" t="s">
        <v>180</v>
      </c>
      <c r="D77" s="3" t="s">
        <v>180</v>
      </c>
      <c r="E77" s="1"/>
      <c r="F77" s="8" t="s">
        <v>66</v>
      </c>
    </row>
    <row r="78" spans="1:6" x14ac:dyDescent="0.2">
      <c r="A78" s="3">
        <v>77</v>
      </c>
      <c r="B78" s="3" t="s">
        <v>181</v>
      </c>
      <c r="C78" s="3" t="s">
        <v>182</v>
      </c>
      <c r="D78" s="3" t="s">
        <v>182</v>
      </c>
      <c r="E78" s="1"/>
      <c r="F78" s="8" t="s">
        <v>66</v>
      </c>
    </row>
    <row r="79" spans="1:6" x14ac:dyDescent="0.2">
      <c r="A79" s="3">
        <v>78</v>
      </c>
      <c r="B79" s="3" t="s">
        <v>183</v>
      </c>
      <c r="C79" s="3" t="s">
        <v>182</v>
      </c>
      <c r="D79" s="3" t="s">
        <v>182</v>
      </c>
      <c r="E79" s="1"/>
      <c r="F79" s="8" t="s">
        <v>66</v>
      </c>
    </row>
    <row r="80" spans="1:6" x14ac:dyDescent="0.2">
      <c r="A80" s="3">
        <v>79</v>
      </c>
      <c r="B80" s="3" t="s">
        <v>184</v>
      </c>
      <c r="C80" s="3" t="s">
        <v>185</v>
      </c>
      <c r="D80" s="3" t="s">
        <v>185</v>
      </c>
      <c r="E80" s="1"/>
      <c r="F80" s="8" t="s">
        <v>66</v>
      </c>
    </row>
    <row r="81" spans="1:6" x14ac:dyDescent="0.2">
      <c r="A81" s="3">
        <v>80</v>
      </c>
      <c r="B81" s="3" t="s">
        <v>186</v>
      </c>
      <c r="C81" s="3" t="s">
        <v>187</v>
      </c>
      <c r="D81" s="3" t="s">
        <v>187</v>
      </c>
      <c r="E81" s="1"/>
      <c r="F81" s="8" t="s">
        <v>66</v>
      </c>
    </row>
    <row r="82" spans="1:6" x14ac:dyDescent="0.2">
      <c r="A82" s="3">
        <v>81</v>
      </c>
      <c r="B82" s="3" t="s">
        <v>188</v>
      </c>
      <c r="C82" s="3" t="s">
        <v>189</v>
      </c>
      <c r="D82" s="3" t="s">
        <v>189</v>
      </c>
      <c r="E82" s="1"/>
      <c r="F82" s="8" t="s">
        <v>66</v>
      </c>
    </row>
    <row r="83" spans="1:6" x14ac:dyDescent="0.2">
      <c r="A83" s="3">
        <v>82</v>
      </c>
      <c r="B83" s="3" t="s">
        <v>190</v>
      </c>
      <c r="C83" s="3" t="s">
        <v>191</v>
      </c>
      <c r="D83" s="3" t="s">
        <v>191</v>
      </c>
      <c r="E83" s="1"/>
      <c r="F83" s="8" t="s">
        <v>66</v>
      </c>
    </row>
    <row r="84" spans="1:6" x14ac:dyDescent="0.2">
      <c r="A84" s="3">
        <v>83</v>
      </c>
      <c r="B84" s="3" t="s">
        <v>192</v>
      </c>
      <c r="C84" s="3" t="s">
        <v>193</v>
      </c>
      <c r="D84" s="3" t="s">
        <v>193</v>
      </c>
      <c r="E84" s="1"/>
      <c r="F84" s="8" t="s">
        <v>66</v>
      </c>
    </row>
    <row r="85" spans="1:6" x14ac:dyDescent="0.2">
      <c r="A85" s="3">
        <v>84</v>
      </c>
      <c r="B85" s="3" t="s">
        <v>194</v>
      </c>
      <c r="C85" s="3" t="s">
        <v>195</v>
      </c>
      <c r="D85" s="3" t="s">
        <v>195</v>
      </c>
      <c r="E85" s="1"/>
      <c r="F85" s="8" t="s">
        <v>66</v>
      </c>
    </row>
    <row r="86" spans="1:6" x14ac:dyDescent="0.2">
      <c r="A86" s="3">
        <v>85</v>
      </c>
      <c r="B86" s="3" t="s">
        <v>196</v>
      </c>
      <c r="C86" s="3" t="s">
        <v>197</v>
      </c>
      <c r="D86" s="3" t="s">
        <v>197</v>
      </c>
      <c r="E86" s="1"/>
      <c r="F86" s="8" t="s">
        <v>66</v>
      </c>
    </row>
    <row r="87" spans="1:6" x14ac:dyDescent="0.2">
      <c r="A87" s="3">
        <v>86</v>
      </c>
      <c r="B87" s="3" t="s">
        <v>198</v>
      </c>
      <c r="C87" s="3" t="s">
        <v>197</v>
      </c>
      <c r="D87" s="3" t="s">
        <v>197</v>
      </c>
      <c r="E87" s="1"/>
      <c r="F87" s="8" t="s">
        <v>66</v>
      </c>
    </row>
    <row r="88" spans="1:6" x14ac:dyDescent="0.2">
      <c r="A88" s="3">
        <v>87</v>
      </c>
      <c r="B88" s="3" t="s">
        <v>199</v>
      </c>
      <c r="C88" s="3" t="s">
        <v>197</v>
      </c>
      <c r="D88" s="3" t="s">
        <v>197</v>
      </c>
      <c r="E88" s="1"/>
      <c r="F88" s="8" t="s">
        <v>66</v>
      </c>
    </row>
    <row r="89" spans="1:6" x14ac:dyDescent="0.2">
      <c r="A89" s="3">
        <v>88</v>
      </c>
      <c r="B89" s="3" t="s">
        <v>200</v>
      </c>
      <c r="C89" s="3" t="s">
        <v>197</v>
      </c>
      <c r="D89" s="3" t="s">
        <v>197</v>
      </c>
      <c r="E89" s="1"/>
      <c r="F89" s="8" t="s">
        <v>66</v>
      </c>
    </row>
    <row r="90" spans="1:6" x14ac:dyDescent="0.2">
      <c r="A90" s="3">
        <v>89</v>
      </c>
      <c r="B90" s="3" t="s">
        <v>201</v>
      </c>
      <c r="C90" s="3" t="s">
        <v>202</v>
      </c>
      <c r="D90" s="3" t="s">
        <v>202</v>
      </c>
      <c r="E90" s="1"/>
      <c r="F90" s="8" t="s">
        <v>66</v>
      </c>
    </row>
    <row r="91" spans="1:6" x14ac:dyDescent="0.2">
      <c r="A91" s="3">
        <v>90</v>
      </c>
      <c r="B91" s="3" t="s">
        <v>203</v>
      </c>
      <c r="C91" s="3" t="s">
        <v>204</v>
      </c>
      <c r="D91" s="3" t="s">
        <v>204</v>
      </c>
      <c r="E91" s="1"/>
      <c r="F91" s="8" t="s">
        <v>66</v>
      </c>
    </row>
    <row r="92" spans="1:6" x14ac:dyDescent="0.2">
      <c r="A92" s="3">
        <v>91</v>
      </c>
      <c r="B92" s="3" t="s">
        <v>205</v>
      </c>
      <c r="C92" s="3" t="s">
        <v>206</v>
      </c>
      <c r="D92" s="3" t="s">
        <v>206</v>
      </c>
      <c r="E92" s="1"/>
      <c r="F92" s="8" t="s">
        <v>66</v>
      </c>
    </row>
    <row r="93" spans="1:6" x14ac:dyDescent="0.2">
      <c r="A93" s="3">
        <v>92</v>
      </c>
      <c r="B93" s="3" t="s">
        <v>207</v>
      </c>
      <c r="C93" s="3" t="s">
        <v>208</v>
      </c>
      <c r="D93" s="3" t="s">
        <v>208</v>
      </c>
      <c r="E93" s="1"/>
      <c r="F93" s="8" t="s">
        <v>66</v>
      </c>
    </row>
    <row r="94" spans="1:6" x14ac:dyDescent="0.2">
      <c r="A94" s="3">
        <v>93</v>
      </c>
      <c r="B94" s="3" t="s">
        <v>209</v>
      </c>
      <c r="C94" s="3" t="s">
        <v>210</v>
      </c>
      <c r="D94" s="3" t="s">
        <v>210</v>
      </c>
      <c r="E94" s="1"/>
      <c r="F94" s="8" t="s">
        <v>66</v>
      </c>
    </row>
    <row r="95" spans="1:6" x14ac:dyDescent="0.2">
      <c r="A95" s="3">
        <v>94</v>
      </c>
      <c r="B95" s="3" t="s">
        <v>211</v>
      </c>
      <c r="C95" s="3" t="s">
        <v>210</v>
      </c>
      <c r="D95" s="3" t="s">
        <v>210</v>
      </c>
      <c r="E95" s="1"/>
      <c r="F95" s="8" t="s">
        <v>66</v>
      </c>
    </row>
    <row r="96" spans="1:6" x14ac:dyDescent="0.2">
      <c r="A96" s="3">
        <v>95</v>
      </c>
      <c r="B96" s="3" t="s">
        <v>212</v>
      </c>
      <c r="C96" s="3" t="s">
        <v>210</v>
      </c>
      <c r="D96" s="3" t="s">
        <v>210</v>
      </c>
      <c r="E96" s="1"/>
      <c r="F96" s="8" t="s">
        <v>66</v>
      </c>
    </row>
    <row r="97" spans="1:6" x14ac:dyDescent="0.2">
      <c r="A97" s="3">
        <v>96</v>
      </c>
      <c r="B97" s="3" t="s">
        <v>213</v>
      </c>
      <c r="C97" s="3" t="s">
        <v>210</v>
      </c>
      <c r="D97" s="3" t="s">
        <v>210</v>
      </c>
      <c r="E97" s="1"/>
      <c r="F97" s="8" t="s">
        <v>66</v>
      </c>
    </row>
    <row r="98" spans="1:6" x14ac:dyDescent="0.2">
      <c r="A98" s="3">
        <v>97</v>
      </c>
      <c r="B98" s="3" t="s">
        <v>214</v>
      </c>
      <c r="C98" s="3" t="s">
        <v>215</v>
      </c>
      <c r="D98" s="3" t="s">
        <v>215</v>
      </c>
      <c r="E98" s="1"/>
      <c r="F98" s="8" t="s">
        <v>66</v>
      </c>
    </row>
    <row r="99" spans="1:6" x14ac:dyDescent="0.2">
      <c r="A99" s="3">
        <v>98</v>
      </c>
      <c r="B99" s="3" t="s">
        <v>216</v>
      </c>
      <c r="C99" s="3" t="s">
        <v>217</v>
      </c>
      <c r="D99" s="3" t="s">
        <v>217</v>
      </c>
      <c r="E99" s="1"/>
      <c r="F99" s="8" t="s">
        <v>66</v>
      </c>
    </row>
    <row r="100" spans="1:6" x14ac:dyDescent="0.2">
      <c r="A100" s="3">
        <v>99</v>
      </c>
      <c r="B100" s="3" t="s">
        <v>218</v>
      </c>
      <c r="C100" s="3" t="s">
        <v>219</v>
      </c>
      <c r="D100" s="3" t="s">
        <v>219</v>
      </c>
      <c r="E100" s="1"/>
      <c r="F100" s="8" t="s">
        <v>66</v>
      </c>
    </row>
    <row r="101" spans="1:6" x14ac:dyDescent="0.2">
      <c r="A101" s="3">
        <v>100</v>
      </c>
      <c r="B101" s="3" t="s">
        <v>220</v>
      </c>
      <c r="C101" s="3" t="s">
        <v>219</v>
      </c>
      <c r="D101" s="3" t="s">
        <v>219</v>
      </c>
      <c r="E101" s="1"/>
      <c r="F101" s="8" t="s">
        <v>66</v>
      </c>
    </row>
    <row r="102" spans="1:6" x14ac:dyDescent="0.2">
      <c r="A102" s="3">
        <v>101</v>
      </c>
      <c r="B102" s="3" t="s">
        <v>221</v>
      </c>
      <c r="C102" s="3" t="s">
        <v>222</v>
      </c>
      <c r="D102" s="3" t="s">
        <v>222</v>
      </c>
      <c r="E102" s="1"/>
      <c r="F102" s="8" t="s">
        <v>66</v>
      </c>
    </row>
    <row r="103" spans="1:6" x14ac:dyDescent="0.2">
      <c r="A103" s="3">
        <v>102</v>
      </c>
      <c r="B103" s="3" t="s">
        <v>223</v>
      </c>
      <c r="C103" s="3" t="s">
        <v>222</v>
      </c>
      <c r="D103" s="3" t="s">
        <v>222</v>
      </c>
      <c r="E103" s="1"/>
      <c r="F103" s="8" t="s">
        <v>66</v>
      </c>
    </row>
    <row r="104" spans="1:6" x14ac:dyDescent="0.2">
      <c r="A104" s="3">
        <v>103</v>
      </c>
      <c r="B104" s="3" t="s">
        <v>224</v>
      </c>
      <c r="C104" s="3" t="s">
        <v>225</v>
      </c>
      <c r="D104" s="3" t="s">
        <v>225</v>
      </c>
      <c r="E104" s="1"/>
      <c r="F104" s="8" t="s">
        <v>66</v>
      </c>
    </row>
    <row r="105" spans="1:6" x14ac:dyDescent="0.2">
      <c r="A105" s="3">
        <v>104</v>
      </c>
      <c r="B105" s="3" t="s">
        <v>226</v>
      </c>
      <c r="C105" s="3" t="s">
        <v>227</v>
      </c>
      <c r="D105" s="3" t="s">
        <v>227</v>
      </c>
      <c r="E105" s="1"/>
      <c r="F105" s="8" t="s">
        <v>66</v>
      </c>
    </row>
    <row r="106" spans="1:6" x14ac:dyDescent="0.2">
      <c r="A106" s="3">
        <v>105</v>
      </c>
      <c r="B106" s="3" t="s">
        <v>228</v>
      </c>
      <c r="C106" s="3" t="s">
        <v>227</v>
      </c>
      <c r="D106" s="3" t="s">
        <v>227</v>
      </c>
      <c r="E106" s="1"/>
      <c r="F106" s="8" t="s">
        <v>66</v>
      </c>
    </row>
    <row r="107" spans="1:6" x14ac:dyDescent="0.2">
      <c r="A107" s="3">
        <v>106</v>
      </c>
      <c r="B107" s="3" t="s">
        <v>229</v>
      </c>
      <c r="C107" s="3" t="s">
        <v>230</v>
      </c>
      <c r="D107" s="3" t="s">
        <v>230</v>
      </c>
      <c r="E107" s="1"/>
      <c r="F107" s="8" t="s">
        <v>66</v>
      </c>
    </row>
    <row r="108" spans="1:6" x14ac:dyDescent="0.2">
      <c r="A108" s="3">
        <v>107</v>
      </c>
      <c r="B108" s="3" t="s">
        <v>231</v>
      </c>
      <c r="C108" s="3" t="s">
        <v>230</v>
      </c>
      <c r="D108" s="3" t="s">
        <v>230</v>
      </c>
      <c r="E108" s="1"/>
      <c r="F108" s="8" t="s">
        <v>66</v>
      </c>
    </row>
    <row r="109" spans="1:6" x14ac:dyDescent="0.2">
      <c r="A109" s="3">
        <v>108</v>
      </c>
      <c r="B109" s="3" t="s">
        <v>232</v>
      </c>
      <c r="C109" s="3" t="s">
        <v>230</v>
      </c>
      <c r="D109" s="3" t="s">
        <v>230</v>
      </c>
      <c r="E109" s="1"/>
      <c r="F109" s="8" t="s">
        <v>66</v>
      </c>
    </row>
    <row r="110" spans="1:6" x14ac:dyDescent="0.2">
      <c r="A110" s="3">
        <v>109</v>
      </c>
      <c r="B110" s="3" t="s">
        <v>233</v>
      </c>
      <c r="C110" s="3" t="s">
        <v>234</v>
      </c>
      <c r="D110" s="3" t="s">
        <v>234</v>
      </c>
      <c r="E110" s="1"/>
      <c r="F110" s="8" t="s">
        <v>66</v>
      </c>
    </row>
    <row r="111" spans="1:6" x14ac:dyDescent="0.2">
      <c r="A111" s="3">
        <v>110</v>
      </c>
      <c r="B111" s="3" t="s">
        <v>235</v>
      </c>
      <c r="C111" s="3" t="s">
        <v>236</v>
      </c>
      <c r="D111" s="3" t="s">
        <v>236</v>
      </c>
      <c r="E111" s="1"/>
      <c r="F111" s="8" t="s">
        <v>66</v>
      </c>
    </row>
    <row r="112" spans="1:6" x14ac:dyDescent="0.2">
      <c r="A112" s="3">
        <v>111</v>
      </c>
      <c r="B112" s="3" t="s">
        <v>237</v>
      </c>
      <c r="C112" s="3" t="s">
        <v>238</v>
      </c>
      <c r="D112" s="3" t="s">
        <v>238</v>
      </c>
      <c r="E112" s="1"/>
      <c r="F112" s="8" t="s">
        <v>66</v>
      </c>
    </row>
    <row r="113" spans="1:6" x14ac:dyDescent="0.2">
      <c r="A113" s="3">
        <v>112</v>
      </c>
      <c r="B113" s="3" t="s">
        <v>239</v>
      </c>
      <c r="C113" s="3" t="s">
        <v>240</v>
      </c>
      <c r="D113" s="3" t="s">
        <v>240</v>
      </c>
      <c r="E113" s="1"/>
      <c r="F113" s="8" t="s">
        <v>66</v>
      </c>
    </row>
    <row r="114" spans="1:6" x14ac:dyDescent="0.2">
      <c r="A114" s="3">
        <v>113</v>
      </c>
      <c r="B114" s="3" t="s">
        <v>241</v>
      </c>
      <c r="C114" s="3" t="s">
        <v>242</v>
      </c>
      <c r="D114" s="3" t="s">
        <v>242</v>
      </c>
      <c r="E114" s="1"/>
      <c r="F114" s="8" t="s">
        <v>66</v>
      </c>
    </row>
    <row r="115" spans="1:6" x14ac:dyDescent="0.2">
      <c r="A115" s="3">
        <v>114</v>
      </c>
      <c r="B115" s="3" t="s">
        <v>243</v>
      </c>
      <c r="C115" s="3" t="s">
        <v>244</v>
      </c>
      <c r="D115" s="3" t="s">
        <v>244</v>
      </c>
      <c r="E115" s="1"/>
      <c r="F115" s="8" t="s">
        <v>66</v>
      </c>
    </row>
    <row r="116" spans="1:6" x14ac:dyDescent="0.2">
      <c r="A116" s="3">
        <v>115</v>
      </c>
      <c r="B116" s="3" t="s">
        <v>245</v>
      </c>
      <c r="C116" s="3" t="s">
        <v>244</v>
      </c>
      <c r="D116" s="3" t="s">
        <v>244</v>
      </c>
      <c r="E116" s="1"/>
      <c r="F116" s="8" t="s">
        <v>66</v>
      </c>
    </row>
    <row r="117" spans="1:6" x14ac:dyDescent="0.2">
      <c r="A117" s="3">
        <v>116</v>
      </c>
      <c r="B117" s="3" t="s">
        <v>246</v>
      </c>
      <c r="C117" s="3" t="s">
        <v>247</v>
      </c>
      <c r="D117" s="3" t="s">
        <v>247</v>
      </c>
      <c r="E117" s="1"/>
      <c r="F117" s="8" t="s">
        <v>66</v>
      </c>
    </row>
    <row r="118" spans="1:6" x14ac:dyDescent="0.2">
      <c r="A118" s="3">
        <v>117</v>
      </c>
      <c r="B118" s="3" t="s">
        <v>248</v>
      </c>
      <c r="C118" s="3" t="s">
        <v>249</v>
      </c>
      <c r="D118" s="3" t="s">
        <v>249</v>
      </c>
      <c r="E118" s="1"/>
      <c r="F118" s="8" t="s">
        <v>66</v>
      </c>
    </row>
    <row r="119" spans="1:6" x14ac:dyDescent="0.2">
      <c r="A119" s="3">
        <v>118</v>
      </c>
      <c r="B119" s="3" t="s">
        <v>250</v>
      </c>
      <c r="C119" s="3" t="s">
        <v>249</v>
      </c>
      <c r="D119" s="3" t="s">
        <v>249</v>
      </c>
      <c r="E119" s="1"/>
      <c r="F119" s="8" t="s">
        <v>66</v>
      </c>
    </row>
    <row r="120" spans="1:6" x14ac:dyDescent="0.2">
      <c r="A120" s="3">
        <v>119</v>
      </c>
      <c r="B120" s="3" t="s">
        <v>251</v>
      </c>
      <c r="C120" s="3" t="s">
        <v>252</v>
      </c>
      <c r="D120" s="3" t="s">
        <v>252</v>
      </c>
      <c r="E120" s="1"/>
      <c r="F120" s="8" t="s">
        <v>66</v>
      </c>
    </row>
    <row r="121" spans="1:6" x14ac:dyDescent="0.2">
      <c r="A121" s="3">
        <v>120</v>
      </c>
      <c r="B121" s="3" t="s">
        <v>253</v>
      </c>
      <c r="C121" s="3" t="s">
        <v>252</v>
      </c>
      <c r="D121" s="3" t="s">
        <v>252</v>
      </c>
      <c r="E121" s="1"/>
      <c r="F121" s="8" t="s">
        <v>66</v>
      </c>
    </row>
    <row r="122" spans="1:6" x14ac:dyDescent="0.2">
      <c r="A122" s="3">
        <v>121</v>
      </c>
      <c r="B122" s="3" t="s">
        <v>254</v>
      </c>
      <c r="C122" s="3" t="s">
        <v>255</v>
      </c>
      <c r="D122" s="3" t="s">
        <v>255</v>
      </c>
      <c r="E122" s="1"/>
      <c r="F122" s="8" t="s">
        <v>66</v>
      </c>
    </row>
    <row r="123" spans="1:6" x14ac:dyDescent="0.2">
      <c r="A123" s="3">
        <v>122</v>
      </c>
      <c r="B123" s="3" t="s">
        <v>256</v>
      </c>
      <c r="C123" s="3" t="s">
        <v>257</v>
      </c>
      <c r="D123" s="3" t="s">
        <v>257</v>
      </c>
      <c r="E123" s="1"/>
      <c r="F123" s="8" t="s">
        <v>66</v>
      </c>
    </row>
    <row r="124" spans="1:6" x14ac:dyDescent="0.2">
      <c r="A124" s="3">
        <v>123</v>
      </c>
      <c r="B124" s="3" t="s">
        <v>258</v>
      </c>
      <c r="C124" s="3" t="s">
        <v>259</v>
      </c>
      <c r="D124" s="3" t="s">
        <v>259</v>
      </c>
      <c r="E124" s="1"/>
      <c r="F124" s="8" t="s">
        <v>66</v>
      </c>
    </row>
    <row r="125" spans="1:6" x14ac:dyDescent="0.2">
      <c r="A125" s="3">
        <v>124</v>
      </c>
      <c r="B125" s="3" t="s">
        <v>260</v>
      </c>
      <c r="C125" s="3" t="s">
        <v>259</v>
      </c>
      <c r="D125" s="3" t="s">
        <v>259</v>
      </c>
      <c r="E125" s="1"/>
      <c r="F125" s="8" t="s">
        <v>66</v>
      </c>
    </row>
    <row r="126" spans="1:6" x14ac:dyDescent="0.2">
      <c r="A126" s="3">
        <v>125</v>
      </c>
      <c r="B126" s="3" t="s">
        <v>261</v>
      </c>
      <c r="C126" s="3" t="s">
        <v>262</v>
      </c>
      <c r="D126" s="3" t="s">
        <v>262</v>
      </c>
      <c r="E126" s="1"/>
      <c r="F126" s="8" t="s">
        <v>66</v>
      </c>
    </row>
    <row r="127" spans="1:6" x14ac:dyDescent="0.2">
      <c r="A127" s="3">
        <v>126</v>
      </c>
      <c r="B127" s="3" t="s">
        <v>263</v>
      </c>
      <c r="C127" s="3" t="s">
        <v>262</v>
      </c>
      <c r="D127" s="3" t="s">
        <v>262</v>
      </c>
      <c r="E127" s="1"/>
      <c r="F127" s="8" t="s">
        <v>66</v>
      </c>
    </row>
    <row r="128" spans="1:6" x14ac:dyDescent="0.2">
      <c r="A128" s="3">
        <v>127</v>
      </c>
      <c r="B128" s="3" t="s">
        <v>264</v>
      </c>
      <c r="C128" s="3" t="s">
        <v>265</v>
      </c>
      <c r="D128" s="3" t="s">
        <v>265</v>
      </c>
      <c r="E128" s="1"/>
      <c r="F128" s="8" t="s">
        <v>66</v>
      </c>
    </row>
    <row r="129" spans="1:6" x14ac:dyDescent="0.2">
      <c r="A129" s="3">
        <v>128</v>
      </c>
      <c r="B129" s="3" t="s">
        <v>266</v>
      </c>
      <c r="C129" s="3" t="s">
        <v>267</v>
      </c>
      <c r="D129" s="3" t="s">
        <v>267</v>
      </c>
      <c r="E129" s="1"/>
      <c r="F129" s="8" t="s">
        <v>66</v>
      </c>
    </row>
    <row r="130" spans="1:6" x14ac:dyDescent="0.2">
      <c r="A130" s="3">
        <v>129</v>
      </c>
      <c r="B130" s="3" t="s">
        <v>268</v>
      </c>
      <c r="C130" s="3" t="s">
        <v>267</v>
      </c>
      <c r="D130" s="3" t="s">
        <v>267</v>
      </c>
      <c r="E130" s="1"/>
      <c r="F130" s="8" t="s">
        <v>66</v>
      </c>
    </row>
    <row r="131" spans="1:6" x14ac:dyDescent="0.2">
      <c r="A131" s="3">
        <v>130</v>
      </c>
      <c r="B131" s="3" t="s">
        <v>269</v>
      </c>
      <c r="C131" s="3" t="s">
        <v>267</v>
      </c>
      <c r="D131" s="3" t="s">
        <v>267</v>
      </c>
      <c r="E131" s="1"/>
      <c r="F131" s="8" t="s">
        <v>66</v>
      </c>
    </row>
    <row r="132" spans="1:6" x14ac:dyDescent="0.2">
      <c r="A132" s="3">
        <v>131</v>
      </c>
      <c r="B132" s="3" t="s">
        <v>270</v>
      </c>
      <c r="C132" s="3" t="s">
        <v>267</v>
      </c>
      <c r="D132" s="3" t="s">
        <v>267</v>
      </c>
      <c r="E132" s="1"/>
      <c r="F132" s="8" t="s">
        <v>66</v>
      </c>
    </row>
    <row r="133" spans="1:6" x14ac:dyDescent="0.2">
      <c r="A133" s="3">
        <v>132</v>
      </c>
      <c r="B133" s="3" t="s">
        <v>271</v>
      </c>
      <c r="C133" s="3" t="s">
        <v>272</v>
      </c>
      <c r="D133" s="3" t="s">
        <v>272</v>
      </c>
      <c r="E133" s="1"/>
      <c r="F133" s="8" t="s">
        <v>66</v>
      </c>
    </row>
    <row r="134" spans="1:6" x14ac:dyDescent="0.2">
      <c r="A134" s="3">
        <v>133</v>
      </c>
      <c r="B134" s="3" t="s">
        <v>273</v>
      </c>
      <c r="C134" s="3" t="s">
        <v>272</v>
      </c>
      <c r="D134" s="3" t="s">
        <v>272</v>
      </c>
      <c r="E134" s="1"/>
      <c r="F134" s="8" t="s">
        <v>66</v>
      </c>
    </row>
    <row r="135" spans="1:6" x14ac:dyDescent="0.2">
      <c r="A135" s="3">
        <v>134</v>
      </c>
      <c r="B135" s="3" t="s">
        <v>274</v>
      </c>
      <c r="C135" s="3" t="s">
        <v>267</v>
      </c>
      <c r="D135" s="3" t="s">
        <v>267</v>
      </c>
      <c r="E135" s="1"/>
      <c r="F135" s="8" t="s">
        <v>66</v>
      </c>
    </row>
    <row r="136" spans="1:6" x14ac:dyDescent="0.2">
      <c r="A136" s="3">
        <v>135</v>
      </c>
      <c r="B136" s="3" t="s">
        <v>275</v>
      </c>
      <c r="C136" s="3" t="s">
        <v>276</v>
      </c>
      <c r="D136" s="3" t="s">
        <v>276</v>
      </c>
      <c r="E136" s="1"/>
      <c r="F136" s="8" t="s">
        <v>66</v>
      </c>
    </row>
    <row r="137" spans="1:6" x14ac:dyDescent="0.2">
      <c r="A137" s="3">
        <v>136</v>
      </c>
      <c r="B137" s="3" t="s">
        <v>277</v>
      </c>
      <c r="C137" s="3" t="s">
        <v>278</v>
      </c>
      <c r="D137" s="3" t="s">
        <v>278</v>
      </c>
      <c r="E137" s="1"/>
      <c r="F137" s="8" t="s">
        <v>66</v>
      </c>
    </row>
    <row r="138" spans="1:6" x14ac:dyDescent="0.2">
      <c r="A138" s="3">
        <v>137</v>
      </c>
      <c r="B138" s="3" t="s">
        <v>279</v>
      </c>
      <c r="C138" s="3" t="s">
        <v>280</v>
      </c>
      <c r="D138" s="3" t="s">
        <v>280</v>
      </c>
      <c r="E138" s="1"/>
      <c r="F138" s="8" t="s">
        <v>66</v>
      </c>
    </row>
    <row r="139" spans="1:6" x14ac:dyDescent="0.2">
      <c r="A139" s="3">
        <v>138</v>
      </c>
      <c r="B139" s="3" t="s">
        <v>281</v>
      </c>
      <c r="C139" s="3" t="s">
        <v>280</v>
      </c>
      <c r="D139" s="3" t="s">
        <v>280</v>
      </c>
      <c r="E139" s="1"/>
      <c r="F139" s="8" t="s">
        <v>66</v>
      </c>
    </row>
    <row r="140" spans="1:6" x14ac:dyDescent="0.2">
      <c r="A140" s="3">
        <v>139</v>
      </c>
      <c r="B140" s="3" t="s">
        <v>282</v>
      </c>
      <c r="C140" s="3" t="s">
        <v>283</v>
      </c>
      <c r="D140" s="3" t="s">
        <v>283</v>
      </c>
      <c r="E140" s="1"/>
      <c r="F140" s="8" t="s">
        <v>66</v>
      </c>
    </row>
    <row r="141" spans="1:6" x14ac:dyDescent="0.2">
      <c r="A141" s="3">
        <v>140</v>
      </c>
      <c r="B141" s="3" t="s">
        <v>284</v>
      </c>
      <c r="C141" s="3" t="s">
        <v>285</v>
      </c>
      <c r="D141" s="3" t="s">
        <v>285</v>
      </c>
      <c r="E141" s="1"/>
      <c r="F141" s="8" t="s">
        <v>66</v>
      </c>
    </row>
    <row r="142" spans="1:6" x14ac:dyDescent="0.2">
      <c r="A142" s="3">
        <v>141</v>
      </c>
      <c r="B142" s="3" t="s">
        <v>286</v>
      </c>
      <c r="C142" s="3" t="s">
        <v>285</v>
      </c>
      <c r="D142" s="3" t="s">
        <v>285</v>
      </c>
      <c r="E142" s="1"/>
      <c r="F142" s="8" t="s">
        <v>66</v>
      </c>
    </row>
    <row r="143" spans="1:6" x14ac:dyDescent="0.2">
      <c r="A143" s="3">
        <v>142</v>
      </c>
      <c r="B143" s="3" t="s">
        <v>287</v>
      </c>
      <c r="C143" s="3" t="s">
        <v>285</v>
      </c>
      <c r="D143" s="3" t="s">
        <v>285</v>
      </c>
      <c r="E143" s="1"/>
      <c r="F143" s="8" t="s">
        <v>66</v>
      </c>
    </row>
    <row r="144" spans="1:6" x14ac:dyDescent="0.2">
      <c r="A144" s="3">
        <v>143</v>
      </c>
      <c r="B144" s="3" t="s">
        <v>288</v>
      </c>
      <c r="C144" s="3" t="s">
        <v>289</v>
      </c>
      <c r="D144" s="3" t="s">
        <v>289</v>
      </c>
      <c r="E144" s="1"/>
      <c r="F144" s="8" t="s">
        <v>66</v>
      </c>
    </row>
    <row r="145" spans="1:6" x14ac:dyDescent="0.2">
      <c r="A145" s="3">
        <v>144</v>
      </c>
      <c r="B145" s="3" t="s">
        <v>290</v>
      </c>
      <c r="C145" s="3" t="s">
        <v>289</v>
      </c>
      <c r="D145" s="3" t="s">
        <v>289</v>
      </c>
      <c r="E145" s="1"/>
      <c r="F145" s="8" t="s">
        <v>66</v>
      </c>
    </row>
    <row r="146" spans="1:6" x14ac:dyDescent="0.2">
      <c r="A146" s="3">
        <v>145</v>
      </c>
      <c r="B146" s="3" t="s">
        <v>291</v>
      </c>
      <c r="C146" s="3" t="s">
        <v>289</v>
      </c>
      <c r="D146" s="3" t="s">
        <v>289</v>
      </c>
      <c r="E146" s="1"/>
      <c r="F146" s="8" t="s">
        <v>66</v>
      </c>
    </row>
    <row r="147" spans="1:6" x14ac:dyDescent="0.2">
      <c r="A147" s="3">
        <v>146</v>
      </c>
      <c r="B147" s="3" t="s">
        <v>292</v>
      </c>
      <c r="C147" s="3" t="s">
        <v>293</v>
      </c>
      <c r="D147" s="3" t="s">
        <v>293</v>
      </c>
      <c r="E147" s="1"/>
      <c r="F147" s="8" t="s">
        <v>66</v>
      </c>
    </row>
    <row r="148" spans="1:6" x14ac:dyDescent="0.2">
      <c r="A148" s="3">
        <v>147</v>
      </c>
      <c r="B148" s="3" t="s">
        <v>294</v>
      </c>
      <c r="C148" s="3" t="s">
        <v>295</v>
      </c>
      <c r="D148" s="3" t="s">
        <v>295</v>
      </c>
      <c r="E148" s="1"/>
      <c r="F148" s="8" t="s">
        <v>66</v>
      </c>
    </row>
    <row r="149" spans="1:6" x14ac:dyDescent="0.2">
      <c r="A149" s="3">
        <v>148</v>
      </c>
      <c r="B149" s="3" t="s">
        <v>296</v>
      </c>
      <c r="C149" s="3" t="s">
        <v>297</v>
      </c>
      <c r="D149" s="3" t="s">
        <v>297</v>
      </c>
      <c r="E149" s="1"/>
      <c r="F149" s="8" t="s">
        <v>66</v>
      </c>
    </row>
    <row r="150" spans="1:6" x14ac:dyDescent="0.2">
      <c r="A150" s="3">
        <v>149</v>
      </c>
      <c r="B150" s="3" t="s">
        <v>298</v>
      </c>
      <c r="C150" s="3" t="s">
        <v>299</v>
      </c>
      <c r="D150" s="3" t="s">
        <v>299</v>
      </c>
      <c r="E150" s="1"/>
      <c r="F150" s="8" t="s">
        <v>66</v>
      </c>
    </row>
    <row r="151" spans="1:6" x14ac:dyDescent="0.2">
      <c r="A151" s="3">
        <v>150</v>
      </c>
      <c r="B151" s="3" t="s">
        <v>300</v>
      </c>
      <c r="C151" s="3" t="s">
        <v>301</v>
      </c>
      <c r="D151" s="3" t="s">
        <v>301</v>
      </c>
      <c r="E151" s="1"/>
      <c r="F151" s="8" t="s">
        <v>66</v>
      </c>
    </row>
    <row r="152" spans="1:6" x14ac:dyDescent="0.2">
      <c r="A152" s="3">
        <v>151</v>
      </c>
      <c r="B152" s="3" t="s">
        <v>302</v>
      </c>
      <c r="C152" s="3" t="s">
        <v>303</v>
      </c>
      <c r="D152" s="3" t="s">
        <v>303</v>
      </c>
      <c r="E152" s="1"/>
      <c r="F152" s="8" t="s">
        <v>66</v>
      </c>
    </row>
    <row r="153" spans="1:6" x14ac:dyDescent="0.2">
      <c r="A153" s="3">
        <v>152</v>
      </c>
      <c r="B153" s="3" t="s">
        <v>304</v>
      </c>
      <c r="C153" s="3" t="s">
        <v>305</v>
      </c>
      <c r="D153" s="3" t="s">
        <v>305</v>
      </c>
      <c r="E153" s="1"/>
      <c r="F153" s="8" t="s">
        <v>66</v>
      </c>
    </row>
    <row r="154" spans="1:6" x14ac:dyDescent="0.2">
      <c r="A154" s="3">
        <v>153</v>
      </c>
      <c r="B154" s="3" t="s">
        <v>306</v>
      </c>
      <c r="C154" s="3" t="s">
        <v>307</v>
      </c>
      <c r="D154" s="3" t="s">
        <v>307</v>
      </c>
      <c r="E154" s="1"/>
      <c r="F154" s="8" t="s">
        <v>66</v>
      </c>
    </row>
    <row r="155" spans="1:6" x14ac:dyDescent="0.2">
      <c r="A155" s="3">
        <v>154</v>
      </c>
      <c r="B155" s="3" t="s">
        <v>308</v>
      </c>
      <c r="C155" s="3" t="s">
        <v>307</v>
      </c>
      <c r="D155" s="3" t="s">
        <v>307</v>
      </c>
      <c r="E155" s="1"/>
      <c r="F155" s="8" t="s">
        <v>66</v>
      </c>
    </row>
    <row r="156" spans="1:6" x14ac:dyDescent="0.2">
      <c r="A156" s="3">
        <v>155</v>
      </c>
      <c r="B156" s="3" t="s">
        <v>309</v>
      </c>
      <c r="C156" s="3" t="s">
        <v>310</v>
      </c>
      <c r="D156" s="3" t="s">
        <v>310</v>
      </c>
      <c r="E156" s="1"/>
      <c r="F156" s="8" t="s">
        <v>66</v>
      </c>
    </row>
    <row r="157" spans="1:6" x14ac:dyDescent="0.2">
      <c r="A157" s="3">
        <v>156</v>
      </c>
      <c r="B157" s="3" t="s">
        <v>311</v>
      </c>
      <c r="C157" s="3" t="s">
        <v>312</v>
      </c>
      <c r="D157" s="3" t="s">
        <v>312</v>
      </c>
      <c r="E157" s="1"/>
      <c r="F157" s="8" t="s">
        <v>66</v>
      </c>
    </row>
    <row r="158" spans="1:6" x14ac:dyDescent="0.2">
      <c r="A158" s="3">
        <v>157</v>
      </c>
      <c r="B158" s="3" t="s">
        <v>313</v>
      </c>
      <c r="C158" s="3" t="s">
        <v>312</v>
      </c>
      <c r="D158" s="3" t="s">
        <v>312</v>
      </c>
      <c r="E158" s="1"/>
      <c r="F158" s="8" t="s">
        <v>66</v>
      </c>
    </row>
    <row r="159" spans="1:6" x14ac:dyDescent="0.2">
      <c r="A159" s="3">
        <v>158</v>
      </c>
      <c r="B159" s="3" t="s">
        <v>314</v>
      </c>
      <c r="C159" s="3" t="s">
        <v>315</v>
      </c>
      <c r="D159" s="3" t="s">
        <v>315</v>
      </c>
      <c r="E159" s="1"/>
      <c r="F159" s="8" t="s">
        <v>66</v>
      </c>
    </row>
    <row r="160" spans="1:6" x14ac:dyDescent="0.2">
      <c r="A160" s="3">
        <v>159</v>
      </c>
      <c r="B160" s="3" t="s">
        <v>316</v>
      </c>
      <c r="C160" s="3" t="s">
        <v>315</v>
      </c>
      <c r="D160" s="3" t="s">
        <v>315</v>
      </c>
      <c r="E160" s="1"/>
      <c r="F160" s="8" t="s">
        <v>66</v>
      </c>
    </row>
    <row r="161" spans="1:6" x14ac:dyDescent="0.2">
      <c r="A161" s="3">
        <v>160</v>
      </c>
      <c r="B161" s="3" t="s">
        <v>317</v>
      </c>
      <c r="C161" s="3" t="s">
        <v>318</v>
      </c>
      <c r="D161" s="3" t="s">
        <v>318</v>
      </c>
      <c r="E161" s="1"/>
      <c r="F161" s="8" t="s">
        <v>66</v>
      </c>
    </row>
    <row r="162" spans="1:6" x14ac:dyDescent="0.2">
      <c r="A162" s="3">
        <v>161</v>
      </c>
      <c r="B162" s="3" t="s">
        <v>319</v>
      </c>
      <c r="C162" s="3" t="s">
        <v>318</v>
      </c>
      <c r="D162" s="3" t="s">
        <v>318</v>
      </c>
      <c r="E162" s="1"/>
      <c r="F162" s="8" t="s">
        <v>66</v>
      </c>
    </row>
    <row r="163" spans="1:6" x14ac:dyDescent="0.2">
      <c r="A163" s="3">
        <v>162</v>
      </c>
      <c r="B163" s="3" t="s">
        <v>320</v>
      </c>
      <c r="C163" s="3" t="s">
        <v>318</v>
      </c>
      <c r="D163" s="3" t="s">
        <v>318</v>
      </c>
      <c r="E163" s="1"/>
      <c r="F163" s="8" t="s">
        <v>66</v>
      </c>
    </row>
    <row r="164" spans="1:6" x14ac:dyDescent="0.2">
      <c r="A164" s="3">
        <v>163</v>
      </c>
      <c r="B164" s="3" t="s">
        <v>321</v>
      </c>
      <c r="C164" s="3" t="s">
        <v>318</v>
      </c>
      <c r="D164" s="3" t="s">
        <v>318</v>
      </c>
      <c r="E164" s="1"/>
      <c r="F164" s="8" t="s">
        <v>66</v>
      </c>
    </row>
    <row r="165" spans="1:6" x14ac:dyDescent="0.2">
      <c r="A165" s="3">
        <v>164</v>
      </c>
      <c r="B165" s="3" t="s">
        <v>322</v>
      </c>
      <c r="C165" s="3" t="s">
        <v>312</v>
      </c>
      <c r="D165" s="3" t="s">
        <v>312</v>
      </c>
      <c r="E165" s="1"/>
      <c r="F165" s="8" t="s">
        <v>66</v>
      </c>
    </row>
    <row r="166" spans="1:6" x14ac:dyDescent="0.2">
      <c r="A166" s="3">
        <v>165</v>
      </c>
      <c r="B166" s="3" t="s">
        <v>323</v>
      </c>
      <c r="C166" s="3" t="s">
        <v>324</v>
      </c>
      <c r="D166" s="3" t="s">
        <v>324</v>
      </c>
      <c r="E166" s="1"/>
      <c r="F166" s="8" t="s">
        <v>66</v>
      </c>
    </row>
    <row r="167" spans="1:6" x14ac:dyDescent="0.2">
      <c r="A167" s="3">
        <v>166</v>
      </c>
      <c r="B167" s="3" t="s">
        <v>325</v>
      </c>
      <c r="C167" s="3" t="s">
        <v>312</v>
      </c>
      <c r="D167" s="3" t="s">
        <v>312</v>
      </c>
      <c r="E167" s="1"/>
      <c r="F167" s="8" t="s">
        <v>66</v>
      </c>
    </row>
    <row r="168" spans="1:6" x14ac:dyDescent="0.2">
      <c r="A168" s="3">
        <v>167</v>
      </c>
      <c r="B168" s="3" t="s">
        <v>326</v>
      </c>
      <c r="C168" s="3" t="s">
        <v>312</v>
      </c>
      <c r="D168" s="3" t="s">
        <v>312</v>
      </c>
      <c r="E168" s="1"/>
      <c r="F168" s="8" t="s">
        <v>66</v>
      </c>
    </row>
    <row r="169" spans="1:6" x14ac:dyDescent="0.2">
      <c r="A169" s="3">
        <v>168</v>
      </c>
      <c r="B169" s="3" t="s">
        <v>327</v>
      </c>
      <c r="C169" s="3" t="s">
        <v>328</v>
      </c>
      <c r="D169" s="3" t="s">
        <v>328</v>
      </c>
      <c r="E169" s="1"/>
      <c r="F169" s="8" t="s">
        <v>66</v>
      </c>
    </row>
    <row r="170" spans="1:6" x14ac:dyDescent="0.2">
      <c r="A170" s="3">
        <v>169</v>
      </c>
      <c r="B170" s="3" t="s">
        <v>329</v>
      </c>
      <c r="C170" s="3" t="s">
        <v>330</v>
      </c>
      <c r="D170" s="3" t="s">
        <v>330</v>
      </c>
      <c r="E170" s="1"/>
      <c r="F170" s="8" t="s">
        <v>66</v>
      </c>
    </row>
    <row r="171" spans="1:6" x14ac:dyDescent="0.2">
      <c r="A171" s="3">
        <v>170</v>
      </c>
      <c r="B171" s="3" t="s">
        <v>331</v>
      </c>
      <c r="C171" s="3" t="s">
        <v>332</v>
      </c>
      <c r="D171" s="3" t="s">
        <v>332</v>
      </c>
      <c r="E171" s="1"/>
      <c r="F171" s="8" t="s">
        <v>66</v>
      </c>
    </row>
    <row r="172" spans="1:6" x14ac:dyDescent="0.2">
      <c r="A172" s="3">
        <v>171</v>
      </c>
      <c r="B172" s="3" t="s">
        <v>333</v>
      </c>
      <c r="C172" s="3" t="s">
        <v>332</v>
      </c>
      <c r="D172" s="3" t="s">
        <v>332</v>
      </c>
      <c r="E172" s="1"/>
      <c r="F172" s="8" t="s">
        <v>66</v>
      </c>
    </row>
    <row r="173" spans="1:6" x14ac:dyDescent="0.2">
      <c r="A173" s="3">
        <v>172</v>
      </c>
      <c r="B173" s="3" t="s">
        <v>334</v>
      </c>
      <c r="C173" s="3" t="s">
        <v>335</v>
      </c>
      <c r="D173" s="3" t="s">
        <v>335</v>
      </c>
      <c r="E173" s="1"/>
      <c r="F173" s="8" t="s">
        <v>66</v>
      </c>
    </row>
    <row r="174" spans="1:6" x14ac:dyDescent="0.2">
      <c r="A174" s="3">
        <v>173</v>
      </c>
      <c r="B174" s="3" t="s">
        <v>336</v>
      </c>
      <c r="C174" s="3" t="s">
        <v>337</v>
      </c>
      <c r="D174" s="3" t="s">
        <v>337</v>
      </c>
      <c r="E174" s="1"/>
      <c r="F174" s="8" t="s">
        <v>66</v>
      </c>
    </row>
    <row r="175" spans="1:6" x14ac:dyDescent="0.2">
      <c r="A175" s="3">
        <v>174</v>
      </c>
      <c r="B175" s="3" t="s">
        <v>338</v>
      </c>
      <c r="C175" s="3" t="s">
        <v>339</v>
      </c>
      <c r="D175" s="3" t="s">
        <v>339</v>
      </c>
      <c r="E175" s="1"/>
      <c r="F175" s="8" t="s">
        <v>66</v>
      </c>
    </row>
    <row r="176" spans="1:6" x14ac:dyDescent="0.2">
      <c r="A176" s="3">
        <v>175</v>
      </c>
      <c r="B176" s="3" t="s">
        <v>340</v>
      </c>
      <c r="C176" s="3" t="s">
        <v>341</v>
      </c>
      <c r="D176" s="3" t="s">
        <v>341</v>
      </c>
      <c r="E176" s="1"/>
      <c r="F176" s="8" t="s">
        <v>66</v>
      </c>
    </row>
    <row r="177" spans="1:6" x14ac:dyDescent="0.2">
      <c r="A177" s="3">
        <v>176</v>
      </c>
      <c r="B177" s="3" t="s">
        <v>342</v>
      </c>
      <c r="C177" s="3" t="s">
        <v>341</v>
      </c>
      <c r="D177" s="3" t="s">
        <v>341</v>
      </c>
      <c r="E177" s="1"/>
      <c r="F177" s="8" t="s">
        <v>66</v>
      </c>
    </row>
    <row r="178" spans="1:6" x14ac:dyDescent="0.2">
      <c r="A178" s="3">
        <v>177</v>
      </c>
      <c r="B178" s="3" t="s">
        <v>343</v>
      </c>
      <c r="C178" s="3" t="s">
        <v>341</v>
      </c>
      <c r="D178" s="3" t="s">
        <v>341</v>
      </c>
      <c r="E178" s="1"/>
      <c r="F178" s="8" t="s">
        <v>66</v>
      </c>
    </row>
    <row r="179" spans="1:6" x14ac:dyDescent="0.2">
      <c r="A179" s="3">
        <v>178</v>
      </c>
      <c r="B179" s="3" t="s">
        <v>344</v>
      </c>
      <c r="C179" s="3" t="s">
        <v>341</v>
      </c>
      <c r="D179" s="3" t="s">
        <v>341</v>
      </c>
      <c r="E179" s="1"/>
      <c r="F179" s="8" t="s">
        <v>66</v>
      </c>
    </row>
    <row r="180" spans="1:6" x14ac:dyDescent="0.2">
      <c r="A180" s="3">
        <v>179</v>
      </c>
      <c r="B180" s="3" t="s">
        <v>345</v>
      </c>
      <c r="C180" s="3" t="s">
        <v>346</v>
      </c>
      <c r="D180" s="3" t="s">
        <v>346</v>
      </c>
      <c r="E180" s="1"/>
      <c r="F180" s="8" t="s">
        <v>66</v>
      </c>
    </row>
    <row r="181" spans="1:6" x14ac:dyDescent="0.2">
      <c r="A181" s="3">
        <v>180</v>
      </c>
      <c r="B181" s="3" t="s">
        <v>347</v>
      </c>
      <c r="C181" s="3" t="s">
        <v>341</v>
      </c>
      <c r="D181" s="3" t="s">
        <v>341</v>
      </c>
      <c r="E181" s="1"/>
      <c r="F181" s="8" t="s">
        <v>66</v>
      </c>
    </row>
    <row r="182" spans="1:6" x14ac:dyDescent="0.2">
      <c r="A182" s="3">
        <v>181</v>
      </c>
      <c r="B182" s="3" t="s">
        <v>348</v>
      </c>
      <c r="C182" s="3" t="s">
        <v>349</v>
      </c>
      <c r="D182" s="3" t="s">
        <v>349</v>
      </c>
      <c r="E182" s="1"/>
      <c r="F182" s="8" t="s">
        <v>66</v>
      </c>
    </row>
    <row r="183" spans="1:6" x14ac:dyDescent="0.2">
      <c r="A183" s="3">
        <v>182</v>
      </c>
      <c r="B183" s="3" t="s">
        <v>350</v>
      </c>
      <c r="C183" s="3" t="s">
        <v>351</v>
      </c>
      <c r="D183" s="3" t="s">
        <v>351</v>
      </c>
      <c r="E183" s="1"/>
      <c r="F183" s="8" t="s">
        <v>66</v>
      </c>
    </row>
    <row r="184" spans="1:6" x14ac:dyDescent="0.2">
      <c r="A184" s="3">
        <v>183</v>
      </c>
      <c r="B184" s="3" t="s">
        <v>352</v>
      </c>
      <c r="C184" s="3" t="s">
        <v>351</v>
      </c>
      <c r="D184" s="3" t="s">
        <v>351</v>
      </c>
      <c r="E184" s="1"/>
      <c r="F184" s="8" t="s">
        <v>66</v>
      </c>
    </row>
    <row r="185" spans="1:6" x14ac:dyDescent="0.2">
      <c r="A185" s="3">
        <v>184</v>
      </c>
      <c r="B185" s="3" t="s">
        <v>353</v>
      </c>
      <c r="C185" s="3" t="s">
        <v>351</v>
      </c>
      <c r="D185" s="3" t="s">
        <v>351</v>
      </c>
      <c r="E185" s="1"/>
      <c r="F185" s="8" t="s">
        <v>66</v>
      </c>
    </row>
    <row r="186" spans="1:6" x14ac:dyDescent="0.2">
      <c r="A186" s="3">
        <v>185</v>
      </c>
      <c r="B186" s="3" t="s">
        <v>354</v>
      </c>
      <c r="C186" s="3" t="s">
        <v>355</v>
      </c>
      <c r="D186" s="3" t="s">
        <v>355</v>
      </c>
      <c r="E186" s="1"/>
      <c r="F186" s="8" t="s">
        <v>66</v>
      </c>
    </row>
    <row r="187" spans="1:6" x14ac:dyDescent="0.2">
      <c r="A187" s="3">
        <v>186</v>
      </c>
      <c r="B187" s="3" t="s">
        <v>356</v>
      </c>
      <c r="C187" s="3" t="s">
        <v>355</v>
      </c>
      <c r="D187" s="3" t="s">
        <v>355</v>
      </c>
      <c r="E187" s="1"/>
      <c r="F187" s="8" t="s">
        <v>66</v>
      </c>
    </row>
    <row r="188" spans="1:6" x14ac:dyDescent="0.2">
      <c r="A188" s="3">
        <v>187</v>
      </c>
      <c r="B188" s="3" t="s">
        <v>357</v>
      </c>
      <c r="C188" s="3" t="s">
        <v>358</v>
      </c>
      <c r="D188" s="3" t="s">
        <v>358</v>
      </c>
      <c r="E188" s="1"/>
      <c r="F188" s="8" t="s">
        <v>66</v>
      </c>
    </row>
    <row r="189" spans="1:6" x14ac:dyDescent="0.2">
      <c r="A189" s="3">
        <v>188</v>
      </c>
      <c r="B189" s="3" t="s">
        <v>359</v>
      </c>
      <c r="C189" s="3" t="s">
        <v>358</v>
      </c>
      <c r="D189" s="3" t="s">
        <v>358</v>
      </c>
      <c r="E189" s="1"/>
      <c r="F189" s="8" t="s">
        <v>66</v>
      </c>
    </row>
    <row r="190" spans="1:6" x14ac:dyDescent="0.2">
      <c r="A190" s="3">
        <v>189</v>
      </c>
      <c r="B190" s="3" t="s">
        <v>360</v>
      </c>
      <c r="C190" s="3" t="s">
        <v>361</v>
      </c>
      <c r="D190" s="3" t="s">
        <v>361</v>
      </c>
      <c r="E190" s="1"/>
      <c r="F190" s="8" t="s">
        <v>66</v>
      </c>
    </row>
    <row r="191" spans="1:6" x14ac:dyDescent="0.2">
      <c r="A191" s="3">
        <v>190</v>
      </c>
      <c r="B191" s="3" t="s">
        <v>362</v>
      </c>
      <c r="C191" s="3" t="s">
        <v>361</v>
      </c>
      <c r="D191" s="3" t="s">
        <v>361</v>
      </c>
      <c r="E191" s="1"/>
      <c r="F191" s="8" t="s">
        <v>66</v>
      </c>
    </row>
    <row r="192" spans="1:6" x14ac:dyDescent="0.2">
      <c r="A192" s="3">
        <v>191</v>
      </c>
      <c r="B192" s="3" t="s">
        <v>363</v>
      </c>
      <c r="C192" s="3" t="s">
        <v>364</v>
      </c>
      <c r="D192" s="3" t="s">
        <v>364</v>
      </c>
      <c r="E192" s="1"/>
      <c r="F192" s="8" t="s">
        <v>66</v>
      </c>
    </row>
    <row r="193" spans="1:6" x14ac:dyDescent="0.2">
      <c r="A193" s="3">
        <v>192</v>
      </c>
      <c r="B193" s="3" t="s">
        <v>365</v>
      </c>
      <c r="C193" s="3" t="s">
        <v>364</v>
      </c>
      <c r="D193" s="3" t="s">
        <v>364</v>
      </c>
      <c r="E193" s="1"/>
      <c r="F193" s="8" t="s">
        <v>66</v>
      </c>
    </row>
    <row r="194" spans="1:6" x14ac:dyDescent="0.2">
      <c r="A194" s="3">
        <v>193</v>
      </c>
      <c r="B194" s="3" t="s">
        <v>366</v>
      </c>
      <c r="C194" s="3" t="s">
        <v>364</v>
      </c>
      <c r="D194" s="3" t="s">
        <v>364</v>
      </c>
      <c r="E194" s="1"/>
      <c r="F194" s="8" t="s">
        <v>66</v>
      </c>
    </row>
    <row r="195" spans="1:6" x14ac:dyDescent="0.2">
      <c r="A195" s="3">
        <v>194</v>
      </c>
      <c r="B195" s="3" t="s">
        <v>367</v>
      </c>
      <c r="C195" s="3" t="s">
        <v>364</v>
      </c>
      <c r="D195" s="3" t="s">
        <v>364</v>
      </c>
      <c r="E195" s="1"/>
      <c r="F195" s="8" t="s">
        <v>66</v>
      </c>
    </row>
    <row r="196" spans="1:6" x14ac:dyDescent="0.2">
      <c r="A196" s="3">
        <v>195</v>
      </c>
      <c r="B196" s="3" t="s">
        <v>368</v>
      </c>
      <c r="C196" s="3" t="s">
        <v>369</v>
      </c>
      <c r="D196" s="3" t="s">
        <v>369</v>
      </c>
      <c r="E196" s="1"/>
      <c r="F196" s="8" t="s">
        <v>66</v>
      </c>
    </row>
    <row r="197" spans="1:6" x14ac:dyDescent="0.2">
      <c r="A197" s="3">
        <v>196</v>
      </c>
      <c r="B197" s="3" t="s">
        <v>370</v>
      </c>
      <c r="C197" s="3" t="s">
        <v>369</v>
      </c>
      <c r="D197" s="3" t="s">
        <v>369</v>
      </c>
      <c r="E197" s="1"/>
      <c r="F197" s="8" t="s">
        <v>66</v>
      </c>
    </row>
    <row r="198" spans="1:6" x14ac:dyDescent="0.2">
      <c r="A198" s="3">
        <v>197</v>
      </c>
      <c r="B198" s="3" t="s">
        <v>371</v>
      </c>
      <c r="C198" s="3" t="s">
        <v>369</v>
      </c>
      <c r="D198" s="3" t="s">
        <v>369</v>
      </c>
      <c r="E198" s="1"/>
      <c r="F198" s="8" t="s">
        <v>66</v>
      </c>
    </row>
    <row r="199" spans="1:6" x14ac:dyDescent="0.2">
      <c r="A199" s="3">
        <v>198</v>
      </c>
      <c r="B199" s="3" t="s">
        <v>372</v>
      </c>
      <c r="C199" s="3" t="s">
        <v>373</v>
      </c>
      <c r="D199" s="3" t="s">
        <v>373</v>
      </c>
      <c r="E199" s="1"/>
      <c r="F199" s="8" t="s">
        <v>66</v>
      </c>
    </row>
    <row r="200" spans="1:6" x14ac:dyDescent="0.2">
      <c r="A200" s="3">
        <v>199</v>
      </c>
      <c r="B200" s="3" t="s">
        <v>374</v>
      </c>
      <c r="C200" s="3" t="s">
        <v>373</v>
      </c>
      <c r="D200" s="3" t="s">
        <v>373</v>
      </c>
      <c r="E200" s="1"/>
      <c r="F200" s="8" t="s">
        <v>66</v>
      </c>
    </row>
    <row r="201" spans="1:6" x14ac:dyDescent="0.2">
      <c r="A201" s="3">
        <v>200</v>
      </c>
      <c r="B201" s="3" t="s">
        <v>375</v>
      </c>
      <c r="C201" s="3" t="s">
        <v>373</v>
      </c>
      <c r="D201" s="3" t="s">
        <v>373</v>
      </c>
      <c r="E201" s="1"/>
      <c r="F201" s="8" t="s">
        <v>66</v>
      </c>
    </row>
    <row r="202" spans="1:6" x14ac:dyDescent="0.2">
      <c r="A202" s="3">
        <v>201</v>
      </c>
      <c r="B202" s="3" t="s">
        <v>376</v>
      </c>
      <c r="C202" s="3" t="s">
        <v>377</v>
      </c>
      <c r="D202" s="3" t="s">
        <v>377</v>
      </c>
      <c r="E202" s="1"/>
      <c r="F202" s="8" t="s">
        <v>66</v>
      </c>
    </row>
    <row r="203" spans="1:6" x14ac:dyDescent="0.2">
      <c r="A203" s="3">
        <v>202</v>
      </c>
      <c r="B203" s="3" t="s">
        <v>378</v>
      </c>
      <c r="C203" s="3" t="s">
        <v>379</v>
      </c>
      <c r="D203" s="3" t="s">
        <v>379</v>
      </c>
      <c r="E203" s="1"/>
      <c r="F203" s="8" t="s">
        <v>66</v>
      </c>
    </row>
    <row r="204" spans="1:6" x14ac:dyDescent="0.2">
      <c r="A204" s="3">
        <v>203</v>
      </c>
      <c r="B204" s="3" t="s">
        <v>380</v>
      </c>
      <c r="C204" s="3" t="s">
        <v>379</v>
      </c>
      <c r="D204" s="3" t="s">
        <v>379</v>
      </c>
      <c r="E204" s="1"/>
      <c r="F204" s="8" t="s">
        <v>66</v>
      </c>
    </row>
    <row r="205" spans="1:6" x14ac:dyDescent="0.2">
      <c r="A205" s="3">
        <v>204</v>
      </c>
      <c r="B205" s="3" t="s">
        <v>381</v>
      </c>
      <c r="C205" s="3" t="s">
        <v>382</v>
      </c>
      <c r="D205" s="3" t="s">
        <v>382</v>
      </c>
      <c r="E205" s="1"/>
      <c r="F205" s="8" t="s">
        <v>66</v>
      </c>
    </row>
    <row r="206" spans="1:6" x14ac:dyDescent="0.2">
      <c r="A206" s="3">
        <v>205</v>
      </c>
      <c r="B206" s="3" t="s">
        <v>383</v>
      </c>
      <c r="C206" s="3" t="s">
        <v>382</v>
      </c>
      <c r="D206" s="3" t="s">
        <v>382</v>
      </c>
      <c r="E206" s="1"/>
      <c r="F206" s="8" t="s">
        <v>66</v>
      </c>
    </row>
    <row r="207" spans="1:6" x14ac:dyDescent="0.2">
      <c r="A207" s="3">
        <v>206</v>
      </c>
      <c r="B207" s="3" t="s">
        <v>384</v>
      </c>
      <c r="C207" s="3" t="s">
        <v>385</v>
      </c>
      <c r="D207" s="3" t="s">
        <v>385</v>
      </c>
      <c r="E207" s="1"/>
      <c r="F207" s="8" t="s">
        <v>66</v>
      </c>
    </row>
    <row r="208" spans="1:6" x14ac:dyDescent="0.2">
      <c r="A208" s="3">
        <v>207</v>
      </c>
      <c r="B208" s="3" t="s">
        <v>386</v>
      </c>
      <c r="C208" s="3" t="s">
        <v>385</v>
      </c>
      <c r="D208" s="3" t="s">
        <v>385</v>
      </c>
      <c r="E208" s="1"/>
      <c r="F208" s="8" t="s">
        <v>66</v>
      </c>
    </row>
    <row r="209" spans="1:6" x14ac:dyDescent="0.2">
      <c r="A209" s="3">
        <v>208</v>
      </c>
      <c r="B209" s="3" t="s">
        <v>387</v>
      </c>
      <c r="C209" s="3" t="s">
        <v>388</v>
      </c>
      <c r="D209" s="3" t="s">
        <v>388</v>
      </c>
      <c r="E209" s="1"/>
      <c r="F209" s="8" t="s">
        <v>66</v>
      </c>
    </row>
    <row r="210" spans="1:6" x14ac:dyDescent="0.2">
      <c r="A210" s="3">
        <v>209</v>
      </c>
      <c r="B210" s="3" t="s">
        <v>389</v>
      </c>
      <c r="C210" s="3" t="s">
        <v>390</v>
      </c>
      <c r="D210" s="3" t="s">
        <v>390</v>
      </c>
      <c r="E210" s="1"/>
      <c r="F210" s="8" t="s">
        <v>66</v>
      </c>
    </row>
    <row r="211" spans="1:6" x14ac:dyDescent="0.2">
      <c r="A211" s="3">
        <v>210</v>
      </c>
      <c r="B211" s="3" t="s">
        <v>391</v>
      </c>
      <c r="C211" s="3" t="s">
        <v>390</v>
      </c>
      <c r="D211" s="3" t="s">
        <v>390</v>
      </c>
      <c r="E211" s="1"/>
      <c r="F211" s="8" t="s">
        <v>66</v>
      </c>
    </row>
    <row r="212" spans="1:6" x14ac:dyDescent="0.2">
      <c r="A212" s="3">
        <v>211</v>
      </c>
      <c r="B212" s="3" t="s">
        <v>392</v>
      </c>
      <c r="C212" s="3" t="s">
        <v>393</v>
      </c>
      <c r="D212" s="3" t="s">
        <v>393</v>
      </c>
      <c r="E212" s="1"/>
      <c r="F212" s="8" t="s">
        <v>66</v>
      </c>
    </row>
    <row r="213" spans="1:6" x14ac:dyDescent="0.2">
      <c r="A213" s="3">
        <v>212</v>
      </c>
      <c r="B213" s="3" t="s">
        <v>394</v>
      </c>
      <c r="C213" s="3" t="s">
        <v>393</v>
      </c>
      <c r="D213" s="3" t="s">
        <v>393</v>
      </c>
      <c r="E213" s="1"/>
      <c r="F213" s="8" t="s">
        <v>66</v>
      </c>
    </row>
    <row r="214" spans="1:6" x14ac:dyDescent="0.2">
      <c r="A214" s="3">
        <v>213</v>
      </c>
      <c r="B214" s="3" t="s">
        <v>395</v>
      </c>
      <c r="C214" s="3" t="s">
        <v>393</v>
      </c>
      <c r="D214" s="3" t="s">
        <v>393</v>
      </c>
      <c r="E214" s="1"/>
      <c r="F214" s="8" t="s">
        <v>66</v>
      </c>
    </row>
    <row r="215" spans="1:6" x14ac:dyDescent="0.2">
      <c r="A215" s="3">
        <v>214</v>
      </c>
      <c r="B215" s="3" t="s">
        <v>396</v>
      </c>
      <c r="C215" s="3" t="s">
        <v>393</v>
      </c>
      <c r="D215" s="3" t="s">
        <v>393</v>
      </c>
      <c r="E215" s="1"/>
      <c r="F215" s="8" t="s">
        <v>66</v>
      </c>
    </row>
    <row r="216" spans="1:6" x14ac:dyDescent="0.2">
      <c r="A216" s="3">
        <v>215</v>
      </c>
      <c r="B216" s="3" t="s">
        <v>397</v>
      </c>
      <c r="C216" s="3" t="s">
        <v>398</v>
      </c>
      <c r="D216" s="3" t="s">
        <v>398</v>
      </c>
      <c r="E216" s="1"/>
      <c r="F216" s="8" t="s">
        <v>66</v>
      </c>
    </row>
    <row r="217" spans="1:6" x14ac:dyDescent="0.2">
      <c r="A217" s="3">
        <v>216</v>
      </c>
      <c r="B217" s="3" t="s">
        <v>399</v>
      </c>
      <c r="C217" s="3" t="s">
        <v>400</v>
      </c>
      <c r="D217" s="3" t="s">
        <v>400</v>
      </c>
      <c r="E217" s="1"/>
      <c r="F217" s="8" t="s">
        <v>66</v>
      </c>
    </row>
    <row r="218" spans="1:6" x14ac:dyDescent="0.2">
      <c r="A218" s="3">
        <v>217</v>
      </c>
      <c r="B218" s="3" t="s">
        <v>401</v>
      </c>
      <c r="C218" s="3" t="s">
        <v>402</v>
      </c>
      <c r="D218" s="3" t="s">
        <v>402</v>
      </c>
      <c r="E218" s="1"/>
      <c r="F218" s="8" t="s">
        <v>66</v>
      </c>
    </row>
    <row r="219" spans="1:6" x14ac:dyDescent="0.2">
      <c r="A219" s="3">
        <v>218</v>
      </c>
      <c r="B219" s="3" t="s">
        <v>403</v>
      </c>
      <c r="C219" s="3" t="s">
        <v>402</v>
      </c>
      <c r="D219" s="3" t="s">
        <v>402</v>
      </c>
      <c r="E219" s="1"/>
      <c r="F219" s="8" t="s">
        <v>66</v>
      </c>
    </row>
    <row r="220" spans="1:6" x14ac:dyDescent="0.2">
      <c r="A220" s="3">
        <v>219</v>
      </c>
      <c r="B220" s="3" t="s">
        <v>404</v>
      </c>
      <c r="C220" s="3" t="s">
        <v>402</v>
      </c>
      <c r="D220" s="3" t="s">
        <v>402</v>
      </c>
      <c r="E220" s="1"/>
      <c r="F220" s="8" t="s">
        <v>66</v>
      </c>
    </row>
    <row r="221" spans="1:6" x14ac:dyDescent="0.2">
      <c r="A221" s="3">
        <v>220</v>
      </c>
      <c r="B221" s="3" t="s">
        <v>405</v>
      </c>
      <c r="C221" s="3" t="s">
        <v>406</v>
      </c>
      <c r="D221" s="3" t="s">
        <v>406</v>
      </c>
      <c r="E221" s="1"/>
      <c r="F221" s="8" t="s">
        <v>66</v>
      </c>
    </row>
    <row r="222" spans="1:6" x14ac:dyDescent="0.2">
      <c r="A222" s="3">
        <v>221</v>
      </c>
      <c r="B222" s="3" t="s">
        <v>407</v>
      </c>
      <c r="C222" s="3" t="s">
        <v>408</v>
      </c>
      <c r="D222" s="3" t="s">
        <v>408</v>
      </c>
      <c r="E222" s="1"/>
      <c r="F222" s="8" t="s">
        <v>66</v>
      </c>
    </row>
    <row r="223" spans="1:6" x14ac:dyDescent="0.2">
      <c r="A223" s="3">
        <v>222</v>
      </c>
      <c r="B223" s="3" t="s">
        <v>409</v>
      </c>
      <c r="C223" s="3" t="s">
        <v>408</v>
      </c>
      <c r="D223" s="3" t="s">
        <v>408</v>
      </c>
      <c r="E223" s="1"/>
      <c r="F223" s="8" t="s">
        <v>66</v>
      </c>
    </row>
    <row r="224" spans="1:6" x14ac:dyDescent="0.2">
      <c r="A224" s="3">
        <v>223</v>
      </c>
      <c r="B224" s="3" t="s">
        <v>410</v>
      </c>
      <c r="C224" s="3" t="s">
        <v>408</v>
      </c>
      <c r="D224" s="3" t="s">
        <v>408</v>
      </c>
      <c r="E224" s="1"/>
      <c r="F224" s="8" t="s">
        <v>66</v>
      </c>
    </row>
    <row r="225" spans="1:6" x14ac:dyDescent="0.2">
      <c r="A225" s="3">
        <v>224</v>
      </c>
      <c r="B225" s="3" t="s">
        <v>411</v>
      </c>
      <c r="C225" s="3" t="s">
        <v>412</v>
      </c>
      <c r="D225" s="3" t="s">
        <v>412</v>
      </c>
      <c r="E225" s="1"/>
      <c r="F225" s="8" t="s">
        <v>66</v>
      </c>
    </row>
    <row r="226" spans="1:6" x14ac:dyDescent="0.2">
      <c r="A226" s="3">
        <v>225</v>
      </c>
      <c r="B226" s="3" t="s">
        <v>413</v>
      </c>
      <c r="C226" s="3" t="s">
        <v>414</v>
      </c>
      <c r="D226" s="3" t="s">
        <v>414</v>
      </c>
      <c r="E226" s="1"/>
      <c r="F226" s="8" t="s">
        <v>66</v>
      </c>
    </row>
    <row r="227" spans="1:6" x14ac:dyDescent="0.2">
      <c r="A227" s="3">
        <v>226</v>
      </c>
      <c r="B227" s="3" t="s">
        <v>415</v>
      </c>
      <c r="C227" s="3" t="s">
        <v>414</v>
      </c>
      <c r="D227" s="3" t="s">
        <v>414</v>
      </c>
      <c r="E227" s="1"/>
      <c r="F227" s="8" t="s">
        <v>66</v>
      </c>
    </row>
    <row r="228" spans="1:6" x14ac:dyDescent="0.2">
      <c r="A228" s="3">
        <v>227</v>
      </c>
      <c r="B228" s="3" t="s">
        <v>416</v>
      </c>
      <c r="C228" s="3" t="s">
        <v>414</v>
      </c>
      <c r="D228" s="3" t="s">
        <v>414</v>
      </c>
      <c r="E228" s="1"/>
      <c r="F228" s="8" t="s">
        <v>66</v>
      </c>
    </row>
    <row r="229" spans="1:6" x14ac:dyDescent="0.2">
      <c r="A229" s="3">
        <v>228</v>
      </c>
      <c r="B229" s="3" t="s">
        <v>417</v>
      </c>
      <c r="C229" s="3" t="s">
        <v>418</v>
      </c>
      <c r="D229" s="3" t="s">
        <v>418</v>
      </c>
      <c r="E229" s="1"/>
      <c r="F229" s="8" t="s">
        <v>66</v>
      </c>
    </row>
    <row r="230" spans="1:6" x14ac:dyDescent="0.2">
      <c r="A230" s="3">
        <v>229</v>
      </c>
      <c r="B230" s="3" t="s">
        <v>419</v>
      </c>
      <c r="C230" s="3" t="s">
        <v>418</v>
      </c>
      <c r="D230" s="3" t="s">
        <v>418</v>
      </c>
      <c r="E230" s="1"/>
      <c r="F230" s="8" t="s">
        <v>66</v>
      </c>
    </row>
    <row r="231" spans="1:6" x14ac:dyDescent="0.2">
      <c r="A231" s="3">
        <v>230</v>
      </c>
      <c r="B231" s="3" t="s">
        <v>420</v>
      </c>
      <c r="C231" s="3" t="s">
        <v>418</v>
      </c>
      <c r="D231" s="3" t="s">
        <v>418</v>
      </c>
      <c r="E231" s="1"/>
      <c r="F231" s="8" t="s">
        <v>66</v>
      </c>
    </row>
    <row r="232" spans="1:6" x14ac:dyDescent="0.2">
      <c r="A232" s="3">
        <v>231</v>
      </c>
      <c r="B232" s="3" t="s">
        <v>421</v>
      </c>
      <c r="C232" s="3" t="s">
        <v>418</v>
      </c>
      <c r="D232" s="3" t="s">
        <v>418</v>
      </c>
      <c r="E232" s="1"/>
      <c r="F232" s="8" t="s">
        <v>66</v>
      </c>
    </row>
    <row r="233" spans="1:6" x14ac:dyDescent="0.2">
      <c r="A233" s="3">
        <v>232</v>
      </c>
      <c r="B233" s="3" t="s">
        <v>422</v>
      </c>
      <c r="C233" s="3" t="s">
        <v>423</v>
      </c>
      <c r="D233" s="3" t="s">
        <v>423</v>
      </c>
      <c r="E233" s="1"/>
      <c r="F233" s="8" t="s">
        <v>66</v>
      </c>
    </row>
    <row r="234" spans="1:6" x14ac:dyDescent="0.2">
      <c r="A234" s="3">
        <v>233</v>
      </c>
      <c r="B234" s="3" t="s">
        <v>424</v>
      </c>
      <c r="C234" s="3" t="s">
        <v>425</v>
      </c>
      <c r="D234" s="3" t="s">
        <v>425</v>
      </c>
      <c r="E234" s="1"/>
      <c r="F234" s="8" t="s">
        <v>66</v>
      </c>
    </row>
    <row r="235" spans="1:6" x14ac:dyDescent="0.2">
      <c r="A235" s="3">
        <v>234</v>
      </c>
      <c r="B235" s="3" t="s">
        <v>426</v>
      </c>
      <c r="C235" s="3" t="s">
        <v>427</v>
      </c>
      <c r="D235" s="3" t="s">
        <v>427</v>
      </c>
      <c r="E235" s="1"/>
      <c r="F235" s="8" t="s">
        <v>66</v>
      </c>
    </row>
    <row r="236" spans="1:6" x14ac:dyDescent="0.2">
      <c r="A236" s="3">
        <v>235</v>
      </c>
      <c r="B236" s="3" t="s">
        <v>428</v>
      </c>
      <c r="C236" s="3" t="s">
        <v>429</v>
      </c>
      <c r="D236" s="3" t="s">
        <v>429</v>
      </c>
      <c r="E236" s="1"/>
      <c r="F236" s="8" t="s">
        <v>66</v>
      </c>
    </row>
    <row r="237" spans="1:6" x14ac:dyDescent="0.2">
      <c r="A237" s="3">
        <v>236</v>
      </c>
      <c r="B237" s="3" t="s">
        <v>430</v>
      </c>
      <c r="C237" s="3" t="s">
        <v>431</v>
      </c>
      <c r="D237" s="3" t="s">
        <v>431</v>
      </c>
      <c r="E237" s="1"/>
      <c r="F237" s="8" t="s">
        <v>66</v>
      </c>
    </row>
    <row r="238" spans="1:6" x14ac:dyDescent="0.2">
      <c r="A238" s="3">
        <v>237</v>
      </c>
      <c r="B238" s="3" t="s">
        <v>432</v>
      </c>
      <c r="C238" s="3" t="s">
        <v>433</v>
      </c>
      <c r="D238" s="3" t="s">
        <v>433</v>
      </c>
      <c r="E238" s="1"/>
      <c r="F238" s="8" t="s">
        <v>66</v>
      </c>
    </row>
    <row r="239" spans="1:6" x14ac:dyDescent="0.2">
      <c r="A239" s="3">
        <v>238</v>
      </c>
      <c r="B239" s="3" t="s">
        <v>434</v>
      </c>
      <c r="C239" s="3" t="s">
        <v>435</v>
      </c>
      <c r="D239" s="3" t="s">
        <v>435</v>
      </c>
      <c r="E239" s="1"/>
      <c r="F239" s="8" t="s">
        <v>66</v>
      </c>
    </row>
    <row r="240" spans="1:6" x14ac:dyDescent="0.2">
      <c r="A240" s="3">
        <v>239</v>
      </c>
      <c r="B240" s="3" t="s">
        <v>436</v>
      </c>
      <c r="C240" s="3" t="s">
        <v>435</v>
      </c>
      <c r="D240" s="3" t="s">
        <v>435</v>
      </c>
      <c r="E240" s="1"/>
      <c r="F240" s="8" t="s">
        <v>66</v>
      </c>
    </row>
    <row r="241" spans="1:6" x14ac:dyDescent="0.2">
      <c r="A241" s="3">
        <v>240</v>
      </c>
      <c r="B241" s="3" t="s">
        <v>437</v>
      </c>
      <c r="C241" s="3" t="s">
        <v>435</v>
      </c>
      <c r="D241" s="3" t="s">
        <v>435</v>
      </c>
      <c r="E241" s="1"/>
      <c r="F241" s="8" t="s">
        <v>66</v>
      </c>
    </row>
    <row r="242" spans="1:6" x14ac:dyDescent="0.2">
      <c r="A242" s="3">
        <v>241</v>
      </c>
      <c r="B242" s="3" t="s">
        <v>438</v>
      </c>
      <c r="C242" s="3" t="s">
        <v>439</v>
      </c>
      <c r="D242" s="3" t="s">
        <v>439</v>
      </c>
      <c r="E242" s="1"/>
      <c r="F242" s="8" t="s">
        <v>66</v>
      </c>
    </row>
    <row r="243" spans="1:6" x14ac:dyDescent="0.2">
      <c r="A243" s="3">
        <v>242</v>
      </c>
      <c r="B243" s="3" t="s">
        <v>440</v>
      </c>
      <c r="C243" s="3" t="s">
        <v>441</v>
      </c>
      <c r="D243" s="3" t="s">
        <v>441</v>
      </c>
      <c r="E243" s="1"/>
      <c r="F243" s="8" t="s">
        <v>66</v>
      </c>
    </row>
    <row r="244" spans="1:6" x14ac:dyDescent="0.2">
      <c r="A244" s="3">
        <v>243</v>
      </c>
      <c r="B244" s="3" t="s">
        <v>442</v>
      </c>
      <c r="C244" s="3" t="s">
        <v>441</v>
      </c>
      <c r="D244" s="3" t="s">
        <v>441</v>
      </c>
      <c r="E244" s="1"/>
      <c r="F244" s="8" t="s">
        <v>66</v>
      </c>
    </row>
    <row r="245" spans="1:6" x14ac:dyDescent="0.2">
      <c r="A245" s="3">
        <v>244</v>
      </c>
      <c r="B245" s="3" t="s">
        <v>443</v>
      </c>
      <c r="C245" s="3" t="s">
        <v>444</v>
      </c>
      <c r="D245" s="3" t="s">
        <v>444</v>
      </c>
      <c r="E245" s="1"/>
      <c r="F245" s="8" t="s">
        <v>66</v>
      </c>
    </row>
    <row r="246" spans="1:6" x14ac:dyDescent="0.2">
      <c r="A246" s="3">
        <v>245</v>
      </c>
      <c r="B246" s="3" t="s">
        <v>445</v>
      </c>
      <c r="C246" s="3" t="s">
        <v>444</v>
      </c>
      <c r="D246" s="3" t="s">
        <v>444</v>
      </c>
      <c r="E246" s="1"/>
      <c r="F246" s="8" t="s">
        <v>66</v>
      </c>
    </row>
    <row r="247" spans="1:6" x14ac:dyDescent="0.2">
      <c r="A247" s="3">
        <v>246</v>
      </c>
      <c r="B247" s="3" t="s">
        <v>446</v>
      </c>
      <c r="C247" s="3" t="s">
        <v>444</v>
      </c>
      <c r="D247" s="3" t="s">
        <v>444</v>
      </c>
      <c r="E247" s="1"/>
      <c r="F247" s="8" t="s">
        <v>66</v>
      </c>
    </row>
    <row r="248" spans="1:6" x14ac:dyDescent="0.2">
      <c r="A248" s="3">
        <v>247</v>
      </c>
      <c r="B248" s="3" t="s">
        <v>447</v>
      </c>
      <c r="C248" s="3" t="s">
        <v>448</v>
      </c>
      <c r="D248" s="3" t="s">
        <v>448</v>
      </c>
      <c r="E248" s="1"/>
      <c r="F248" s="8" t="s">
        <v>66</v>
      </c>
    </row>
    <row r="249" spans="1:6" x14ac:dyDescent="0.2">
      <c r="A249" s="3">
        <v>248</v>
      </c>
      <c r="B249" s="3" t="s">
        <v>449</v>
      </c>
      <c r="C249" s="3" t="s">
        <v>450</v>
      </c>
      <c r="D249" s="3" t="s">
        <v>450</v>
      </c>
      <c r="E249" s="1"/>
      <c r="F249" s="8" t="s">
        <v>66</v>
      </c>
    </row>
    <row r="250" spans="1:6" x14ac:dyDescent="0.2">
      <c r="A250" s="3">
        <v>249</v>
      </c>
      <c r="B250" s="3" t="s">
        <v>451</v>
      </c>
      <c r="C250" s="3" t="s">
        <v>452</v>
      </c>
      <c r="D250" s="3" t="s">
        <v>452</v>
      </c>
      <c r="E250" s="1"/>
      <c r="F250" s="8" t="s">
        <v>66</v>
      </c>
    </row>
    <row r="251" spans="1:6" x14ac:dyDescent="0.2">
      <c r="A251" s="3">
        <v>250</v>
      </c>
      <c r="B251" s="3" t="s">
        <v>453</v>
      </c>
      <c r="C251" s="3" t="s">
        <v>452</v>
      </c>
      <c r="D251" s="3" t="s">
        <v>452</v>
      </c>
      <c r="E251" s="1"/>
      <c r="F251" s="8" t="s">
        <v>66</v>
      </c>
    </row>
    <row r="252" spans="1:6" x14ac:dyDescent="0.2">
      <c r="A252" s="3">
        <v>251</v>
      </c>
      <c r="B252" s="3" t="s">
        <v>454</v>
      </c>
      <c r="C252" s="3" t="s">
        <v>452</v>
      </c>
      <c r="D252" s="3" t="s">
        <v>452</v>
      </c>
      <c r="E252" s="1"/>
      <c r="F252" s="8" t="s">
        <v>66</v>
      </c>
    </row>
    <row r="253" spans="1:6" x14ac:dyDescent="0.2">
      <c r="A253" s="3">
        <v>252</v>
      </c>
      <c r="B253" s="3" t="s">
        <v>455</v>
      </c>
      <c r="C253" s="3" t="s">
        <v>452</v>
      </c>
      <c r="D253" s="3" t="s">
        <v>452</v>
      </c>
      <c r="E253" s="1"/>
      <c r="F253" s="8" t="s">
        <v>66</v>
      </c>
    </row>
    <row r="254" spans="1:6" x14ac:dyDescent="0.2">
      <c r="A254" s="3">
        <v>253</v>
      </c>
      <c r="B254" s="3" t="s">
        <v>456</v>
      </c>
      <c r="C254" s="3" t="s">
        <v>457</v>
      </c>
      <c r="D254" s="3" t="s">
        <v>457</v>
      </c>
      <c r="E254" s="1"/>
      <c r="F254" s="8" t="s">
        <v>66</v>
      </c>
    </row>
    <row r="255" spans="1:6" x14ac:dyDescent="0.2">
      <c r="A255" s="3">
        <v>254</v>
      </c>
      <c r="B255" s="3" t="s">
        <v>458</v>
      </c>
      <c r="C255" s="3" t="s">
        <v>457</v>
      </c>
      <c r="D255" s="3" t="s">
        <v>457</v>
      </c>
      <c r="E255" s="1"/>
      <c r="F255" s="8" t="s">
        <v>66</v>
      </c>
    </row>
    <row r="256" spans="1:6" x14ac:dyDescent="0.2">
      <c r="A256" s="3">
        <v>255</v>
      </c>
      <c r="B256" s="3" t="s">
        <v>459</v>
      </c>
      <c r="C256" s="3" t="s">
        <v>460</v>
      </c>
      <c r="D256" s="3" t="s">
        <v>460</v>
      </c>
      <c r="E256" s="1"/>
      <c r="F256" s="8" t="s">
        <v>66</v>
      </c>
    </row>
    <row r="257" spans="1:6" x14ac:dyDescent="0.2">
      <c r="A257" s="3">
        <v>256</v>
      </c>
      <c r="B257" s="3" t="s">
        <v>461</v>
      </c>
      <c r="C257" s="3" t="s">
        <v>462</v>
      </c>
      <c r="D257" s="3" t="s">
        <v>462</v>
      </c>
      <c r="E257" s="1"/>
      <c r="F257" s="8" t="s">
        <v>66</v>
      </c>
    </row>
    <row r="258" spans="1:6" x14ac:dyDescent="0.2">
      <c r="A258" s="3">
        <v>257</v>
      </c>
      <c r="B258" s="3" t="s">
        <v>463</v>
      </c>
      <c r="C258" s="3" t="s">
        <v>464</v>
      </c>
      <c r="D258" s="3" t="s">
        <v>464</v>
      </c>
      <c r="E258" s="1"/>
      <c r="F258" s="8" t="s">
        <v>66</v>
      </c>
    </row>
    <row r="259" spans="1:6" x14ac:dyDescent="0.2">
      <c r="A259" s="3">
        <v>258</v>
      </c>
      <c r="B259" s="3" t="s">
        <v>465</v>
      </c>
      <c r="C259" s="3" t="s">
        <v>466</v>
      </c>
      <c r="D259" s="3" t="s">
        <v>466</v>
      </c>
      <c r="E259" s="1"/>
      <c r="F259" s="8" t="s">
        <v>66</v>
      </c>
    </row>
    <row r="260" spans="1:6" x14ac:dyDescent="0.2">
      <c r="A260" s="3">
        <v>259</v>
      </c>
      <c r="B260" s="3" t="s">
        <v>467</v>
      </c>
      <c r="C260" s="3" t="s">
        <v>466</v>
      </c>
      <c r="D260" s="3" t="s">
        <v>466</v>
      </c>
      <c r="E260" s="1"/>
      <c r="F260" s="8" t="s">
        <v>66</v>
      </c>
    </row>
    <row r="261" spans="1:6" x14ac:dyDescent="0.2">
      <c r="A261" s="3">
        <v>260</v>
      </c>
      <c r="B261" s="3" t="s">
        <v>468</v>
      </c>
      <c r="C261" s="3" t="s">
        <v>466</v>
      </c>
      <c r="D261" s="3" t="s">
        <v>466</v>
      </c>
      <c r="E261" s="1"/>
      <c r="F261" s="8" t="s">
        <v>66</v>
      </c>
    </row>
    <row r="262" spans="1:6" x14ac:dyDescent="0.2">
      <c r="A262" s="3">
        <v>261</v>
      </c>
      <c r="B262" s="3" t="s">
        <v>469</v>
      </c>
      <c r="C262" s="3" t="s">
        <v>470</v>
      </c>
      <c r="D262" s="3" t="s">
        <v>470</v>
      </c>
      <c r="E262" s="1"/>
      <c r="F262" s="8" t="s">
        <v>66</v>
      </c>
    </row>
    <row r="263" spans="1:6" x14ac:dyDescent="0.2">
      <c r="A263" s="3">
        <v>262</v>
      </c>
      <c r="B263" s="3" t="s">
        <v>471</v>
      </c>
      <c r="C263" s="3" t="s">
        <v>470</v>
      </c>
      <c r="D263" s="3" t="s">
        <v>470</v>
      </c>
      <c r="E263" s="1"/>
      <c r="F263" s="8" t="s">
        <v>66</v>
      </c>
    </row>
    <row r="264" spans="1:6" x14ac:dyDescent="0.2">
      <c r="A264" s="3">
        <v>263</v>
      </c>
      <c r="B264" s="3" t="s">
        <v>472</v>
      </c>
      <c r="C264" s="3" t="s">
        <v>470</v>
      </c>
      <c r="D264" s="3" t="s">
        <v>470</v>
      </c>
      <c r="E264" s="1"/>
      <c r="F264" s="8" t="s">
        <v>66</v>
      </c>
    </row>
    <row r="265" spans="1:6" x14ac:dyDescent="0.2">
      <c r="A265" s="3">
        <v>264</v>
      </c>
      <c r="B265" s="3" t="s">
        <v>473</v>
      </c>
      <c r="C265" s="3" t="s">
        <v>474</v>
      </c>
      <c r="D265" s="3" t="s">
        <v>474</v>
      </c>
      <c r="E265" s="1"/>
      <c r="F265" s="8" t="s">
        <v>66</v>
      </c>
    </row>
    <row r="266" spans="1:6" x14ac:dyDescent="0.2">
      <c r="A266" s="3">
        <v>265</v>
      </c>
      <c r="B266" s="3" t="s">
        <v>475</v>
      </c>
      <c r="C266" s="3" t="s">
        <v>474</v>
      </c>
      <c r="D266" s="3" t="s">
        <v>474</v>
      </c>
      <c r="E266" s="1"/>
      <c r="F266" s="8" t="s">
        <v>66</v>
      </c>
    </row>
    <row r="267" spans="1:6" x14ac:dyDescent="0.2">
      <c r="A267" s="3">
        <v>266</v>
      </c>
      <c r="B267" s="3" t="s">
        <v>476</v>
      </c>
      <c r="C267" s="3" t="s">
        <v>474</v>
      </c>
      <c r="D267" s="3" t="s">
        <v>474</v>
      </c>
      <c r="E267" s="1"/>
      <c r="F267" s="8" t="s">
        <v>66</v>
      </c>
    </row>
    <row r="268" spans="1:6" x14ac:dyDescent="0.2">
      <c r="A268" s="3">
        <v>267</v>
      </c>
      <c r="B268" s="3" t="s">
        <v>477</v>
      </c>
      <c r="C268" s="3" t="s">
        <v>478</v>
      </c>
      <c r="D268" s="3" t="s">
        <v>478</v>
      </c>
      <c r="E268" s="1"/>
      <c r="F268" s="8" t="s">
        <v>66</v>
      </c>
    </row>
    <row r="269" spans="1:6" x14ac:dyDescent="0.2">
      <c r="A269" s="3">
        <v>268</v>
      </c>
      <c r="B269" s="3" t="s">
        <v>479</v>
      </c>
      <c r="C269" s="3" t="s">
        <v>480</v>
      </c>
      <c r="D269" s="3" t="s">
        <v>480</v>
      </c>
      <c r="E269" s="1"/>
      <c r="F269" s="8" t="s">
        <v>66</v>
      </c>
    </row>
    <row r="270" spans="1:6" x14ac:dyDescent="0.2">
      <c r="A270" s="3">
        <v>269</v>
      </c>
      <c r="B270" s="3" t="s">
        <v>481</v>
      </c>
      <c r="C270" s="3" t="s">
        <v>482</v>
      </c>
      <c r="D270" s="3" t="s">
        <v>482</v>
      </c>
      <c r="E270" s="1"/>
      <c r="F270" s="8" t="s">
        <v>66</v>
      </c>
    </row>
    <row r="271" spans="1:6" x14ac:dyDescent="0.2">
      <c r="A271" s="3">
        <v>270</v>
      </c>
      <c r="B271" s="3" t="s">
        <v>483</v>
      </c>
      <c r="C271" s="3" t="s">
        <v>482</v>
      </c>
      <c r="D271" s="3" t="s">
        <v>482</v>
      </c>
      <c r="E271" s="1"/>
      <c r="F271" s="8" t="s">
        <v>66</v>
      </c>
    </row>
    <row r="272" spans="1:6" x14ac:dyDescent="0.2">
      <c r="A272" s="3">
        <v>271</v>
      </c>
      <c r="B272" s="3" t="s">
        <v>484</v>
      </c>
      <c r="C272" s="3" t="s">
        <v>482</v>
      </c>
      <c r="D272" s="3" t="s">
        <v>482</v>
      </c>
      <c r="E272" s="1"/>
      <c r="F272" s="8" t="s">
        <v>66</v>
      </c>
    </row>
    <row r="273" spans="1:6" x14ac:dyDescent="0.2">
      <c r="A273" s="3">
        <v>272</v>
      </c>
      <c r="B273" s="3" t="s">
        <v>485</v>
      </c>
      <c r="C273" s="3" t="s">
        <v>482</v>
      </c>
      <c r="D273" s="3" t="s">
        <v>482</v>
      </c>
      <c r="E273" s="1"/>
      <c r="F273" s="8" t="s">
        <v>66</v>
      </c>
    </row>
    <row r="274" spans="1:6" x14ac:dyDescent="0.2">
      <c r="A274" s="3">
        <v>273</v>
      </c>
      <c r="B274" s="3" t="s">
        <v>486</v>
      </c>
      <c r="C274" s="3" t="s">
        <v>487</v>
      </c>
      <c r="D274" s="3" t="s">
        <v>487</v>
      </c>
      <c r="E274" s="1"/>
      <c r="F274" s="8" t="s">
        <v>66</v>
      </c>
    </row>
    <row r="275" spans="1:6" x14ac:dyDescent="0.2">
      <c r="A275" s="3">
        <v>274</v>
      </c>
      <c r="B275" s="3" t="s">
        <v>488</v>
      </c>
      <c r="C275" s="3" t="s">
        <v>489</v>
      </c>
      <c r="D275" s="3" t="s">
        <v>489</v>
      </c>
      <c r="E275" s="1"/>
      <c r="F275" s="8" t="s">
        <v>66</v>
      </c>
    </row>
    <row r="276" spans="1:6" x14ac:dyDescent="0.2">
      <c r="A276" s="3">
        <v>275</v>
      </c>
      <c r="B276" s="3" t="s">
        <v>490</v>
      </c>
      <c r="C276" s="3" t="s">
        <v>491</v>
      </c>
      <c r="D276" s="3" t="s">
        <v>491</v>
      </c>
      <c r="E276" s="1"/>
      <c r="F276" s="8" t="s">
        <v>66</v>
      </c>
    </row>
    <row r="277" spans="1:6" x14ac:dyDescent="0.2">
      <c r="A277" s="3">
        <v>276</v>
      </c>
      <c r="B277" s="3" t="s">
        <v>492</v>
      </c>
      <c r="C277" s="3" t="s">
        <v>493</v>
      </c>
      <c r="D277" s="3" t="s">
        <v>493</v>
      </c>
      <c r="E277" s="1"/>
      <c r="F277" s="8" t="s">
        <v>66</v>
      </c>
    </row>
    <row r="278" spans="1:6" x14ac:dyDescent="0.2">
      <c r="A278" s="3">
        <v>277</v>
      </c>
      <c r="B278" s="3" t="s">
        <v>494</v>
      </c>
      <c r="C278" s="3" t="s">
        <v>493</v>
      </c>
      <c r="D278" s="3" t="s">
        <v>493</v>
      </c>
      <c r="E278" s="1"/>
      <c r="F278" s="8" t="s">
        <v>66</v>
      </c>
    </row>
    <row r="279" spans="1:6" x14ac:dyDescent="0.2">
      <c r="A279" s="3">
        <v>278</v>
      </c>
      <c r="B279" s="3" t="s">
        <v>495</v>
      </c>
      <c r="C279" s="3" t="s">
        <v>493</v>
      </c>
      <c r="D279" s="3" t="s">
        <v>493</v>
      </c>
      <c r="E279" s="1"/>
      <c r="F279" s="8" t="s">
        <v>66</v>
      </c>
    </row>
    <row r="280" spans="1:6" x14ac:dyDescent="0.2">
      <c r="A280" s="3">
        <v>279</v>
      </c>
      <c r="B280" s="3" t="s">
        <v>496</v>
      </c>
      <c r="C280" s="3" t="s">
        <v>497</v>
      </c>
      <c r="D280" s="3" t="s">
        <v>497</v>
      </c>
      <c r="E280" s="1"/>
      <c r="F280" s="8" t="s">
        <v>66</v>
      </c>
    </row>
    <row r="281" spans="1:6" x14ac:dyDescent="0.2">
      <c r="A281" s="3">
        <v>280</v>
      </c>
      <c r="B281" s="3" t="s">
        <v>498</v>
      </c>
      <c r="C281" s="3" t="s">
        <v>499</v>
      </c>
      <c r="D281" s="3" t="s">
        <v>499</v>
      </c>
      <c r="E281" s="1"/>
      <c r="F281" s="8" t="s">
        <v>66</v>
      </c>
    </row>
    <row r="282" spans="1:6" x14ac:dyDescent="0.2">
      <c r="A282" s="3">
        <v>281</v>
      </c>
      <c r="B282" s="3" t="s">
        <v>500</v>
      </c>
      <c r="C282" s="3" t="s">
        <v>501</v>
      </c>
      <c r="D282" s="3" t="s">
        <v>501</v>
      </c>
      <c r="E282" s="1"/>
      <c r="F282" s="8" t="s">
        <v>66</v>
      </c>
    </row>
    <row r="283" spans="1:6" x14ac:dyDescent="0.2">
      <c r="A283" s="3">
        <v>282</v>
      </c>
      <c r="B283" s="3" t="s">
        <v>502</v>
      </c>
      <c r="C283" s="3" t="s">
        <v>501</v>
      </c>
      <c r="D283" s="3" t="s">
        <v>501</v>
      </c>
      <c r="E283" s="1"/>
      <c r="F283" s="8" t="s">
        <v>66</v>
      </c>
    </row>
    <row r="284" spans="1:6" x14ac:dyDescent="0.2">
      <c r="A284" s="3">
        <v>283</v>
      </c>
      <c r="B284" s="3" t="s">
        <v>503</v>
      </c>
      <c r="C284" s="3" t="s">
        <v>501</v>
      </c>
      <c r="D284" s="3" t="s">
        <v>501</v>
      </c>
      <c r="E284" s="1"/>
      <c r="F284" s="8" t="s">
        <v>66</v>
      </c>
    </row>
    <row r="285" spans="1:6" x14ac:dyDescent="0.2">
      <c r="A285" s="3">
        <v>284</v>
      </c>
      <c r="B285" s="3" t="s">
        <v>504</v>
      </c>
      <c r="C285" s="3" t="s">
        <v>501</v>
      </c>
      <c r="D285" s="3" t="s">
        <v>501</v>
      </c>
      <c r="E285" s="1"/>
      <c r="F285" s="8" t="s">
        <v>66</v>
      </c>
    </row>
    <row r="286" spans="1:6" x14ac:dyDescent="0.2">
      <c r="A286" s="3">
        <v>285</v>
      </c>
      <c r="B286" s="3" t="s">
        <v>505</v>
      </c>
      <c r="C286" s="3" t="s">
        <v>501</v>
      </c>
      <c r="D286" s="3" t="s">
        <v>501</v>
      </c>
      <c r="E286" s="1"/>
      <c r="F286" s="8" t="s">
        <v>66</v>
      </c>
    </row>
    <row r="287" spans="1:6" x14ac:dyDescent="0.2">
      <c r="A287" s="3">
        <v>286</v>
      </c>
      <c r="B287" s="3" t="s">
        <v>506</v>
      </c>
      <c r="C287" s="3" t="s">
        <v>501</v>
      </c>
      <c r="D287" s="3" t="s">
        <v>501</v>
      </c>
      <c r="E287" s="1"/>
      <c r="F287" s="8" t="s">
        <v>66</v>
      </c>
    </row>
    <row r="288" spans="1:6" x14ac:dyDescent="0.2">
      <c r="A288" s="3">
        <v>287</v>
      </c>
      <c r="B288" s="3" t="s">
        <v>507</v>
      </c>
      <c r="C288" s="3" t="s">
        <v>508</v>
      </c>
      <c r="D288" s="3" t="s">
        <v>508</v>
      </c>
      <c r="E288" s="1"/>
      <c r="F288" s="8" t="s">
        <v>66</v>
      </c>
    </row>
    <row r="289" spans="1:6" x14ac:dyDescent="0.2">
      <c r="A289" s="3">
        <v>288</v>
      </c>
      <c r="B289" s="3" t="s">
        <v>509</v>
      </c>
      <c r="C289" s="3" t="s">
        <v>510</v>
      </c>
      <c r="D289" s="3" t="s">
        <v>510</v>
      </c>
      <c r="E289" s="1"/>
      <c r="F289" s="8" t="s">
        <v>66</v>
      </c>
    </row>
    <row r="290" spans="1:6" x14ac:dyDescent="0.2">
      <c r="A290" s="3">
        <v>289</v>
      </c>
      <c r="B290" s="3" t="s">
        <v>511</v>
      </c>
      <c r="C290" s="3" t="s">
        <v>510</v>
      </c>
      <c r="D290" s="3" t="s">
        <v>510</v>
      </c>
      <c r="E290" s="1"/>
      <c r="F290" s="8" t="s">
        <v>66</v>
      </c>
    </row>
    <row r="291" spans="1:6" x14ac:dyDescent="0.2">
      <c r="A291" s="3">
        <v>290</v>
      </c>
      <c r="B291" s="3" t="s">
        <v>512</v>
      </c>
      <c r="C291" s="3" t="s">
        <v>513</v>
      </c>
      <c r="D291" s="3" t="s">
        <v>513</v>
      </c>
      <c r="E291" s="1"/>
      <c r="F291" s="8" t="s">
        <v>66</v>
      </c>
    </row>
    <row r="292" spans="1:6" x14ac:dyDescent="0.2">
      <c r="A292" s="3">
        <v>291</v>
      </c>
      <c r="B292" s="3" t="s">
        <v>514</v>
      </c>
      <c r="C292" s="3" t="s">
        <v>513</v>
      </c>
      <c r="D292" s="3" t="s">
        <v>513</v>
      </c>
      <c r="E292" s="1"/>
      <c r="F292" s="8" t="s">
        <v>66</v>
      </c>
    </row>
    <row r="293" spans="1:6" x14ac:dyDescent="0.2">
      <c r="A293" s="3">
        <v>292</v>
      </c>
      <c r="B293" s="3" t="s">
        <v>515</v>
      </c>
      <c r="C293" s="3" t="s">
        <v>513</v>
      </c>
      <c r="D293" s="3" t="s">
        <v>513</v>
      </c>
      <c r="E293" s="1"/>
      <c r="F293" s="8" t="s">
        <v>66</v>
      </c>
    </row>
    <row r="294" spans="1:6" x14ac:dyDescent="0.2">
      <c r="A294" s="3">
        <v>293</v>
      </c>
      <c r="B294" s="3" t="s">
        <v>516</v>
      </c>
      <c r="C294" s="3" t="s">
        <v>513</v>
      </c>
      <c r="D294" s="3" t="s">
        <v>513</v>
      </c>
      <c r="E294" s="1"/>
      <c r="F294" s="8" t="s">
        <v>66</v>
      </c>
    </row>
    <row r="295" spans="1:6" x14ac:dyDescent="0.2">
      <c r="A295" s="3">
        <v>294</v>
      </c>
      <c r="B295" s="3" t="s">
        <v>517</v>
      </c>
      <c r="C295" s="3" t="s">
        <v>513</v>
      </c>
      <c r="D295" s="3" t="s">
        <v>513</v>
      </c>
      <c r="E295" s="1"/>
      <c r="F295" s="8" t="s">
        <v>66</v>
      </c>
    </row>
    <row r="296" spans="1:6" x14ac:dyDescent="0.2">
      <c r="A296" s="3">
        <v>295</v>
      </c>
      <c r="B296" s="3" t="s">
        <v>518</v>
      </c>
      <c r="C296" s="3" t="s">
        <v>513</v>
      </c>
      <c r="D296" s="3" t="s">
        <v>513</v>
      </c>
      <c r="E296" s="1"/>
      <c r="F296" s="8" t="s">
        <v>66</v>
      </c>
    </row>
    <row r="297" spans="1:6" x14ac:dyDescent="0.2">
      <c r="A297" s="3">
        <v>296</v>
      </c>
      <c r="B297" s="3" t="s">
        <v>519</v>
      </c>
      <c r="C297" s="3" t="s">
        <v>520</v>
      </c>
      <c r="D297" s="3" t="s">
        <v>520</v>
      </c>
      <c r="E297" s="1"/>
      <c r="F297" s="8" t="s">
        <v>66</v>
      </c>
    </row>
    <row r="298" spans="1:6" x14ac:dyDescent="0.2">
      <c r="A298" s="3">
        <v>297</v>
      </c>
      <c r="B298" s="3" t="s">
        <v>521</v>
      </c>
      <c r="C298" s="3" t="s">
        <v>520</v>
      </c>
      <c r="D298" s="3" t="s">
        <v>520</v>
      </c>
      <c r="E298" s="1"/>
      <c r="F298" s="8" t="s">
        <v>66</v>
      </c>
    </row>
    <row r="299" spans="1:6" x14ac:dyDescent="0.2">
      <c r="A299" s="3">
        <v>298</v>
      </c>
      <c r="B299" s="3" t="s">
        <v>522</v>
      </c>
      <c r="C299" s="3" t="s">
        <v>523</v>
      </c>
      <c r="D299" s="3" t="s">
        <v>523</v>
      </c>
      <c r="E299" s="1"/>
      <c r="F299" s="8" t="s">
        <v>66</v>
      </c>
    </row>
    <row r="300" spans="1:6" x14ac:dyDescent="0.2">
      <c r="A300" s="3">
        <v>299</v>
      </c>
      <c r="B300" s="3" t="s">
        <v>524</v>
      </c>
      <c r="C300" s="3" t="s">
        <v>525</v>
      </c>
      <c r="D300" s="3" t="s">
        <v>525</v>
      </c>
      <c r="E300" s="1"/>
      <c r="F300" s="8" t="s">
        <v>66</v>
      </c>
    </row>
    <row r="301" spans="1:6" x14ac:dyDescent="0.2">
      <c r="A301" s="3">
        <v>300</v>
      </c>
      <c r="B301" s="3" t="s">
        <v>526</v>
      </c>
      <c r="C301" s="3" t="s">
        <v>525</v>
      </c>
      <c r="D301" s="3" t="s">
        <v>525</v>
      </c>
      <c r="E301" s="1"/>
      <c r="F301" s="8" t="s">
        <v>66</v>
      </c>
    </row>
    <row r="302" spans="1:6" x14ac:dyDescent="0.2">
      <c r="A302" s="3">
        <v>301</v>
      </c>
      <c r="B302" s="3" t="s">
        <v>527</v>
      </c>
      <c r="C302" s="3" t="s">
        <v>525</v>
      </c>
      <c r="D302" s="3" t="s">
        <v>525</v>
      </c>
      <c r="E302" s="1"/>
      <c r="F302" s="8" t="s">
        <v>66</v>
      </c>
    </row>
    <row r="303" spans="1:6" x14ac:dyDescent="0.2">
      <c r="A303" s="3">
        <v>302</v>
      </c>
      <c r="B303" s="3" t="s">
        <v>528</v>
      </c>
      <c r="C303" s="3" t="s">
        <v>529</v>
      </c>
      <c r="D303" s="3" t="s">
        <v>529</v>
      </c>
      <c r="E303" s="1"/>
      <c r="F303" s="8" t="s">
        <v>66</v>
      </c>
    </row>
    <row r="304" spans="1:6" x14ac:dyDescent="0.2">
      <c r="A304" s="3">
        <v>303</v>
      </c>
      <c r="B304" s="3" t="s">
        <v>530</v>
      </c>
      <c r="C304" s="3" t="s">
        <v>529</v>
      </c>
      <c r="D304" s="3" t="s">
        <v>529</v>
      </c>
      <c r="E304" s="1"/>
      <c r="F304" s="8" t="s">
        <v>66</v>
      </c>
    </row>
    <row r="305" spans="1:6" x14ac:dyDescent="0.2">
      <c r="A305" s="3">
        <v>304</v>
      </c>
      <c r="B305" s="3" t="s">
        <v>531</v>
      </c>
      <c r="C305" s="3" t="s">
        <v>532</v>
      </c>
      <c r="D305" s="3" t="s">
        <v>532</v>
      </c>
      <c r="E305" s="1"/>
      <c r="F305" s="8" t="s">
        <v>66</v>
      </c>
    </row>
    <row r="306" spans="1:6" x14ac:dyDescent="0.2">
      <c r="A306" s="3">
        <v>305</v>
      </c>
      <c r="B306" s="3" t="s">
        <v>533</v>
      </c>
      <c r="C306" s="3" t="s">
        <v>532</v>
      </c>
      <c r="D306" s="3" t="s">
        <v>532</v>
      </c>
      <c r="E306" s="1"/>
      <c r="F306" s="8" t="s">
        <v>66</v>
      </c>
    </row>
    <row r="307" spans="1:6" x14ac:dyDescent="0.2">
      <c r="A307" s="3">
        <v>306</v>
      </c>
      <c r="B307" s="3" t="s">
        <v>534</v>
      </c>
      <c r="C307" s="3" t="s">
        <v>535</v>
      </c>
      <c r="D307" s="3" t="s">
        <v>535</v>
      </c>
      <c r="E307" s="1"/>
      <c r="F307" s="8" t="s">
        <v>66</v>
      </c>
    </row>
    <row r="308" spans="1:6" x14ac:dyDescent="0.2">
      <c r="A308" s="3">
        <v>307</v>
      </c>
      <c r="B308" s="3" t="s">
        <v>536</v>
      </c>
      <c r="C308" s="3" t="s">
        <v>537</v>
      </c>
      <c r="D308" s="3" t="s">
        <v>537</v>
      </c>
      <c r="E308" s="1"/>
      <c r="F308" s="8" t="s">
        <v>66</v>
      </c>
    </row>
    <row r="309" spans="1:6" x14ac:dyDescent="0.2">
      <c r="A309" s="3">
        <v>308</v>
      </c>
      <c r="B309" s="3" t="s">
        <v>538</v>
      </c>
      <c r="C309" s="3" t="s">
        <v>537</v>
      </c>
      <c r="D309" s="3" t="s">
        <v>537</v>
      </c>
      <c r="E309" s="1"/>
      <c r="F309" s="8" t="s">
        <v>66</v>
      </c>
    </row>
    <row r="310" spans="1:6" x14ac:dyDescent="0.2">
      <c r="A310" s="3">
        <v>309</v>
      </c>
      <c r="B310" s="3" t="s">
        <v>539</v>
      </c>
      <c r="C310" s="3" t="s">
        <v>540</v>
      </c>
      <c r="D310" s="3" t="s">
        <v>540</v>
      </c>
      <c r="E310" s="1"/>
      <c r="F310" s="8" t="s">
        <v>66</v>
      </c>
    </row>
    <row r="311" spans="1:6" x14ac:dyDescent="0.2">
      <c r="A311" s="3">
        <v>310</v>
      </c>
      <c r="B311" s="3" t="s">
        <v>541</v>
      </c>
      <c r="C311" s="3" t="s">
        <v>540</v>
      </c>
      <c r="D311" s="3" t="s">
        <v>540</v>
      </c>
      <c r="E311" s="1"/>
      <c r="F311" s="8" t="s">
        <v>66</v>
      </c>
    </row>
    <row r="312" spans="1:6" x14ac:dyDescent="0.2">
      <c r="A312" s="3">
        <v>311</v>
      </c>
      <c r="B312" s="3" t="s">
        <v>542</v>
      </c>
      <c r="C312" s="3" t="s">
        <v>543</v>
      </c>
      <c r="D312" s="3" t="s">
        <v>543</v>
      </c>
      <c r="E312" s="1"/>
      <c r="F312" s="8" t="s">
        <v>66</v>
      </c>
    </row>
    <row r="313" spans="1:6" x14ac:dyDescent="0.2">
      <c r="A313" s="3">
        <v>312</v>
      </c>
      <c r="B313" s="3" t="s">
        <v>544</v>
      </c>
      <c r="C313" s="3" t="s">
        <v>543</v>
      </c>
      <c r="D313" s="3" t="s">
        <v>543</v>
      </c>
      <c r="E313" s="1"/>
      <c r="F313" s="8" t="s">
        <v>66</v>
      </c>
    </row>
    <row r="314" spans="1:6" x14ac:dyDescent="0.2">
      <c r="A314" s="3">
        <v>313</v>
      </c>
      <c r="B314" s="3" t="s">
        <v>545</v>
      </c>
      <c r="C314" s="3" t="s">
        <v>546</v>
      </c>
      <c r="D314" s="3" t="s">
        <v>546</v>
      </c>
      <c r="E314" s="1"/>
      <c r="F314" s="8" t="s">
        <v>66</v>
      </c>
    </row>
    <row r="315" spans="1:6" x14ac:dyDescent="0.2">
      <c r="A315" s="3">
        <v>314</v>
      </c>
      <c r="B315" s="3" t="s">
        <v>547</v>
      </c>
      <c r="C315" s="3" t="s">
        <v>548</v>
      </c>
      <c r="D315" s="3" t="s">
        <v>548</v>
      </c>
      <c r="E315" s="1"/>
      <c r="F315" s="8" t="s">
        <v>66</v>
      </c>
    </row>
    <row r="316" spans="1:6" x14ac:dyDescent="0.2">
      <c r="A316" s="3">
        <v>315</v>
      </c>
      <c r="B316" s="3" t="s">
        <v>547</v>
      </c>
      <c r="C316" s="3" t="s">
        <v>549</v>
      </c>
      <c r="D316" s="3" t="s">
        <v>549</v>
      </c>
      <c r="E316" s="1"/>
      <c r="F316" s="8" t="s">
        <v>66</v>
      </c>
    </row>
    <row r="317" spans="1:6" x14ac:dyDescent="0.2">
      <c r="A317" s="3">
        <v>316</v>
      </c>
      <c r="B317" s="3" t="s">
        <v>550</v>
      </c>
      <c r="C317" s="3" t="s">
        <v>551</v>
      </c>
      <c r="D317" s="3" t="s">
        <v>551</v>
      </c>
      <c r="E317" s="1"/>
      <c r="F317" s="8" t="s">
        <v>66</v>
      </c>
    </row>
    <row r="318" spans="1:6" x14ac:dyDescent="0.2">
      <c r="A318" s="3">
        <v>317</v>
      </c>
      <c r="B318" s="3" t="s">
        <v>552</v>
      </c>
      <c r="C318" s="3" t="s">
        <v>553</v>
      </c>
      <c r="D318" s="3" t="s">
        <v>553</v>
      </c>
      <c r="E318" s="1"/>
      <c r="F318" s="8" t="s">
        <v>66</v>
      </c>
    </row>
    <row r="319" spans="1:6" x14ac:dyDescent="0.2">
      <c r="A319" s="3">
        <v>318</v>
      </c>
      <c r="B319" s="3" t="s">
        <v>554</v>
      </c>
      <c r="C319" s="3" t="s">
        <v>555</v>
      </c>
      <c r="D319" s="3" t="s">
        <v>555</v>
      </c>
      <c r="E319" s="1"/>
      <c r="F319" s="8" t="s">
        <v>66</v>
      </c>
    </row>
    <row r="320" spans="1:6" x14ac:dyDescent="0.2">
      <c r="A320" s="3">
        <v>319</v>
      </c>
      <c r="B320" s="3" t="s">
        <v>556</v>
      </c>
      <c r="C320" s="3" t="s">
        <v>557</v>
      </c>
      <c r="D320" s="3" t="s">
        <v>557</v>
      </c>
      <c r="E320" s="1"/>
      <c r="F320" s="8" t="s">
        <v>66</v>
      </c>
    </row>
    <row r="321" spans="1:6" x14ac:dyDescent="0.2">
      <c r="A321" s="3">
        <v>320</v>
      </c>
      <c r="B321" s="3" t="s">
        <v>558</v>
      </c>
      <c r="C321" s="3" t="s">
        <v>559</v>
      </c>
      <c r="D321" s="3" t="s">
        <v>559</v>
      </c>
      <c r="E321" s="1"/>
      <c r="F321" s="8" t="s">
        <v>66</v>
      </c>
    </row>
    <row r="322" spans="1:6" x14ac:dyDescent="0.2">
      <c r="A322" s="3">
        <v>321</v>
      </c>
      <c r="B322" s="3" t="s">
        <v>560</v>
      </c>
      <c r="C322" s="3" t="s">
        <v>561</v>
      </c>
      <c r="D322" s="3" t="s">
        <v>561</v>
      </c>
      <c r="E322" s="1"/>
      <c r="F322" s="8" t="s">
        <v>66</v>
      </c>
    </row>
    <row r="323" spans="1:6" x14ac:dyDescent="0.2">
      <c r="A323" s="3">
        <v>322</v>
      </c>
      <c r="B323" s="3" t="s">
        <v>562</v>
      </c>
      <c r="C323" s="3" t="s">
        <v>563</v>
      </c>
      <c r="D323" s="3" t="s">
        <v>563</v>
      </c>
      <c r="E323" s="1"/>
      <c r="F323" s="8" t="s">
        <v>66</v>
      </c>
    </row>
    <row r="324" spans="1:6" x14ac:dyDescent="0.2">
      <c r="A324" s="3">
        <v>323</v>
      </c>
      <c r="B324" s="3" t="s">
        <v>564</v>
      </c>
      <c r="C324" s="3" t="s">
        <v>563</v>
      </c>
      <c r="D324" s="3" t="s">
        <v>563</v>
      </c>
      <c r="E324" s="1"/>
      <c r="F324" s="8" t="s">
        <v>66</v>
      </c>
    </row>
    <row r="325" spans="1:6" x14ac:dyDescent="0.2">
      <c r="A325" s="3">
        <v>324</v>
      </c>
      <c r="B325" s="3" t="s">
        <v>565</v>
      </c>
      <c r="C325" s="3" t="s">
        <v>566</v>
      </c>
      <c r="D325" s="3" t="s">
        <v>566</v>
      </c>
      <c r="E325" s="1"/>
      <c r="F325" s="8" t="s">
        <v>66</v>
      </c>
    </row>
    <row r="326" spans="1:6" x14ac:dyDescent="0.2">
      <c r="A326" s="3">
        <v>325</v>
      </c>
      <c r="B326" s="3" t="s">
        <v>567</v>
      </c>
      <c r="C326" s="3" t="s">
        <v>568</v>
      </c>
      <c r="D326" s="3" t="s">
        <v>568</v>
      </c>
      <c r="E326" s="1"/>
      <c r="F326" s="8" t="s">
        <v>66</v>
      </c>
    </row>
    <row r="327" spans="1:6" x14ac:dyDescent="0.2">
      <c r="A327" s="3">
        <v>326</v>
      </c>
      <c r="B327" s="3" t="s">
        <v>569</v>
      </c>
      <c r="C327" s="3" t="s">
        <v>570</v>
      </c>
      <c r="D327" s="3" t="s">
        <v>570</v>
      </c>
      <c r="E327" s="1"/>
      <c r="F327" s="8" t="s">
        <v>66</v>
      </c>
    </row>
    <row r="328" spans="1:6" x14ac:dyDescent="0.2">
      <c r="A328" s="3">
        <v>327</v>
      </c>
      <c r="B328" s="3" t="s">
        <v>571</v>
      </c>
      <c r="C328" s="3" t="s">
        <v>570</v>
      </c>
      <c r="D328" s="3" t="s">
        <v>570</v>
      </c>
      <c r="E328" s="1"/>
      <c r="F328" s="8" t="s">
        <v>66</v>
      </c>
    </row>
    <row r="329" spans="1:6" x14ac:dyDescent="0.2">
      <c r="A329" s="3">
        <v>328</v>
      </c>
      <c r="B329" s="3" t="s">
        <v>572</v>
      </c>
      <c r="C329" s="3" t="s">
        <v>570</v>
      </c>
      <c r="D329" s="3" t="s">
        <v>570</v>
      </c>
      <c r="E329" s="1"/>
      <c r="F329" s="8" t="s">
        <v>66</v>
      </c>
    </row>
    <row r="330" spans="1:6" x14ac:dyDescent="0.2">
      <c r="A330" s="3">
        <v>329</v>
      </c>
      <c r="B330" s="3" t="s">
        <v>573</v>
      </c>
      <c r="C330" s="3" t="s">
        <v>570</v>
      </c>
      <c r="D330" s="3" t="s">
        <v>570</v>
      </c>
      <c r="E330" s="1"/>
      <c r="F330" s="8" t="s">
        <v>66</v>
      </c>
    </row>
    <row r="331" spans="1:6" x14ac:dyDescent="0.2">
      <c r="A331" s="3">
        <v>330</v>
      </c>
      <c r="B331" s="3" t="s">
        <v>574</v>
      </c>
      <c r="C331" s="3" t="s">
        <v>575</v>
      </c>
      <c r="D331" s="3" t="s">
        <v>575</v>
      </c>
      <c r="E331" s="1"/>
      <c r="F331" s="8" t="s">
        <v>66</v>
      </c>
    </row>
    <row r="332" spans="1:6" x14ac:dyDescent="0.2">
      <c r="A332" s="3">
        <v>331</v>
      </c>
      <c r="B332" s="3" t="s">
        <v>576</v>
      </c>
      <c r="C332" s="3" t="s">
        <v>575</v>
      </c>
      <c r="D332" s="3" t="s">
        <v>575</v>
      </c>
      <c r="E332" s="1"/>
      <c r="F332" s="8" t="s">
        <v>66</v>
      </c>
    </row>
    <row r="333" spans="1:6" x14ac:dyDescent="0.2">
      <c r="A333" s="3">
        <v>332</v>
      </c>
      <c r="B333" s="3" t="s">
        <v>577</v>
      </c>
      <c r="C333" s="3" t="s">
        <v>578</v>
      </c>
      <c r="D333" s="3" t="s">
        <v>578</v>
      </c>
      <c r="E333" s="1"/>
      <c r="F333" s="8" t="s">
        <v>66</v>
      </c>
    </row>
    <row r="334" spans="1:6" x14ac:dyDescent="0.2">
      <c r="A334" s="3">
        <v>333</v>
      </c>
      <c r="B334" s="3" t="s">
        <v>579</v>
      </c>
      <c r="C334" s="3" t="s">
        <v>578</v>
      </c>
      <c r="D334" s="3" t="s">
        <v>578</v>
      </c>
      <c r="E334" s="1"/>
      <c r="F334" s="8" t="s">
        <v>66</v>
      </c>
    </row>
    <row r="335" spans="1:6" x14ac:dyDescent="0.2">
      <c r="A335" s="3">
        <v>334</v>
      </c>
      <c r="B335" s="3" t="s">
        <v>580</v>
      </c>
      <c r="C335" s="3" t="s">
        <v>581</v>
      </c>
      <c r="D335" s="3" t="s">
        <v>581</v>
      </c>
      <c r="E335" s="1"/>
      <c r="F335" s="8" t="s">
        <v>66</v>
      </c>
    </row>
    <row r="336" spans="1:6" x14ac:dyDescent="0.2">
      <c r="A336" s="3">
        <v>335</v>
      </c>
      <c r="B336" s="3" t="s">
        <v>582</v>
      </c>
      <c r="C336" s="3" t="s">
        <v>583</v>
      </c>
      <c r="D336" s="3" t="s">
        <v>583</v>
      </c>
      <c r="E336" s="1"/>
      <c r="F336" s="8" t="s">
        <v>66</v>
      </c>
    </row>
    <row r="337" spans="1:6" x14ac:dyDescent="0.2">
      <c r="A337" s="3">
        <v>336</v>
      </c>
      <c r="B337" s="3" t="s">
        <v>584</v>
      </c>
      <c r="C337" s="3" t="s">
        <v>585</v>
      </c>
      <c r="D337" s="3" t="s">
        <v>585</v>
      </c>
      <c r="E337" s="1"/>
      <c r="F337" s="8" t="s">
        <v>66</v>
      </c>
    </row>
    <row r="338" spans="1:6" x14ac:dyDescent="0.2">
      <c r="A338" s="3">
        <v>337</v>
      </c>
      <c r="B338" s="3" t="s">
        <v>586</v>
      </c>
      <c r="C338" s="3" t="s">
        <v>587</v>
      </c>
      <c r="D338" s="3" t="s">
        <v>587</v>
      </c>
      <c r="E338" s="1"/>
      <c r="F338" s="8" t="s">
        <v>66</v>
      </c>
    </row>
    <row r="339" spans="1:6" x14ac:dyDescent="0.2">
      <c r="A339" s="3">
        <v>338</v>
      </c>
      <c r="B339" s="3" t="s">
        <v>588</v>
      </c>
      <c r="C339" s="3" t="s">
        <v>589</v>
      </c>
      <c r="D339" s="3" t="s">
        <v>589</v>
      </c>
      <c r="E339" s="1"/>
      <c r="F339" s="8" t="s">
        <v>66</v>
      </c>
    </row>
    <row r="340" spans="1:6" x14ac:dyDescent="0.2">
      <c r="A340" s="3">
        <v>339</v>
      </c>
      <c r="B340" s="3" t="s">
        <v>590</v>
      </c>
      <c r="C340" s="3" t="s">
        <v>591</v>
      </c>
      <c r="D340" s="3" t="s">
        <v>591</v>
      </c>
      <c r="E340" s="1"/>
      <c r="F340" s="8" t="s">
        <v>66</v>
      </c>
    </row>
    <row r="341" spans="1:6" x14ac:dyDescent="0.2">
      <c r="A341" s="3">
        <v>340</v>
      </c>
      <c r="B341" s="3" t="s">
        <v>592</v>
      </c>
      <c r="C341" s="3" t="s">
        <v>591</v>
      </c>
      <c r="D341" s="3" t="s">
        <v>591</v>
      </c>
      <c r="E341" s="1"/>
      <c r="F341" s="8" t="s">
        <v>66</v>
      </c>
    </row>
    <row r="342" spans="1:6" x14ac:dyDescent="0.2">
      <c r="A342" s="3">
        <v>341</v>
      </c>
      <c r="B342" s="3" t="s">
        <v>593</v>
      </c>
      <c r="C342" s="3" t="s">
        <v>591</v>
      </c>
      <c r="D342" s="3" t="s">
        <v>591</v>
      </c>
      <c r="E342" s="1"/>
      <c r="F342" s="8" t="s">
        <v>66</v>
      </c>
    </row>
    <row r="343" spans="1:6" x14ac:dyDescent="0.2">
      <c r="A343" s="3">
        <v>342</v>
      </c>
      <c r="B343" s="3" t="s">
        <v>594</v>
      </c>
      <c r="C343" s="3" t="s">
        <v>595</v>
      </c>
      <c r="D343" s="3" t="s">
        <v>595</v>
      </c>
      <c r="E343" s="1"/>
      <c r="F343" s="8" t="s">
        <v>66</v>
      </c>
    </row>
    <row r="344" spans="1:6" x14ac:dyDescent="0.2">
      <c r="A344" s="3">
        <v>343</v>
      </c>
      <c r="B344" s="3" t="s">
        <v>596</v>
      </c>
      <c r="C344" s="3" t="s">
        <v>597</v>
      </c>
      <c r="D344" s="3" t="s">
        <v>597</v>
      </c>
      <c r="E344" s="1"/>
      <c r="F344" s="8" t="s">
        <v>66</v>
      </c>
    </row>
    <row r="345" spans="1:6" x14ac:dyDescent="0.2">
      <c r="A345" s="3">
        <v>344</v>
      </c>
      <c r="B345" s="3" t="s">
        <v>598</v>
      </c>
      <c r="C345" s="3" t="s">
        <v>599</v>
      </c>
      <c r="D345" s="3" t="s">
        <v>599</v>
      </c>
      <c r="E345" s="1"/>
      <c r="F345" s="8" t="s">
        <v>66</v>
      </c>
    </row>
    <row r="346" spans="1:6" x14ac:dyDescent="0.2">
      <c r="A346" s="3">
        <v>345</v>
      </c>
      <c r="B346" s="3" t="s">
        <v>600</v>
      </c>
      <c r="C346" s="3" t="s">
        <v>601</v>
      </c>
      <c r="D346" s="3" t="s">
        <v>601</v>
      </c>
      <c r="E346" s="1"/>
      <c r="F346" s="8" t="s">
        <v>66</v>
      </c>
    </row>
    <row r="347" spans="1:6" x14ac:dyDescent="0.2">
      <c r="A347" s="3">
        <v>346</v>
      </c>
      <c r="B347" s="3" t="s">
        <v>602</v>
      </c>
      <c r="C347" s="3" t="s">
        <v>601</v>
      </c>
      <c r="D347" s="3" t="s">
        <v>601</v>
      </c>
      <c r="E347" s="1"/>
      <c r="F347" s="8" t="s">
        <v>66</v>
      </c>
    </row>
    <row r="348" spans="1:6" x14ac:dyDescent="0.2">
      <c r="A348" s="3">
        <v>347</v>
      </c>
      <c r="B348" s="3" t="s">
        <v>603</v>
      </c>
      <c r="C348" s="3" t="s">
        <v>603</v>
      </c>
      <c r="D348" s="3" t="s">
        <v>603</v>
      </c>
      <c r="E348" s="1"/>
      <c r="F348" s="8" t="s">
        <v>66</v>
      </c>
    </row>
    <row r="349" spans="1:6" x14ac:dyDescent="0.2">
      <c r="A349" s="3">
        <v>348</v>
      </c>
      <c r="B349" s="3" t="s">
        <v>604</v>
      </c>
      <c r="C349" s="3" t="s">
        <v>604</v>
      </c>
      <c r="D349" s="3" t="s">
        <v>604</v>
      </c>
      <c r="E349" s="1"/>
      <c r="F349" s="8" t="s">
        <v>66</v>
      </c>
    </row>
    <row r="350" spans="1:6" x14ac:dyDescent="0.2">
      <c r="A350" s="3">
        <v>349</v>
      </c>
      <c r="B350" s="3" t="s">
        <v>605</v>
      </c>
      <c r="C350" s="3" t="s">
        <v>606</v>
      </c>
      <c r="D350" s="3" t="s">
        <v>606</v>
      </c>
      <c r="E350" s="1"/>
      <c r="F350" s="8" t="s">
        <v>66</v>
      </c>
    </row>
    <row r="351" spans="1:6" x14ac:dyDescent="0.2">
      <c r="A351" s="3">
        <v>350</v>
      </c>
      <c r="B351" s="3" t="s">
        <v>607</v>
      </c>
      <c r="C351" s="3" t="s">
        <v>608</v>
      </c>
      <c r="D351" s="3" t="s">
        <v>608</v>
      </c>
      <c r="E351" s="1"/>
      <c r="F351" s="8" t="s">
        <v>66</v>
      </c>
    </row>
    <row r="352" spans="1:6" x14ac:dyDescent="0.2">
      <c r="A352" s="3">
        <v>351</v>
      </c>
      <c r="B352" s="3" t="s">
        <v>609</v>
      </c>
      <c r="C352" s="3" t="s">
        <v>608</v>
      </c>
      <c r="D352" s="3" t="s">
        <v>608</v>
      </c>
      <c r="E352" s="1"/>
      <c r="F352" s="8" t="s">
        <v>66</v>
      </c>
    </row>
    <row r="353" spans="1:6" x14ac:dyDescent="0.2">
      <c r="A353" s="3">
        <v>352</v>
      </c>
      <c r="B353" s="3" t="s">
        <v>610</v>
      </c>
      <c r="C353" s="3" t="s">
        <v>608</v>
      </c>
      <c r="D353" s="3" t="s">
        <v>608</v>
      </c>
      <c r="E353" s="1"/>
      <c r="F353" s="8" t="s">
        <v>66</v>
      </c>
    </row>
    <row r="354" spans="1:6" x14ac:dyDescent="0.2">
      <c r="A354" s="3">
        <v>353</v>
      </c>
      <c r="B354" s="3" t="s">
        <v>611</v>
      </c>
      <c r="C354" s="3" t="s">
        <v>608</v>
      </c>
      <c r="D354" s="3" t="s">
        <v>608</v>
      </c>
      <c r="E354" s="1"/>
      <c r="F354" s="8" t="s">
        <v>66</v>
      </c>
    </row>
    <row r="355" spans="1:6" x14ac:dyDescent="0.2">
      <c r="A355" s="3">
        <v>354</v>
      </c>
      <c r="B355" s="3" t="s">
        <v>612</v>
      </c>
      <c r="C355" s="3" t="s">
        <v>608</v>
      </c>
      <c r="D355" s="3" t="s">
        <v>608</v>
      </c>
      <c r="E355" s="1"/>
      <c r="F355" s="8" t="s">
        <v>66</v>
      </c>
    </row>
    <row r="356" spans="1:6" x14ac:dyDescent="0.2">
      <c r="A356" s="3">
        <v>355</v>
      </c>
      <c r="B356" s="3" t="s">
        <v>613</v>
      </c>
      <c r="C356" s="3" t="s">
        <v>614</v>
      </c>
      <c r="D356" s="3" t="s">
        <v>614</v>
      </c>
      <c r="E356" s="1"/>
      <c r="F356" s="8" t="s">
        <v>66</v>
      </c>
    </row>
    <row r="357" spans="1:6" x14ac:dyDescent="0.2">
      <c r="A357" s="3">
        <v>356</v>
      </c>
      <c r="B357" s="3" t="s">
        <v>615</v>
      </c>
      <c r="C357" s="3" t="s">
        <v>616</v>
      </c>
      <c r="D357" s="3" t="s">
        <v>616</v>
      </c>
      <c r="E357" s="1"/>
      <c r="F357" s="8" t="s">
        <v>66</v>
      </c>
    </row>
    <row r="358" spans="1:6" x14ac:dyDescent="0.2">
      <c r="A358" s="3">
        <v>357</v>
      </c>
      <c r="B358" s="3" t="s">
        <v>617</v>
      </c>
      <c r="C358" s="3" t="s">
        <v>616</v>
      </c>
      <c r="D358" s="3" t="s">
        <v>616</v>
      </c>
      <c r="E358" s="1"/>
      <c r="F358" s="8" t="s">
        <v>66</v>
      </c>
    </row>
    <row r="359" spans="1:6" x14ac:dyDescent="0.2">
      <c r="A359" s="3">
        <v>358</v>
      </c>
      <c r="B359" s="3" t="s">
        <v>618</v>
      </c>
      <c r="C359" s="3" t="s">
        <v>616</v>
      </c>
      <c r="D359" s="3" t="s">
        <v>616</v>
      </c>
      <c r="E359" s="1"/>
      <c r="F359" s="8" t="s">
        <v>66</v>
      </c>
    </row>
    <row r="360" spans="1:6" x14ac:dyDescent="0.2">
      <c r="A360" s="3">
        <v>359</v>
      </c>
      <c r="B360" s="3" t="s">
        <v>619</v>
      </c>
      <c r="C360" s="3" t="s">
        <v>616</v>
      </c>
      <c r="D360" s="3" t="s">
        <v>616</v>
      </c>
      <c r="E360" s="1"/>
      <c r="F360" s="8" t="s">
        <v>66</v>
      </c>
    </row>
    <row r="361" spans="1:6" x14ac:dyDescent="0.2">
      <c r="A361" s="3">
        <v>360</v>
      </c>
      <c r="B361" s="3" t="s">
        <v>620</v>
      </c>
      <c r="C361" s="3" t="s">
        <v>621</v>
      </c>
      <c r="D361" s="3" t="s">
        <v>621</v>
      </c>
      <c r="E361" s="1"/>
      <c r="F361" s="8" t="s">
        <v>66</v>
      </c>
    </row>
    <row r="362" spans="1:6" x14ac:dyDescent="0.2">
      <c r="A362" s="3">
        <v>361</v>
      </c>
      <c r="B362" s="3" t="s">
        <v>622</v>
      </c>
      <c r="C362" s="3" t="s">
        <v>623</v>
      </c>
      <c r="D362" s="3" t="s">
        <v>623</v>
      </c>
      <c r="E362" s="1"/>
      <c r="F362" s="8" t="s">
        <v>66</v>
      </c>
    </row>
    <row r="363" spans="1:6" x14ac:dyDescent="0.2">
      <c r="A363" s="3">
        <v>362</v>
      </c>
      <c r="B363" s="3" t="s">
        <v>624</v>
      </c>
      <c r="C363" s="3" t="s">
        <v>625</v>
      </c>
      <c r="D363" s="3" t="s">
        <v>625</v>
      </c>
      <c r="E363" s="1"/>
      <c r="F363" s="8" t="s">
        <v>66</v>
      </c>
    </row>
    <row r="364" spans="1:6" x14ac:dyDescent="0.2">
      <c r="A364" s="3">
        <v>363</v>
      </c>
      <c r="B364" s="3" t="s">
        <v>626</v>
      </c>
      <c r="C364" s="3" t="s">
        <v>627</v>
      </c>
      <c r="D364" s="3" t="s">
        <v>627</v>
      </c>
      <c r="E364" s="1"/>
      <c r="F364" s="8" t="s">
        <v>66</v>
      </c>
    </row>
    <row r="365" spans="1:6" x14ac:dyDescent="0.2">
      <c r="A365" s="3">
        <v>364</v>
      </c>
      <c r="B365" s="3" t="s">
        <v>628</v>
      </c>
      <c r="C365" s="3" t="s">
        <v>629</v>
      </c>
      <c r="D365" s="3" t="s">
        <v>629</v>
      </c>
      <c r="E365" s="1"/>
      <c r="F365" s="8" t="s">
        <v>66</v>
      </c>
    </row>
    <row r="366" spans="1:6" x14ac:dyDescent="0.2">
      <c r="A366" s="3">
        <v>365</v>
      </c>
      <c r="B366" s="3" t="s">
        <v>630</v>
      </c>
      <c r="C366" s="3" t="s">
        <v>631</v>
      </c>
      <c r="D366" s="3" t="s">
        <v>631</v>
      </c>
      <c r="E366" s="1"/>
      <c r="F366" s="8" t="s">
        <v>66</v>
      </c>
    </row>
    <row r="367" spans="1:6" x14ac:dyDescent="0.2">
      <c r="A367" s="3">
        <v>366</v>
      </c>
      <c r="B367" s="3" t="s">
        <v>632</v>
      </c>
      <c r="C367" s="3" t="s">
        <v>633</v>
      </c>
      <c r="D367" s="3" t="s">
        <v>633</v>
      </c>
      <c r="E367" s="1"/>
      <c r="F367" s="8" t="s">
        <v>66</v>
      </c>
    </row>
    <row r="368" spans="1:6" x14ac:dyDescent="0.2">
      <c r="A368" s="3">
        <v>367</v>
      </c>
      <c r="B368" s="3" t="s">
        <v>634</v>
      </c>
      <c r="C368" s="3" t="s">
        <v>633</v>
      </c>
      <c r="D368" s="3" t="s">
        <v>633</v>
      </c>
      <c r="E368" s="1"/>
      <c r="F368" s="8" t="s">
        <v>66</v>
      </c>
    </row>
    <row r="369" spans="1:6" x14ac:dyDescent="0.2">
      <c r="A369" s="3">
        <v>368</v>
      </c>
      <c r="B369" s="3" t="s">
        <v>635</v>
      </c>
      <c r="C369" s="3" t="s">
        <v>636</v>
      </c>
      <c r="D369" s="3" t="s">
        <v>636</v>
      </c>
      <c r="E369" s="1"/>
      <c r="F369" s="8" t="s">
        <v>66</v>
      </c>
    </row>
    <row r="370" spans="1:6" x14ac:dyDescent="0.2">
      <c r="A370" s="3">
        <v>369</v>
      </c>
      <c r="B370" s="3" t="s">
        <v>637</v>
      </c>
      <c r="C370" s="3" t="s">
        <v>636</v>
      </c>
      <c r="D370" s="3" t="s">
        <v>636</v>
      </c>
      <c r="E370" s="1"/>
      <c r="F370" s="8" t="s">
        <v>66</v>
      </c>
    </row>
    <row r="371" spans="1:6" x14ac:dyDescent="0.2">
      <c r="A371" s="3">
        <v>370</v>
      </c>
      <c r="B371" s="3" t="s">
        <v>638</v>
      </c>
      <c r="C371" s="3" t="s">
        <v>636</v>
      </c>
      <c r="D371" s="3" t="s">
        <v>636</v>
      </c>
      <c r="E371" s="1"/>
      <c r="F371" s="8" t="s">
        <v>66</v>
      </c>
    </row>
    <row r="372" spans="1:6" x14ac:dyDescent="0.2">
      <c r="A372" s="3">
        <v>371</v>
      </c>
      <c r="B372" s="3" t="s">
        <v>639</v>
      </c>
      <c r="C372" s="3" t="s">
        <v>636</v>
      </c>
      <c r="D372" s="3" t="s">
        <v>636</v>
      </c>
      <c r="E372" s="1"/>
      <c r="F372" s="8" t="s">
        <v>66</v>
      </c>
    </row>
    <row r="373" spans="1:6" x14ac:dyDescent="0.2">
      <c r="A373" s="3">
        <v>372</v>
      </c>
      <c r="B373" s="3" t="s">
        <v>640</v>
      </c>
      <c r="C373" s="3" t="s">
        <v>641</v>
      </c>
      <c r="D373" s="3" t="s">
        <v>641</v>
      </c>
      <c r="E373" s="1"/>
      <c r="F373" s="8" t="s">
        <v>66</v>
      </c>
    </row>
    <row r="374" spans="1:6" x14ac:dyDescent="0.2">
      <c r="A374" s="3">
        <v>373</v>
      </c>
      <c r="B374" s="3" t="s">
        <v>642</v>
      </c>
      <c r="C374" s="3" t="s">
        <v>643</v>
      </c>
      <c r="D374" s="3" t="s">
        <v>643</v>
      </c>
      <c r="E374" s="1"/>
      <c r="F374" s="8" t="s">
        <v>66</v>
      </c>
    </row>
    <row r="375" spans="1:6" x14ac:dyDescent="0.2">
      <c r="A375" s="3">
        <v>374</v>
      </c>
      <c r="B375" s="3" t="s">
        <v>644</v>
      </c>
      <c r="C375" s="3" t="s">
        <v>643</v>
      </c>
      <c r="D375" s="3" t="s">
        <v>643</v>
      </c>
      <c r="E375" s="1"/>
      <c r="F375" s="8" t="s">
        <v>66</v>
      </c>
    </row>
    <row r="376" spans="1:6" x14ac:dyDescent="0.2">
      <c r="A376" s="3">
        <v>375</v>
      </c>
      <c r="B376" s="3" t="s">
        <v>645</v>
      </c>
      <c r="C376" s="3" t="s">
        <v>646</v>
      </c>
      <c r="D376" s="3" t="s">
        <v>646</v>
      </c>
      <c r="E376" s="1"/>
      <c r="F376" s="8" t="s">
        <v>66</v>
      </c>
    </row>
    <row r="377" spans="1:6" x14ac:dyDescent="0.2">
      <c r="A377" s="3">
        <v>376</v>
      </c>
      <c r="B377" s="3" t="s">
        <v>647</v>
      </c>
      <c r="C377" s="3" t="s">
        <v>646</v>
      </c>
      <c r="D377" s="3" t="s">
        <v>646</v>
      </c>
      <c r="E377" s="1"/>
      <c r="F377" s="8" t="s">
        <v>66</v>
      </c>
    </row>
    <row r="378" spans="1:6" x14ac:dyDescent="0.2">
      <c r="A378" s="3">
        <v>377</v>
      </c>
      <c r="B378" s="3" t="s">
        <v>648</v>
      </c>
      <c r="C378" s="3" t="s">
        <v>646</v>
      </c>
      <c r="D378" s="3" t="s">
        <v>646</v>
      </c>
      <c r="E378" s="1"/>
      <c r="F378" s="8" t="s">
        <v>66</v>
      </c>
    </row>
    <row r="379" spans="1:6" x14ac:dyDescent="0.2">
      <c r="A379" s="3">
        <v>378</v>
      </c>
      <c r="B379" s="3" t="s">
        <v>649</v>
      </c>
      <c r="C379" s="3" t="s">
        <v>650</v>
      </c>
      <c r="D379" s="3" t="s">
        <v>650</v>
      </c>
      <c r="E379" s="1"/>
      <c r="F379" s="8" t="s">
        <v>66</v>
      </c>
    </row>
    <row r="380" spans="1:6" x14ac:dyDescent="0.2">
      <c r="A380" s="3">
        <v>379</v>
      </c>
      <c r="B380" s="3" t="s">
        <v>651</v>
      </c>
      <c r="C380" s="3" t="s">
        <v>652</v>
      </c>
      <c r="D380" s="3" t="s">
        <v>652</v>
      </c>
      <c r="E380" s="1"/>
      <c r="F380" s="8" t="s">
        <v>66</v>
      </c>
    </row>
    <row r="381" spans="1:6" x14ac:dyDescent="0.2">
      <c r="A381" s="3">
        <v>380</v>
      </c>
      <c r="B381" s="3" t="s">
        <v>653</v>
      </c>
      <c r="C381" s="3" t="s">
        <v>652</v>
      </c>
      <c r="D381" s="3" t="s">
        <v>652</v>
      </c>
      <c r="E381" s="1"/>
      <c r="F381" s="8" t="s">
        <v>66</v>
      </c>
    </row>
    <row r="382" spans="1:6" x14ac:dyDescent="0.2">
      <c r="A382" s="3">
        <v>381</v>
      </c>
      <c r="B382" s="3" t="s">
        <v>654</v>
      </c>
      <c r="C382" s="3" t="s">
        <v>652</v>
      </c>
      <c r="D382" s="3" t="s">
        <v>652</v>
      </c>
      <c r="E382" s="1"/>
      <c r="F382" s="8" t="s">
        <v>66</v>
      </c>
    </row>
    <row r="383" spans="1:6" x14ac:dyDescent="0.2">
      <c r="A383" s="3">
        <v>382</v>
      </c>
      <c r="B383" s="3" t="s">
        <v>655</v>
      </c>
      <c r="C383" s="3" t="s">
        <v>656</v>
      </c>
      <c r="D383" s="3" t="s">
        <v>656</v>
      </c>
      <c r="E383" s="1"/>
      <c r="F383" s="8" t="s">
        <v>66</v>
      </c>
    </row>
    <row r="384" spans="1:6" x14ac:dyDescent="0.2">
      <c r="A384" s="3">
        <v>383</v>
      </c>
      <c r="B384" s="3" t="s">
        <v>657</v>
      </c>
      <c r="C384" s="3" t="s">
        <v>658</v>
      </c>
      <c r="D384" s="3" t="s">
        <v>658</v>
      </c>
      <c r="E384" s="1"/>
      <c r="F384" s="8" t="s">
        <v>66</v>
      </c>
    </row>
    <row r="385" spans="1:6" x14ac:dyDescent="0.2">
      <c r="A385" s="3">
        <v>384</v>
      </c>
      <c r="B385" s="3" t="s">
        <v>659</v>
      </c>
      <c r="C385" s="3" t="s">
        <v>658</v>
      </c>
      <c r="D385" s="3" t="s">
        <v>658</v>
      </c>
      <c r="E385" s="1"/>
      <c r="F385" s="8" t="s">
        <v>66</v>
      </c>
    </row>
    <row r="386" spans="1:6" x14ac:dyDescent="0.2">
      <c r="A386" s="3">
        <v>385</v>
      </c>
      <c r="B386" s="3" t="s">
        <v>660</v>
      </c>
      <c r="C386" s="3" t="s">
        <v>661</v>
      </c>
      <c r="D386" s="3" t="s">
        <v>661</v>
      </c>
      <c r="E386" s="1"/>
      <c r="F386" s="8" t="s">
        <v>66</v>
      </c>
    </row>
    <row r="387" spans="1:6" x14ac:dyDescent="0.2">
      <c r="A387" s="3">
        <v>386</v>
      </c>
      <c r="B387" s="3" t="s">
        <v>662</v>
      </c>
      <c r="C387" s="3" t="s">
        <v>663</v>
      </c>
      <c r="D387" s="3" t="s">
        <v>663</v>
      </c>
      <c r="E387" s="1"/>
      <c r="F387" s="8" t="s">
        <v>66</v>
      </c>
    </row>
    <row r="388" spans="1:6" x14ac:dyDescent="0.2">
      <c r="A388" s="3">
        <v>387</v>
      </c>
      <c r="B388" s="3" t="s">
        <v>664</v>
      </c>
      <c r="C388" s="3" t="s">
        <v>665</v>
      </c>
      <c r="D388" s="3" t="s">
        <v>665</v>
      </c>
      <c r="E388" s="1"/>
      <c r="F388" s="8" t="s">
        <v>66</v>
      </c>
    </row>
    <row r="389" spans="1:6" x14ac:dyDescent="0.2">
      <c r="A389" s="3">
        <v>388</v>
      </c>
      <c r="B389" s="3" t="s">
        <v>666</v>
      </c>
      <c r="C389" s="3" t="s">
        <v>665</v>
      </c>
      <c r="D389" s="3" t="s">
        <v>665</v>
      </c>
      <c r="E389" s="1"/>
      <c r="F389" s="8" t="s">
        <v>66</v>
      </c>
    </row>
    <row r="390" spans="1:6" x14ac:dyDescent="0.2">
      <c r="A390" s="3">
        <v>389</v>
      </c>
      <c r="B390" s="3" t="s">
        <v>667</v>
      </c>
      <c r="C390" s="3" t="s">
        <v>668</v>
      </c>
      <c r="D390" s="3" t="s">
        <v>668</v>
      </c>
      <c r="E390" s="1"/>
      <c r="F390" s="8" t="s">
        <v>66</v>
      </c>
    </row>
    <row r="391" spans="1:6" x14ac:dyDescent="0.2">
      <c r="A391" s="3">
        <v>390</v>
      </c>
      <c r="B391" s="3" t="s">
        <v>669</v>
      </c>
      <c r="C391" s="3" t="s">
        <v>670</v>
      </c>
      <c r="D391" s="3" t="s">
        <v>670</v>
      </c>
      <c r="E391" s="1"/>
      <c r="F391" s="8" t="s">
        <v>66</v>
      </c>
    </row>
    <row r="392" spans="1:6" x14ac:dyDescent="0.2">
      <c r="A392" s="3">
        <v>391</v>
      </c>
      <c r="B392" s="3" t="s">
        <v>671</v>
      </c>
      <c r="C392" s="3" t="s">
        <v>670</v>
      </c>
      <c r="D392" s="3" t="s">
        <v>670</v>
      </c>
      <c r="E392" s="1"/>
      <c r="F392" s="8" t="s">
        <v>66</v>
      </c>
    </row>
    <row r="393" spans="1:6" x14ac:dyDescent="0.2">
      <c r="A393" s="3">
        <v>392</v>
      </c>
      <c r="B393" s="3" t="s">
        <v>672</v>
      </c>
      <c r="C393" s="3" t="s">
        <v>673</v>
      </c>
      <c r="D393" s="3" t="s">
        <v>673</v>
      </c>
      <c r="E393" s="1"/>
      <c r="F393" s="8" t="s">
        <v>66</v>
      </c>
    </row>
    <row r="394" spans="1:6" x14ac:dyDescent="0.2">
      <c r="A394" s="3">
        <v>393</v>
      </c>
      <c r="B394" s="3" t="s">
        <v>674</v>
      </c>
      <c r="C394" s="3" t="s">
        <v>675</v>
      </c>
      <c r="D394" s="3" t="s">
        <v>675</v>
      </c>
      <c r="E394" s="1"/>
      <c r="F394" s="8" t="s">
        <v>66</v>
      </c>
    </row>
    <row r="395" spans="1:6" x14ac:dyDescent="0.2">
      <c r="A395" s="3">
        <v>394</v>
      </c>
      <c r="B395" s="3" t="s">
        <v>676</v>
      </c>
      <c r="C395" s="3" t="s">
        <v>677</v>
      </c>
      <c r="D395" s="3" t="s">
        <v>677</v>
      </c>
      <c r="E395" s="1"/>
      <c r="F395" s="8" t="s">
        <v>66</v>
      </c>
    </row>
    <row r="396" spans="1:6" x14ac:dyDescent="0.2">
      <c r="A396" s="3">
        <v>395</v>
      </c>
      <c r="B396" s="3" t="s">
        <v>678</v>
      </c>
      <c r="C396" s="3" t="s">
        <v>679</v>
      </c>
      <c r="D396" s="3" t="s">
        <v>679</v>
      </c>
      <c r="E396" s="1"/>
      <c r="F396" s="8" t="s">
        <v>66</v>
      </c>
    </row>
    <row r="397" spans="1:6" x14ac:dyDescent="0.2">
      <c r="A397" s="3">
        <v>396</v>
      </c>
      <c r="B397" s="3" t="s">
        <v>680</v>
      </c>
      <c r="C397" s="3" t="s">
        <v>681</v>
      </c>
      <c r="D397" s="3" t="s">
        <v>681</v>
      </c>
      <c r="E397" s="1"/>
      <c r="F397" s="8" t="s">
        <v>66</v>
      </c>
    </row>
    <row r="398" spans="1:6" x14ac:dyDescent="0.2">
      <c r="A398" s="3">
        <v>397</v>
      </c>
      <c r="B398" s="3" t="s">
        <v>682</v>
      </c>
      <c r="C398" s="3" t="s">
        <v>683</v>
      </c>
      <c r="D398" s="3" t="s">
        <v>683</v>
      </c>
      <c r="E398" s="1"/>
      <c r="F398" s="8" t="s">
        <v>66</v>
      </c>
    </row>
    <row r="399" spans="1:6" x14ac:dyDescent="0.2">
      <c r="A399" s="3">
        <v>398</v>
      </c>
      <c r="B399" s="3" t="s">
        <v>684</v>
      </c>
      <c r="C399" s="3" t="s">
        <v>685</v>
      </c>
      <c r="D399" s="3" t="s">
        <v>685</v>
      </c>
      <c r="E399" s="1"/>
      <c r="F399" s="8" t="s">
        <v>66</v>
      </c>
    </row>
    <row r="400" spans="1:6" x14ac:dyDescent="0.2">
      <c r="A400" s="3">
        <v>399</v>
      </c>
      <c r="B400" s="3" t="s">
        <v>686</v>
      </c>
      <c r="C400" s="3" t="s">
        <v>687</v>
      </c>
      <c r="D400" s="3" t="s">
        <v>687</v>
      </c>
      <c r="E400" s="1"/>
      <c r="F400" s="8" t="s">
        <v>66</v>
      </c>
    </row>
    <row r="401" spans="1:6" x14ac:dyDescent="0.2">
      <c r="A401" s="3">
        <v>400</v>
      </c>
      <c r="B401" s="3" t="s">
        <v>688</v>
      </c>
      <c r="C401" s="3" t="s">
        <v>689</v>
      </c>
      <c r="D401" s="3" t="s">
        <v>689</v>
      </c>
      <c r="E401" s="1"/>
      <c r="F401" s="8" t="s">
        <v>66</v>
      </c>
    </row>
    <row r="402" spans="1:6" x14ac:dyDescent="0.2">
      <c r="A402" s="3">
        <v>401</v>
      </c>
      <c r="B402" s="3" t="s">
        <v>690</v>
      </c>
      <c r="C402" s="3" t="s">
        <v>689</v>
      </c>
      <c r="D402" s="3" t="s">
        <v>689</v>
      </c>
      <c r="E402" s="1"/>
      <c r="F402" s="8" t="s">
        <v>66</v>
      </c>
    </row>
    <row r="403" spans="1:6" x14ac:dyDescent="0.2">
      <c r="A403" s="3">
        <v>402</v>
      </c>
      <c r="B403" s="3" t="s">
        <v>691</v>
      </c>
      <c r="C403" s="3" t="s">
        <v>691</v>
      </c>
      <c r="D403" s="3" t="s">
        <v>691</v>
      </c>
      <c r="E403" s="1" t="s">
        <v>692</v>
      </c>
      <c r="F403" s="8" t="s">
        <v>66</v>
      </c>
    </row>
    <row r="404" spans="1:6" x14ac:dyDescent="0.2">
      <c r="A404" s="3">
        <v>403</v>
      </c>
      <c r="B404" s="3" t="s">
        <v>693</v>
      </c>
      <c r="C404" s="3" t="s">
        <v>694</v>
      </c>
      <c r="D404" s="3" t="s">
        <v>694</v>
      </c>
      <c r="E404" s="1"/>
      <c r="F404" s="8" t="s">
        <v>66</v>
      </c>
    </row>
    <row r="405" spans="1:6" x14ac:dyDescent="0.2">
      <c r="A405" s="3">
        <v>404</v>
      </c>
      <c r="B405" s="3" t="s">
        <v>695</v>
      </c>
      <c r="C405" s="3" t="s">
        <v>696</v>
      </c>
      <c r="D405" s="3" t="s">
        <v>696</v>
      </c>
      <c r="E405" s="1"/>
      <c r="F405" s="8" t="s">
        <v>66</v>
      </c>
    </row>
    <row r="406" spans="1:6" x14ac:dyDescent="0.2">
      <c r="A406" s="3">
        <v>405</v>
      </c>
      <c r="B406" s="3" t="s">
        <v>697</v>
      </c>
      <c r="C406" s="3" t="s">
        <v>698</v>
      </c>
      <c r="D406" s="3" t="s">
        <v>698</v>
      </c>
      <c r="E406" s="1"/>
      <c r="F406" s="8" t="s">
        <v>66</v>
      </c>
    </row>
    <row r="407" spans="1:6" x14ac:dyDescent="0.2">
      <c r="A407" s="3">
        <v>406</v>
      </c>
      <c r="B407" s="3" t="s">
        <v>699</v>
      </c>
      <c r="C407" s="3" t="s">
        <v>698</v>
      </c>
      <c r="D407" s="3" t="s">
        <v>698</v>
      </c>
      <c r="E407" s="1"/>
      <c r="F407" s="8" t="s">
        <v>66</v>
      </c>
    </row>
    <row r="408" spans="1:6" x14ac:dyDescent="0.2">
      <c r="A408" s="3">
        <v>407</v>
      </c>
      <c r="B408" s="3" t="s">
        <v>700</v>
      </c>
      <c r="C408" s="3" t="s">
        <v>701</v>
      </c>
      <c r="D408" s="3" t="s">
        <v>701</v>
      </c>
      <c r="E408" s="1"/>
      <c r="F408" s="8" t="s">
        <v>66</v>
      </c>
    </row>
    <row r="409" spans="1:6" x14ac:dyDescent="0.2">
      <c r="A409" s="3">
        <v>408</v>
      </c>
      <c r="B409" s="3" t="s">
        <v>702</v>
      </c>
      <c r="C409" s="3" t="s">
        <v>703</v>
      </c>
      <c r="D409" s="3" t="s">
        <v>703</v>
      </c>
      <c r="E409" s="1"/>
      <c r="F409" s="8" t="s">
        <v>66</v>
      </c>
    </row>
    <row r="410" spans="1:6" x14ac:dyDescent="0.2">
      <c r="A410" s="3">
        <v>409</v>
      </c>
      <c r="B410" s="3" t="s">
        <v>704</v>
      </c>
      <c r="C410" s="3" t="s">
        <v>705</v>
      </c>
      <c r="D410" s="3" t="s">
        <v>705</v>
      </c>
      <c r="E410" s="1"/>
      <c r="F410" s="8" t="s">
        <v>66</v>
      </c>
    </row>
    <row r="411" spans="1:6" x14ac:dyDescent="0.2">
      <c r="A411" s="3">
        <v>410</v>
      </c>
      <c r="B411" s="3" t="s">
        <v>706</v>
      </c>
      <c r="C411" s="3" t="s">
        <v>707</v>
      </c>
      <c r="D411" s="3" t="s">
        <v>707</v>
      </c>
      <c r="E411" s="1"/>
      <c r="F411" s="8" t="s">
        <v>66</v>
      </c>
    </row>
    <row r="412" spans="1:6" x14ac:dyDescent="0.2">
      <c r="A412" s="3">
        <v>411</v>
      </c>
      <c r="B412" s="3" t="s">
        <v>708</v>
      </c>
      <c r="C412" s="3" t="s">
        <v>709</v>
      </c>
      <c r="D412" s="3" t="s">
        <v>709</v>
      </c>
      <c r="E412" s="1"/>
      <c r="F412" s="8" t="s">
        <v>66</v>
      </c>
    </row>
    <row r="413" spans="1:6" x14ac:dyDescent="0.2">
      <c r="A413" s="3">
        <v>412</v>
      </c>
      <c r="B413" s="3" t="s">
        <v>710</v>
      </c>
      <c r="C413" s="3" t="s">
        <v>709</v>
      </c>
      <c r="D413" s="3" t="s">
        <v>709</v>
      </c>
      <c r="E413" s="1"/>
      <c r="F413" s="8" t="s">
        <v>66</v>
      </c>
    </row>
    <row r="414" spans="1:6" x14ac:dyDescent="0.2">
      <c r="A414" s="3">
        <v>413</v>
      </c>
      <c r="B414" s="3" t="s">
        <v>711</v>
      </c>
      <c r="C414" s="3" t="s">
        <v>709</v>
      </c>
      <c r="D414" s="3" t="s">
        <v>709</v>
      </c>
      <c r="E414" s="1"/>
      <c r="F414" s="8" t="s">
        <v>66</v>
      </c>
    </row>
    <row r="415" spans="1:6" x14ac:dyDescent="0.2">
      <c r="A415" s="3">
        <v>414</v>
      </c>
      <c r="B415" s="3" t="s">
        <v>712</v>
      </c>
      <c r="C415" s="3" t="s">
        <v>709</v>
      </c>
      <c r="D415" s="3" t="s">
        <v>709</v>
      </c>
      <c r="E415" s="1"/>
      <c r="F415" s="8" t="s">
        <v>66</v>
      </c>
    </row>
    <row r="416" spans="1:6" x14ac:dyDescent="0.2">
      <c r="A416" s="3">
        <v>2611</v>
      </c>
      <c r="B416" s="3" t="s">
        <v>713</v>
      </c>
      <c r="C416" s="3" t="s">
        <v>703</v>
      </c>
      <c r="D416" s="3" t="s">
        <v>703</v>
      </c>
      <c r="E416" s="1"/>
      <c r="F416" s="8" t="s">
        <v>66</v>
      </c>
    </row>
    <row r="417" spans="1:6" x14ac:dyDescent="0.2">
      <c r="A417" s="3">
        <v>415</v>
      </c>
      <c r="B417" s="3" t="s">
        <v>714</v>
      </c>
      <c r="C417" s="3" t="s">
        <v>715</v>
      </c>
      <c r="D417" s="3" t="s">
        <v>715</v>
      </c>
      <c r="E417" s="1"/>
      <c r="F417" s="8" t="s">
        <v>66</v>
      </c>
    </row>
    <row r="418" spans="1:6" x14ac:dyDescent="0.2">
      <c r="A418" s="3">
        <v>416</v>
      </c>
      <c r="B418" s="3" t="s">
        <v>716</v>
      </c>
      <c r="C418" s="3" t="s">
        <v>691</v>
      </c>
      <c r="D418" s="3" t="s">
        <v>691</v>
      </c>
      <c r="E418" s="1"/>
      <c r="F418" s="8" t="s">
        <v>66</v>
      </c>
    </row>
    <row r="419" spans="1:6" x14ac:dyDescent="0.2">
      <c r="A419" s="3">
        <v>417</v>
      </c>
      <c r="B419" s="3" t="s">
        <v>717</v>
      </c>
      <c r="C419" s="3" t="s">
        <v>718</v>
      </c>
      <c r="D419" s="3" t="s">
        <v>718</v>
      </c>
      <c r="E419" s="1"/>
      <c r="F419" s="8" t="s">
        <v>66</v>
      </c>
    </row>
    <row r="420" spans="1:6" x14ac:dyDescent="0.2">
      <c r="A420" s="3">
        <v>418</v>
      </c>
      <c r="B420" s="3" t="s">
        <v>719</v>
      </c>
      <c r="C420" s="3" t="s">
        <v>720</v>
      </c>
      <c r="D420" s="3" t="s">
        <v>720</v>
      </c>
      <c r="E420" s="1"/>
      <c r="F420" s="8" t="s">
        <v>66</v>
      </c>
    </row>
    <row r="421" spans="1:6" x14ac:dyDescent="0.2">
      <c r="A421" s="3">
        <v>419</v>
      </c>
      <c r="B421" s="3" t="s">
        <v>721</v>
      </c>
      <c r="C421" s="3" t="s">
        <v>720</v>
      </c>
      <c r="D421" s="3" t="s">
        <v>720</v>
      </c>
      <c r="E421" s="1"/>
      <c r="F421" s="8" t="s">
        <v>66</v>
      </c>
    </row>
    <row r="422" spans="1:6" x14ac:dyDescent="0.2">
      <c r="A422" s="3">
        <v>420</v>
      </c>
      <c r="B422" s="3" t="s">
        <v>722</v>
      </c>
      <c r="C422" s="3" t="s">
        <v>720</v>
      </c>
      <c r="D422" s="3" t="s">
        <v>720</v>
      </c>
      <c r="E422" s="1"/>
      <c r="F422" s="8" t="s">
        <v>66</v>
      </c>
    </row>
    <row r="423" spans="1:6" x14ac:dyDescent="0.2">
      <c r="A423" s="3">
        <v>421</v>
      </c>
      <c r="B423" s="3" t="s">
        <v>723</v>
      </c>
      <c r="C423" s="3" t="s">
        <v>720</v>
      </c>
      <c r="D423" s="3" t="s">
        <v>720</v>
      </c>
      <c r="E423" s="1"/>
      <c r="F423" s="8" t="s">
        <v>66</v>
      </c>
    </row>
    <row r="424" spans="1:6" x14ac:dyDescent="0.2">
      <c r="A424" s="3">
        <v>422</v>
      </c>
      <c r="B424" s="3" t="s">
        <v>724</v>
      </c>
      <c r="C424" s="3" t="s">
        <v>725</v>
      </c>
      <c r="D424" s="3" t="s">
        <v>725</v>
      </c>
      <c r="E424" s="1"/>
      <c r="F424" s="8" t="s">
        <v>66</v>
      </c>
    </row>
    <row r="425" spans="1:6" x14ac:dyDescent="0.2">
      <c r="A425" s="3">
        <v>423</v>
      </c>
      <c r="B425" s="3" t="s">
        <v>726</v>
      </c>
      <c r="C425" s="3" t="s">
        <v>725</v>
      </c>
      <c r="D425" s="3" t="s">
        <v>725</v>
      </c>
      <c r="E425" s="1"/>
      <c r="F425" s="8" t="s">
        <v>66</v>
      </c>
    </row>
    <row r="426" spans="1:6" x14ac:dyDescent="0.2">
      <c r="A426" s="3">
        <v>424</v>
      </c>
      <c r="B426" s="3" t="s">
        <v>727</v>
      </c>
      <c r="C426" s="3" t="s">
        <v>728</v>
      </c>
      <c r="D426" s="3" t="s">
        <v>728</v>
      </c>
      <c r="E426" s="1"/>
      <c r="F426" s="8" t="s">
        <v>66</v>
      </c>
    </row>
    <row r="427" spans="1:6" x14ac:dyDescent="0.2">
      <c r="A427" s="3">
        <v>425</v>
      </c>
      <c r="B427" s="3" t="s">
        <v>729</v>
      </c>
      <c r="C427" s="3" t="s">
        <v>729</v>
      </c>
      <c r="D427" s="3" t="s">
        <v>729</v>
      </c>
      <c r="E427" s="1" t="s">
        <v>730</v>
      </c>
      <c r="F427" s="8" t="s">
        <v>66</v>
      </c>
    </row>
    <row r="428" spans="1:6" ht="21" x14ac:dyDescent="0.2">
      <c r="A428" s="3">
        <v>426</v>
      </c>
      <c r="B428" s="3" t="s">
        <v>731</v>
      </c>
      <c r="C428" s="3" t="s">
        <v>731</v>
      </c>
      <c r="D428" s="3" t="s">
        <v>731</v>
      </c>
      <c r="E428" s="1" t="s">
        <v>732</v>
      </c>
      <c r="F428" s="8" t="s">
        <v>66</v>
      </c>
    </row>
    <row r="429" spans="1:6" x14ac:dyDescent="0.2">
      <c r="A429" s="3">
        <v>427</v>
      </c>
      <c r="B429" s="3" t="s">
        <v>733</v>
      </c>
      <c r="C429" s="3" t="s">
        <v>734</v>
      </c>
      <c r="D429" s="3" t="s">
        <v>734</v>
      </c>
      <c r="E429" s="1"/>
      <c r="F429" s="8" t="s">
        <v>66</v>
      </c>
    </row>
    <row r="430" spans="1:6" x14ac:dyDescent="0.2">
      <c r="A430" s="3">
        <v>428</v>
      </c>
      <c r="B430" s="3" t="s">
        <v>735</v>
      </c>
      <c r="C430" s="3" t="s">
        <v>734</v>
      </c>
      <c r="D430" s="3" t="s">
        <v>734</v>
      </c>
      <c r="E430" s="1"/>
      <c r="F430" s="8" t="s">
        <v>66</v>
      </c>
    </row>
    <row r="431" spans="1:6" x14ac:dyDescent="0.2">
      <c r="A431" s="3">
        <v>429</v>
      </c>
      <c r="B431" s="3" t="s">
        <v>736</v>
      </c>
      <c r="C431" s="3" t="s">
        <v>737</v>
      </c>
      <c r="D431" s="3" t="s">
        <v>737</v>
      </c>
      <c r="E431" s="1"/>
      <c r="F431" s="8" t="s">
        <v>66</v>
      </c>
    </row>
    <row r="432" spans="1:6" x14ac:dyDescent="0.2">
      <c r="A432" s="3">
        <v>430</v>
      </c>
      <c r="B432" s="3" t="s">
        <v>738</v>
      </c>
      <c r="C432" s="3" t="s">
        <v>739</v>
      </c>
      <c r="D432" s="3" t="s">
        <v>739</v>
      </c>
      <c r="E432" s="1"/>
      <c r="F432" s="8" t="s">
        <v>66</v>
      </c>
    </row>
    <row r="433" spans="1:6" x14ac:dyDescent="0.2">
      <c r="A433" s="3">
        <v>431</v>
      </c>
      <c r="B433" s="3" t="s">
        <v>740</v>
      </c>
      <c r="C433" s="3" t="s">
        <v>741</v>
      </c>
      <c r="D433" s="3" t="s">
        <v>741</v>
      </c>
      <c r="E433" s="1"/>
      <c r="F433" s="8" t="s">
        <v>66</v>
      </c>
    </row>
    <row r="434" spans="1:6" x14ac:dyDescent="0.2">
      <c r="A434" s="3">
        <v>432</v>
      </c>
      <c r="B434" s="3" t="s">
        <v>742</v>
      </c>
      <c r="C434" s="3" t="s">
        <v>743</v>
      </c>
      <c r="D434" s="3" t="s">
        <v>743</v>
      </c>
      <c r="E434" s="1"/>
      <c r="F434" s="8" t="s">
        <v>66</v>
      </c>
    </row>
    <row r="435" spans="1:6" x14ac:dyDescent="0.2">
      <c r="A435" s="3">
        <v>433</v>
      </c>
      <c r="B435" s="3" t="s">
        <v>744</v>
      </c>
      <c r="C435" s="3" t="s">
        <v>744</v>
      </c>
      <c r="D435" s="3" t="s">
        <v>744</v>
      </c>
      <c r="E435" s="1" t="s">
        <v>745</v>
      </c>
      <c r="F435" s="8" t="s">
        <v>66</v>
      </c>
    </row>
    <row r="436" spans="1:6" x14ac:dyDescent="0.2">
      <c r="A436" s="3">
        <v>434</v>
      </c>
      <c r="B436" s="3" t="s">
        <v>746</v>
      </c>
      <c r="C436" s="3" t="s">
        <v>747</v>
      </c>
      <c r="D436" s="3" t="s">
        <v>747</v>
      </c>
      <c r="E436" s="1"/>
      <c r="F436" s="8" t="s">
        <v>66</v>
      </c>
    </row>
    <row r="437" spans="1:6" x14ac:dyDescent="0.2">
      <c r="A437" s="3">
        <v>435</v>
      </c>
      <c r="B437" s="3" t="s">
        <v>748</v>
      </c>
      <c r="C437" s="3" t="s">
        <v>748</v>
      </c>
      <c r="D437" s="3" t="s">
        <v>748</v>
      </c>
      <c r="E437" s="1" t="s">
        <v>749</v>
      </c>
      <c r="F437" s="8" t="s">
        <v>66</v>
      </c>
    </row>
    <row r="438" spans="1:6" x14ac:dyDescent="0.2">
      <c r="A438" s="3">
        <v>436</v>
      </c>
      <c r="B438" s="3" t="s">
        <v>750</v>
      </c>
      <c r="C438" s="3" t="s">
        <v>751</v>
      </c>
      <c r="D438" s="3" t="s">
        <v>751</v>
      </c>
      <c r="E438" s="1"/>
      <c r="F438" s="8" t="s">
        <v>66</v>
      </c>
    </row>
    <row r="439" spans="1:6" x14ac:dyDescent="0.2">
      <c r="A439" s="3">
        <v>437</v>
      </c>
      <c r="B439" s="3" t="s">
        <v>752</v>
      </c>
      <c r="C439" s="3" t="s">
        <v>753</v>
      </c>
      <c r="D439" s="3" t="s">
        <v>753</v>
      </c>
      <c r="E439" s="1"/>
      <c r="F439" s="8" t="s">
        <v>66</v>
      </c>
    </row>
    <row r="440" spans="1:6" x14ac:dyDescent="0.2">
      <c r="A440" s="3">
        <v>438</v>
      </c>
      <c r="B440" s="3" t="s">
        <v>754</v>
      </c>
      <c r="C440" s="3" t="s">
        <v>753</v>
      </c>
      <c r="D440" s="3" t="s">
        <v>753</v>
      </c>
      <c r="E440" s="1"/>
      <c r="F440" s="8" t="s">
        <v>66</v>
      </c>
    </row>
    <row r="441" spans="1:6" x14ac:dyDescent="0.2">
      <c r="A441" s="3">
        <v>439</v>
      </c>
      <c r="B441" s="3" t="s">
        <v>755</v>
      </c>
      <c r="C441" s="3" t="s">
        <v>756</v>
      </c>
      <c r="D441" s="3" t="s">
        <v>756</v>
      </c>
      <c r="E441" s="1"/>
      <c r="F441" s="8" t="s">
        <v>66</v>
      </c>
    </row>
    <row r="442" spans="1:6" x14ac:dyDescent="0.2">
      <c r="A442" s="3">
        <v>440</v>
      </c>
      <c r="B442" s="3" t="s">
        <v>757</v>
      </c>
      <c r="C442" s="3" t="s">
        <v>758</v>
      </c>
      <c r="D442" s="3" t="s">
        <v>758</v>
      </c>
      <c r="E442" s="1"/>
      <c r="F442" s="8" t="s">
        <v>66</v>
      </c>
    </row>
    <row r="443" spans="1:6" x14ac:dyDescent="0.2">
      <c r="A443" s="3">
        <v>441</v>
      </c>
      <c r="B443" s="3" t="s">
        <v>759</v>
      </c>
      <c r="C443" s="3" t="s">
        <v>758</v>
      </c>
      <c r="D443" s="3" t="s">
        <v>758</v>
      </c>
      <c r="E443" s="1"/>
      <c r="F443" s="8" t="s">
        <v>66</v>
      </c>
    </row>
    <row r="444" spans="1:6" x14ac:dyDescent="0.2">
      <c r="A444" s="3">
        <v>442</v>
      </c>
      <c r="B444" s="3" t="s">
        <v>760</v>
      </c>
      <c r="C444" s="3" t="s">
        <v>758</v>
      </c>
      <c r="D444" s="3" t="s">
        <v>758</v>
      </c>
      <c r="E444" s="1"/>
      <c r="F444" s="8" t="s">
        <v>66</v>
      </c>
    </row>
    <row r="445" spans="1:6" x14ac:dyDescent="0.2">
      <c r="A445" s="3">
        <v>443</v>
      </c>
      <c r="B445" s="3" t="s">
        <v>761</v>
      </c>
      <c r="C445" s="3" t="s">
        <v>762</v>
      </c>
      <c r="D445" s="3" t="s">
        <v>762</v>
      </c>
      <c r="E445" s="1"/>
      <c r="F445" s="8" t="s">
        <v>66</v>
      </c>
    </row>
    <row r="446" spans="1:6" x14ac:dyDescent="0.2">
      <c r="A446" s="3">
        <v>444</v>
      </c>
      <c r="B446" s="3" t="s">
        <v>763</v>
      </c>
      <c r="C446" s="3" t="s">
        <v>762</v>
      </c>
      <c r="D446" s="3" t="s">
        <v>762</v>
      </c>
      <c r="E446" s="1"/>
      <c r="F446" s="8" t="s">
        <v>66</v>
      </c>
    </row>
    <row r="447" spans="1:6" x14ac:dyDescent="0.2">
      <c r="A447" s="3">
        <v>445</v>
      </c>
      <c r="B447" s="3" t="s">
        <v>764</v>
      </c>
      <c r="C447" s="3" t="s">
        <v>762</v>
      </c>
      <c r="D447" s="3" t="s">
        <v>762</v>
      </c>
      <c r="E447" s="1"/>
      <c r="F447" s="8" t="s">
        <v>66</v>
      </c>
    </row>
    <row r="448" spans="1:6" x14ac:dyDescent="0.2">
      <c r="A448" s="3">
        <v>446</v>
      </c>
      <c r="B448" s="3" t="s">
        <v>765</v>
      </c>
      <c r="C448" s="3" t="s">
        <v>762</v>
      </c>
      <c r="D448" s="3" t="s">
        <v>762</v>
      </c>
      <c r="E448" s="1"/>
      <c r="F448" s="8" t="s">
        <v>66</v>
      </c>
    </row>
    <row r="449" spans="1:6" x14ac:dyDescent="0.2">
      <c r="A449" s="3">
        <v>447</v>
      </c>
      <c r="B449" s="3" t="s">
        <v>766</v>
      </c>
      <c r="C449" s="3" t="s">
        <v>767</v>
      </c>
      <c r="D449" s="3" t="s">
        <v>767</v>
      </c>
      <c r="E449" s="1"/>
      <c r="F449" s="8" t="s">
        <v>66</v>
      </c>
    </row>
    <row r="450" spans="1:6" x14ac:dyDescent="0.2">
      <c r="A450" s="3">
        <v>448</v>
      </c>
      <c r="B450" s="3" t="s">
        <v>768</v>
      </c>
      <c r="C450" s="3" t="s">
        <v>769</v>
      </c>
      <c r="D450" s="3" t="s">
        <v>769</v>
      </c>
      <c r="E450" s="1"/>
      <c r="F450" s="8" t="s">
        <v>66</v>
      </c>
    </row>
    <row r="451" spans="1:6" x14ac:dyDescent="0.2">
      <c r="A451" s="3">
        <v>449</v>
      </c>
      <c r="B451" s="3" t="s">
        <v>770</v>
      </c>
      <c r="C451" s="3" t="s">
        <v>769</v>
      </c>
      <c r="D451" s="3" t="s">
        <v>769</v>
      </c>
      <c r="E451" s="1"/>
      <c r="F451" s="8" t="s">
        <v>66</v>
      </c>
    </row>
    <row r="452" spans="1:6" x14ac:dyDescent="0.2">
      <c r="A452" s="3">
        <v>450</v>
      </c>
      <c r="B452" s="3" t="s">
        <v>771</v>
      </c>
      <c r="C452" s="3" t="s">
        <v>772</v>
      </c>
      <c r="D452" s="3" t="s">
        <v>772</v>
      </c>
      <c r="E452" s="1"/>
      <c r="F452" s="8" t="s">
        <v>66</v>
      </c>
    </row>
    <row r="453" spans="1:6" x14ac:dyDescent="0.2">
      <c r="A453" s="3">
        <v>451</v>
      </c>
      <c r="B453" s="3" t="s">
        <v>773</v>
      </c>
      <c r="C453" s="3" t="s">
        <v>773</v>
      </c>
      <c r="D453" s="3" t="s">
        <v>773</v>
      </c>
      <c r="E453" s="1" t="s">
        <v>774</v>
      </c>
      <c r="F453" s="8" t="s">
        <v>66</v>
      </c>
    </row>
    <row r="454" spans="1:6" x14ac:dyDescent="0.2">
      <c r="A454" s="3">
        <v>452</v>
      </c>
      <c r="B454" s="3" t="s">
        <v>775</v>
      </c>
      <c r="C454" s="3" t="s">
        <v>776</v>
      </c>
      <c r="D454" s="3" t="s">
        <v>776</v>
      </c>
      <c r="E454" s="1"/>
      <c r="F454" s="8" t="s">
        <v>66</v>
      </c>
    </row>
    <row r="455" spans="1:6" x14ac:dyDescent="0.2">
      <c r="A455" s="3">
        <v>453</v>
      </c>
      <c r="B455" s="3" t="s">
        <v>777</v>
      </c>
      <c r="C455" s="3" t="s">
        <v>778</v>
      </c>
      <c r="D455" s="3" t="s">
        <v>778</v>
      </c>
      <c r="E455" s="1"/>
      <c r="F455" s="8" t="s">
        <v>66</v>
      </c>
    </row>
    <row r="456" spans="1:6" x14ac:dyDescent="0.2">
      <c r="A456" s="3">
        <v>454</v>
      </c>
      <c r="B456" s="3" t="s">
        <v>779</v>
      </c>
      <c r="C456" s="3" t="s">
        <v>778</v>
      </c>
      <c r="D456" s="3" t="s">
        <v>778</v>
      </c>
      <c r="E456" s="1"/>
      <c r="F456" s="8" t="s">
        <v>66</v>
      </c>
    </row>
    <row r="457" spans="1:6" x14ac:dyDescent="0.2">
      <c r="A457" s="3">
        <v>455</v>
      </c>
      <c r="B457" s="3" t="s">
        <v>780</v>
      </c>
      <c r="C457" s="3" t="s">
        <v>778</v>
      </c>
      <c r="D457" s="3" t="s">
        <v>778</v>
      </c>
      <c r="E457" s="1"/>
      <c r="F457" s="8" t="s">
        <v>66</v>
      </c>
    </row>
    <row r="458" spans="1:6" x14ac:dyDescent="0.2">
      <c r="A458" s="3">
        <v>456</v>
      </c>
      <c r="B458" s="3" t="s">
        <v>781</v>
      </c>
      <c r="C458" s="3" t="s">
        <v>778</v>
      </c>
      <c r="D458" s="3" t="s">
        <v>778</v>
      </c>
      <c r="E458" s="1"/>
      <c r="F458" s="8" t="s">
        <v>66</v>
      </c>
    </row>
    <row r="459" spans="1:6" x14ac:dyDescent="0.2">
      <c r="A459" s="3">
        <v>457</v>
      </c>
      <c r="B459" s="3" t="s">
        <v>782</v>
      </c>
      <c r="C459" s="3" t="s">
        <v>778</v>
      </c>
      <c r="D459" s="3" t="s">
        <v>778</v>
      </c>
      <c r="E459" s="1"/>
      <c r="F459" s="8" t="s">
        <v>66</v>
      </c>
    </row>
    <row r="460" spans="1:6" x14ac:dyDescent="0.2">
      <c r="A460" s="3">
        <v>458</v>
      </c>
      <c r="B460" s="3" t="s">
        <v>783</v>
      </c>
      <c r="C460" s="3" t="s">
        <v>778</v>
      </c>
      <c r="D460" s="3" t="s">
        <v>778</v>
      </c>
      <c r="E460" s="1"/>
      <c r="F460" s="8" t="s">
        <v>66</v>
      </c>
    </row>
    <row r="461" spans="1:6" x14ac:dyDescent="0.2">
      <c r="A461" s="3">
        <v>459</v>
      </c>
      <c r="B461" s="3" t="s">
        <v>784</v>
      </c>
      <c r="C461" s="3" t="s">
        <v>785</v>
      </c>
      <c r="D461" s="3" t="s">
        <v>785</v>
      </c>
      <c r="E461" s="1"/>
      <c r="F461" s="8" t="s">
        <v>66</v>
      </c>
    </row>
    <row r="462" spans="1:6" x14ac:dyDescent="0.2">
      <c r="A462" s="3">
        <v>460</v>
      </c>
      <c r="B462" s="3" t="s">
        <v>786</v>
      </c>
      <c r="C462" s="3" t="s">
        <v>787</v>
      </c>
      <c r="D462" s="3" t="s">
        <v>787</v>
      </c>
      <c r="E462" s="1"/>
      <c r="F462" s="8" t="s">
        <v>66</v>
      </c>
    </row>
    <row r="463" spans="1:6" x14ac:dyDescent="0.2">
      <c r="A463" s="3">
        <v>461</v>
      </c>
      <c r="B463" s="3" t="s">
        <v>788</v>
      </c>
      <c r="C463" s="3" t="s">
        <v>789</v>
      </c>
      <c r="D463" s="3" t="s">
        <v>789</v>
      </c>
      <c r="E463" s="1"/>
      <c r="F463" s="8" t="s">
        <v>66</v>
      </c>
    </row>
    <row r="464" spans="1:6" x14ac:dyDescent="0.2">
      <c r="A464" s="3">
        <v>462</v>
      </c>
      <c r="B464" s="3" t="s">
        <v>790</v>
      </c>
      <c r="C464" s="3" t="s">
        <v>790</v>
      </c>
      <c r="D464" s="3" t="s">
        <v>790</v>
      </c>
      <c r="E464" s="1" t="s">
        <v>791</v>
      </c>
      <c r="F464" s="8" t="s">
        <v>66</v>
      </c>
    </row>
    <row r="465" spans="1:6" x14ac:dyDescent="0.2">
      <c r="A465" s="3">
        <v>463</v>
      </c>
      <c r="B465" s="3" t="s">
        <v>792</v>
      </c>
      <c r="C465" s="3" t="s">
        <v>793</v>
      </c>
      <c r="D465" s="3" t="s">
        <v>793</v>
      </c>
      <c r="E465" s="1"/>
      <c r="F465" s="8" t="s">
        <v>66</v>
      </c>
    </row>
    <row r="466" spans="1:6" x14ac:dyDescent="0.2">
      <c r="A466" s="3">
        <v>464</v>
      </c>
      <c r="B466" s="3" t="s">
        <v>794</v>
      </c>
      <c r="C466" s="3" t="s">
        <v>793</v>
      </c>
      <c r="D466" s="3" t="s">
        <v>793</v>
      </c>
      <c r="E466" s="1"/>
      <c r="F466" s="8" t="s">
        <v>66</v>
      </c>
    </row>
    <row r="467" spans="1:6" x14ac:dyDescent="0.2">
      <c r="A467" s="3">
        <v>465</v>
      </c>
      <c r="B467" s="3" t="s">
        <v>795</v>
      </c>
      <c r="C467" s="3" t="s">
        <v>796</v>
      </c>
      <c r="D467" s="3" t="s">
        <v>796</v>
      </c>
      <c r="E467" s="1"/>
      <c r="F467" s="8" t="s">
        <v>66</v>
      </c>
    </row>
    <row r="468" spans="1:6" x14ac:dyDescent="0.2">
      <c r="A468" s="3">
        <v>466</v>
      </c>
      <c r="B468" s="3" t="s">
        <v>797</v>
      </c>
      <c r="C468" s="3" t="s">
        <v>798</v>
      </c>
      <c r="D468" s="3" t="s">
        <v>798</v>
      </c>
      <c r="E468" s="1"/>
      <c r="F468" s="8" t="s">
        <v>66</v>
      </c>
    </row>
    <row r="469" spans="1:6" x14ac:dyDescent="0.2">
      <c r="A469" s="3">
        <v>467</v>
      </c>
      <c r="B469" s="3" t="s">
        <v>799</v>
      </c>
      <c r="C469" s="3" t="s">
        <v>798</v>
      </c>
      <c r="D469" s="3" t="s">
        <v>798</v>
      </c>
      <c r="E469" s="1"/>
      <c r="F469" s="8" t="s">
        <v>66</v>
      </c>
    </row>
    <row r="470" spans="1:6" x14ac:dyDescent="0.2">
      <c r="A470" s="3">
        <v>468</v>
      </c>
      <c r="B470" s="3" t="s">
        <v>800</v>
      </c>
      <c r="C470" s="3" t="s">
        <v>801</v>
      </c>
      <c r="D470" s="3" t="s">
        <v>801</v>
      </c>
      <c r="E470" s="1"/>
      <c r="F470" s="8" t="s">
        <v>66</v>
      </c>
    </row>
    <row r="471" spans="1:6" x14ac:dyDescent="0.2">
      <c r="A471" s="3">
        <v>469</v>
      </c>
      <c r="B471" s="3" t="s">
        <v>802</v>
      </c>
      <c r="C471" s="3" t="s">
        <v>801</v>
      </c>
      <c r="D471" s="3" t="s">
        <v>801</v>
      </c>
      <c r="E471" s="1"/>
      <c r="F471" s="8" t="s">
        <v>66</v>
      </c>
    </row>
    <row r="472" spans="1:6" x14ac:dyDescent="0.2">
      <c r="A472" s="3">
        <v>470</v>
      </c>
      <c r="B472" s="3" t="s">
        <v>803</v>
      </c>
      <c r="C472" s="3" t="s">
        <v>804</v>
      </c>
      <c r="D472" s="3" t="s">
        <v>804</v>
      </c>
      <c r="E472" s="1"/>
      <c r="F472" s="8" t="s">
        <v>66</v>
      </c>
    </row>
    <row r="473" spans="1:6" x14ac:dyDescent="0.2">
      <c r="A473" s="3">
        <v>471</v>
      </c>
      <c r="B473" s="3" t="s">
        <v>805</v>
      </c>
      <c r="C473" s="3" t="s">
        <v>806</v>
      </c>
      <c r="D473" s="3" t="s">
        <v>806</v>
      </c>
      <c r="E473" s="1"/>
      <c r="F473" s="8" t="s">
        <v>66</v>
      </c>
    </row>
    <row r="474" spans="1:6" x14ac:dyDescent="0.2">
      <c r="A474" s="3">
        <v>472</v>
      </c>
      <c r="B474" s="3" t="s">
        <v>807</v>
      </c>
      <c r="C474" s="3" t="s">
        <v>808</v>
      </c>
      <c r="D474" s="3" t="s">
        <v>808</v>
      </c>
      <c r="E474" s="1"/>
      <c r="F474" s="8" t="s">
        <v>66</v>
      </c>
    </row>
    <row r="475" spans="1:6" x14ac:dyDescent="0.2">
      <c r="A475" s="3">
        <v>473</v>
      </c>
      <c r="B475" s="3" t="s">
        <v>809</v>
      </c>
      <c r="C475" s="3" t="s">
        <v>810</v>
      </c>
      <c r="D475" s="3" t="s">
        <v>810</v>
      </c>
      <c r="E475" s="1"/>
      <c r="F475" s="8" t="s">
        <v>66</v>
      </c>
    </row>
    <row r="476" spans="1:6" x14ac:dyDescent="0.2">
      <c r="A476" s="3">
        <v>474</v>
      </c>
      <c r="B476" s="3" t="s">
        <v>811</v>
      </c>
      <c r="C476" s="3" t="s">
        <v>810</v>
      </c>
      <c r="D476" s="3" t="s">
        <v>810</v>
      </c>
      <c r="E476" s="1"/>
      <c r="F476" s="8" t="s">
        <v>66</v>
      </c>
    </row>
    <row r="477" spans="1:6" x14ac:dyDescent="0.2">
      <c r="A477" s="3">
        <v>475</v>
      </c>
      <c r="B477" s="3" t="s">
        <v>812</v>
      </c>
      <c r="C477" s="3" t="s">
        <v>813</v>
      </c>
      <c r="D477" s="3" t="s">
        <v>813</v>
      </c>
      <c r="E477" s="1"/>
      <c r="F477" s="8" t="s">
        <v>66</v>
      </c>
    </row>
    <row r="478" spans="1:6" x14ac:dyDescent="0.2">
      <c r="A478" s="3">
        <v>476</v>
      </c>
      <c r="B478" s="3" t="s">
        <v>814</v>
      </c>
      <c r="C478" s="3" t="s">
        <v>815</v>
      </c>
      <c r="D478" s="3" t="s">
        <v>815</v>
      </c>
      <c r="E478" s="1"/>
      <c r="F478" s="8" t="s">
        <v>66</v>
      </c>
    </row>
    <row r="479" spans="1:6" x14ac:dyDescent="0.2">
      <c r="A479" s="3">
        <v>477</v>
      </c>
      <c r="B479" s="3" t="s">
        <v>816</v>
      </c>
      <c r="C479" s="3" t="s">
        <v>815</v>
      </c>
      <c r="D479" s="3" t="s">
        <v>815</v>
      </c>
      <c r="E479" s="1"/>
      <c r="F479" s="8" t="s">
        <v>66</v>
      </c>
    </row>
    <row r="480" spans="1:6" x14ac:dyDescent="0.2">
      <c r="A480" s="3">
        <v>478</v>
      </c>
      <c r="B480" s="3" t="s">
        <v>817</v>
      </c>
      <c r="C480" s="3" t="s">
        <v>815</v>
      </c>
      <c r="D480" s="3" t="s">
        <v>815</v>
      </c>
      <c r="E480" s="1"/>
      <c r="F480" s="8" t="s">
        <v>66</v>
      </c>
    </row>
    <row r="481" spans="1:6" x14ac:dyDescent="0.2">
      <c r="A481" s="3">
        <v>479</v>
      </c>
      <c r="B481" s="3" t="s">
        <v>818</v>
      </c>
      <c r="C481" s="3" t="s">
        <v>819</v>
      </c>
      <c r="D481" s="3" t="s">
        <v>819</v>
      </c>
      <c r="E481" s="1"/>
      <c r="F481" s="8" t="s">
        <v>66</v>
      </c>
    </row>
    <row r="482" spans="1:6" x14ac:dyDescent="0.2">
      <c r="A482" s="3">
        <v>480</v>
      </c>
      <c r="B482" s="3" t="s">
        <v>820</v>
      </c>
      <c r="C482" s="3" t="s">
        <v>821</v>
      </c>
      <c r="D482" s="3" t="s">
        <v>821</v>
      </c>
      <c r="E482" s="1"/>
      <c r="F482" s="8" t="s">
        <v>66</v>
      </c>
    </row>
    <row r="483" spans="1:6" x14ac:dyDescent="0.2">
      <c r="A483" s="3">
        <v>481</v>
      </c>
      <c r="B483" s="3" t="s">
        <v>822</v>
      </c>
      <c r="C483" s="3" t="s">
        <v>823</v>
      </c>
      <c r="D483" s="3" t="s">
        <v>823</v>
      </c>
      <c r="E483" s="1"/>
      <c r="F483" s="8" t="s">
        <v>66</v>
      </c>
    </row>
    <row r="484" spans="1:6" x14ac:dyDescent="0.2">
      <c r="A484" s="3">
        <v>482</v>
      </c>
      <c r="B484" s="3" t="s">
        <v>824</v>
      </c>
      <c r="C484" s="3" t="s">
        <v>823</v>
      </c>
      <c r="D484" s="3" t="s">
        <v>823</v>
      </c>
      <c r="E484" s="1"/>
      <c r="F484" s="8" t="s">
        <v>66</v>
      </c>
    </row>
    <row r="485" spans="1:6" x14ac:dyDescent="0.2">
      <c r="A485" s="3">
        <v>483</v>
      </c>
      <c r="B485" s="3" t="s">
        <v>825</v>
      </c>
      <c r="C485" s="3" t="s">
        <v>823</v>
      </c>
      <c r="D485" s="3" t="s">
        <v>823</v>
      </c>
      <c r="E485" s="1"/>
      <c r="F485" s="8" t="s">
        <v>66</v>
      </c>
    </row>
    <row r="486" spans="1:6" x14ac:dyDescent="0.2">
      <c r="A486" s="3">
        <v>484</v>
      </c>
      <c r="B486" s="3" t="s">
        <v>826</v>
      </c>
      <c r="C486" s="3" t="s">
        <v>823</v>
      </c>
      <c r="D486" s="3" t="s">
        <v>823</v>
      </c>
      <c r="E486" s="1"/>
      <c r="F486" s="8" t="s">
        <v>66</v>
      </c>
    </row>
    <row r="487" spans="1:6" x14ac:dyDescent="0.2">
      <c r="A487" s="3">
        <v>485</v>
      </c>
      <c r="B487" s="3" t="s">
        <v>827</v>
      </c>
      <c r="C487" s="3" t="s">
        <v>828</v>
      </c>
      <c r="D487" s="3" t="s">
        <v>828</v>
      </c>
      <c r="E487" s="1"/>
      <c r="F487" s="8" t="s">
        <v>66</v>
      </c>
    </row>
    <row r="488" spans="1:6" x14ac:dyDescent="0.2">
      <c r="A488" s="3">
        <v>486</v>
      </c>
      <c r="B488" s="3" t="s">
        <v>829</v>
      </c>
      <c r="C488" s="3" t="s">
        <v>830</v>
      </c>
      <c r="D488" s="3" t="s">
        <v>830</v>
      </c>
      <c r="E488" s="1"/>
      <c r="F488" s="8" t="s">
        <v>66</v>
      </c>
    </row>
    <row r="489" spans="1:6" x14ac:dyDescent="0.2">
      <c r="A489" s="3">
        <v>487</v>
      </c>
      <c r="B489" s="3" t="s">
        <v>831</v>
      </c>
      <c r="C489" s="3" t="s">
        <v>830</v>
      </c>
      <c r="D489" s="3" t="s">
        <v>830</v>
      </c>
      <c r="E489" s="1"/>
      <c r="F489" s="8" t="s">
        <v>66</v>
      </c>
    </row>
    <row r="490" spans="1:6" x14ac:dyDescent="0.2">
      <c r="A490" s="3">
        <v>488</v>
      </c>
      <c r="B490" s="3" t="s">
        <v>832</v>
      </c>
      <c r="C490" s="3" t="s">
        <v>830</v>
      </c>
      <c r="D490" s="3" t="s">
        <v>830</v>
      </c>
      <c r="E490" s="1"/>
      <c r="F490" s="8" t="s">
        <v>66</v>
      </c>
    </row>
    <row r="491" spans="1:6" x14ac:dyDescent="0.2">
      <c r="A491" s="3">
        <v>489</v>
      </c>
      <c r="B491" s="3" t="s">
        <v>833</v>
      </c>
      <c r="C491" s="3" t="s">
        <v>830</v>
      </c>
      <c r="D491" s="3" t="s">
        <v>830</v>
      </c>
      <c r="E491" s="1"/>
      <c r="F491" s="8" t="s">
        <v>66</v>
      </c>
    </row>
    <row r="492" spans="1:6" x14ac:dyDescent="0.2">
      <c r="A492" s="3">
        <v>490</v>
      </c>
      <c r="B492" s="3" t="s">
        <v>834</v>
      </c>
      <c r="C492" s="3" t="s">
        <v>835</v>
      </c>
      <c r="D492" s="3" t="s">
        <v>835</v>
      </c>
      <c r="E492" s="1"/>
      <c r="F492" s="8" t="s">
        <v>66</v>
      </c>
    </row>
    <row r="493" spans="1:6" x14ac:dyDescent="0.2">
      <c r="A493" s="3">
        <v>491</v>
      </c>
      <c r="B493" s="3" t="s">
        <v>836</v>
      </c>
      <c r="C493" s="3" t="s">
        <v>837</v>
      </c>
      <c r="D493" s="3" t="s">
        <v>837</v>
      </c>
      <c r="E493" s="1"/>
      <c r="F493" s="8" t="s">
        <v>66</v>
      </c>
    </row>
    <row r="494" spans="1:6" x14ac:dyDescent="0.2">
      <c r="A494" s="3">
        <v>492</v>
      </c>
      <c r="B494" s="3" t="s">
        <v>838</v>
      </c>
      <c r="C494" s="3" t="s">
        <v>839</v>
      </c>
      <c r="D494" s="3" t="s">
        <v>839</v>
      </c>
      <c r="E494" s="1"/>
      <c r="F494" s="8" t="s">
        <v>66</v>
      </c>
    </row>
    <row r="495" spans="1:6" x14ac:dyDescent="0.2">
      <c r="A495" s="3">
        <v>493</v>
      </c>
      <c r="B495" s="3" t="s">
        <v>840</v>
      </c>
      <c r="C495" s="3" t="s">
        <v>841</v>
      </c>
      <c r="D495" s="3" t="s">
        <v>841</v>
      </c>
      <c r="E495" s="1"/>
      <c r="F495" s="8" t="s">
        <v>66</v>
      </c>
    </row>
    <row r="496" spans="1:6" x14ac:dyDescent="0.2">
      <c r="A496" s="3">
        <v>494</v>
      </c>
      <c r="B496" s="3" t="s">
        <v>842</v>
      </c>
      <c r="C496" s="3" t="s">
        <v>843</v>
      </c>
      <c r="D496" s="3" t="s">
        <v>843</v>
      </c>
      <c r="E496" s="1"/>
      <c r="F496" s="8" t="s">
        <v>66</v>
      </c>
    </row>
    <row r="497" spans="1:6" x14ac:dyDescent="0.2">
      <c r="A497" s="3">
        <v>495</v>
      </c>
      <c r="B497" s="3" t="s">
        <v>844</v>
      </c>
      <c r="C497" s="3" t="s">
        <v>845</v>
      </c>
      <c r="D497" s="3" t="s">
        <v>845</v>
      </c>
      <c r="E497" s="1"/>
      <c r="F497" s="8" t="s">
        <v>66</v>
      </c>
    </row>
    <row r="498" spans="1:6" x14ac:dyDescent="0.2">
      <c r="A498" s="3">
        <v>496</v>
      </c>
      <c r="B498" s="3" t="s">
        <v>846</v>
      </c>
      <c r="C498" s="3" t="s">
        <v>847</v>
      </c>
      <c r="D498" s="3" t="s">
        <v>847</v>
      </c>
      <c r="E498" s="1"/>
      <c r="F498" s="8" t="s">
        <v>66</v>
      </c>
    </row>
    <row r="499" spans="1:6" x14ac:dyDescent="0.2">
      <c r="A499" s="3">
        <v>497</v>
      </c>
      <c r="B499" s="3" t="s">
        <v>848</v>
      </c>
      <c r="C499" s="3" t="s">
        <v>847</v>
      </c>
      <c r="D499" s="3" t="s">
        <v>847</v>
      </c>
      <c r="E499" s="1"/>
      <c r="F499" s="8" t="s">
        <v>66</v>
      </c>
    </row>
    <row r="500" spans="1:6" x14ac:dyDescent="0.2">
      <c r="A500" s="3">
        <v>498</v>
      </c>
      <c r="B500" s="3" t="s">
        <v>849</v>
      </c>
      <c r="C500" s="3" t="s">
        <v>847</v>
      </c>
      <c r="D500" s="3" t="s">
        <v>847</v>
      </c>
      <c r="E500" s="1"/>
      <c r="F500" s="8" t="s">
        <v>66</v>
      </c>
    </row>
    <row r="501" spans="1:6" x14ac:dyDescent="0.2">
      <c r="A501" s="3">
        <v>499</v>
      </c>
      <c r="B501" s="3" t="s">
        <v>850</v>
      </c>
      <c r="C501" s="3" t="s">
        <v>851</v>
      </c>
      <c r="D501" s="3" t="s">
        <v>851</v>
      </c>
      <c r="E501" s="1"/>
      <c r="F501" s="8" t="s">
        <v>66</v>
      </c>
    </row>
    <row r="502" spans="1:6" x14ac:dyDescent="0.2">
      <c r="A502" s="3">
        <v>500</v>
      </c>
      <c r="B502" s="3" t="s">
        <v>852</v>
      </c>
      <c r="C502" s="3" t="s">
        <v>853</v>
      </c>
      <c r="D502" s="3" t="s">
        <v>853</v>
      </c>
      <c r="E502" s="1"/>
      <c r="F502" s="8" t="s">
        <v>66</v>
      </c>
    </row>
    <row r="503" spans="1:6" x14ac:dyDescent="0.2">
      <c r="A503" s="3">
        <v>501</v>
      </c>
      <c r="B503" s="3" t="s">
        <v>854</v>
      </c>
      <c r="C503" s="3" t="s">
        <v>855</v>
      </c>
      <c r="D503" s="3" t="s">
        <v>855</v>
      </c>
      <c r="E503" s="1"/>
      <c r="F503" s="8" t="s">
        <v>66</v>
      </c>
    </row>
    <row r="504" spans="1:6" x14ac:dyDescent="0.2">
      <c r="A504" s="3">
        <v>502</v>
      </c>
      <c r="B504" s="3" t="s">
        <v>856</v>
      </c>
      <c r="C504" s="3" t="s">
        <v>857</v>
      </c>
      <c r="D504" s="3" t="s">
        <v>857</v>
      </c>
      <c r="E504" s="1"/>
      <c r="F504" s="8" t="s">
        <v>66</v>
      </c>
    </row>
    <row r="505" spans="1:6" x14ac:dyDescent="0.2">
      <c r="A505" s="3">
        <v>503</v>
      </c>
      <c r="B505" s="3" t="s">
        <v>858</v>
      </c>
      <c r="C505" s="3" t="s">
        <v>857</v>
      </c>
      <c r="D505" s="3" t="s">
        <v>857</v>
      </c>
      <c r="E505" s="1"/>
      <c r="F505" s="8" t="s">
        <v>66</v>
      </c>
    </row>
    <row r="506" spans="1:6" x14ac:dyDescent="0.2">
      <c r="A506" s="3">
        <v>504</v>
      </c>
      <c r="B506" s="3" t="s">
        <v>859</v>
      </c>
      <c r="C506" s="3" t="s">
        <v>857</v>
      </c>
      <c r="D506" s="3" t="s">
        <v>857</v>
      </c>
      <c r="E506" s="1"/>
      <c r="F506" s="8" t="s">
        <v>66</v>
      </c>
    </row>
    <row r="507" spans="1:6" x14ac:dyDescent="0.2">
      <c r="A507" s="3">
        <v>505</v>
      </c>
      <c r="B507" s="3" t="s">
        <v>860</v>
      </c>
      <c r="C507" s="3" t="s">
        <v>857</v>
      </c>
      <c r="D507" s="3" t="s">
        <v>857</v>
      </c>
      <c r="E507" s="1"/>
      <c r="F507" s="8" t="s">
        <v>66</v>
      </c>
    </row>
    <row r="508" spans="1:6" x14ac:dyDescent="0.2">
      <c r="A508" s="3">
        <v>506</v>
      </c>
      <c r="B508" s="3" t="s">
        <v>861</v>
      </c>
      <c r="C508" s="3" t="s">
        <v>857</v>
      </c>
      <c r="D508" s="3" t="s">
        <v>857</v>
      </c>
      <c r="E508" s="1"/>
      <c r="F508" s="8" t="s">
        <v>66</v>
      </c>
    </row>
    <row r="509" spans="1:6" x14ac:dyDescent="0.2">
      <c r="A509" s="3">
        <v>507</v>
      </c>
      <c r="B509" s="3" t="s">
        <v>862</v>
      </c>
      <c r="C509" s="3" t="s">
        <v>863</v>
      </c>
      <c r="D509" s="3" t="s">
        <v>863</v>
      </c>
      <c r="E509" s="1"/>
      <c r="F509" s="8" t="s">
        <v>66</v>
      </c>
    </row>
    <row r="510" spans="1:6" x14ac:dyDescent="0.2">
      <c r="A510" s="3">
        <v>508</v>
      </c>
      <c r="B510" s="3" t="s">
        <v>864</v>
      </c>
      <c r="C510" s="3" t="s">
        <v>865</v>
      </c>
      <c r="D510" s="3" t="s">
        <v>865</v>
      </c>
      <c r="E510" s="1"/>
      <c r="F510" s="8" t="s">
        <v>66</v>
      </c>
    </row>
    <row r="511" spans="1:6" x14ac:dyDescent="0.2">
      <c r="A511" s="3">
        <v>509</v>
      </c>
      <c r="B511" s="3" t="s">
        <v>866</v>
      </c>
      <c r="C511" s="3" t="s">
        <v>867</v>
      </c>
      <c r="D511" s="3" t="s">
        <v>867</v>
      </c>
      <c r="E511" s="1"/>
      <c r="F511" s="8" t="s">
        <v>66</v>
      </c>
    </row>
    <row r="512" spans="1:6" x14ac:dyDescent="0.2">
      <c r="A512" s="3">
        <v>510</v>
      </c>
      <c r="B512" s="3" t="s">
        <v>868</v>
      </c>
      <c r="C512" s="3" t="s">
        <v>869</v>
      </c>
      <c r="D512" s="3" t="s">
        <v>869</v>
      </c>
      <c r="E512" s="1"/>
      <c r="F512" s="8" t="s">
        <v>66</v>
      </c>
    </row>
    <row r="513" spans="1:6" x14ac:dyDescent="0.2">
      <c r="A513" s="3">
        <v>511</v>
      </c>
      <c r="B513" s="3" t="s">
        <v>870</v>
      </c>
      <c r="C513" s="3" t="s">
        <v>871</v>
      </c>
      <c r="D513" s="3" t="s">
        <v>871</v>
      </c>
      <c r="E513" s="1"/>
      <c r="F513" s="8" t="s">
        <v>66</v>
      </c>
    </row>
    <row r="514" spans="1:6" x14ac:dyDescent="0.2">
      <c r="A514" s="3">
        <v>512</v>
      </c>
      <c r="B514" s="3" t="s">
        <v>872</v>
      </c>
      <c r="C514" s="3" t="s">
        <v>871</v>
      </c>
      <c r="D514" s="3" t="s">
        <v>871</v>
      </c>
      <c r="E514" s="1"/>
      <c r="F514" s="8" t="s">
        <v>66</v>
      </c>
    </row>
    <row r="515" spans="1:6" x14ac:dyDescent="0.2">
      <c r="A515" s="3">
        <v>513</v>
      </c>
      <c r="B515" s="3" t="s">
        <v>873</v>
      </c>
      <c r="C515" s="3" t="s">
        <v>874</v>
      </c>
      <c r="D515" s="3" t="s">
        <v>874</v>
      </c>
      <c r="E515" s="1"/>
      <c r="F515" s="8" t="s">
        <v>66</v>
      </c>
    </row>
    <row r="516" spans="1:6" x14ac:dyDescent="0.2">
      <c r="A516" s="3">
        <v>514</v>
      </c>
      <c r="B516" s="3" t="s">
        <v>875</v>
      </c>
      <c r="C516" s="3" t="s">
        <v>876</v>
      </c>
      <c r="D516" s="3" t="s">
        <v>876</v>
      </c>
      <c r="E516" s="1"/>
      <c r="F516" s="8" t="s">
        <v>66</v>
      </c>
    </row>
    <row r="517" spans="1:6" x14ac:dyDescent="0.2">
      <c r="A517" s="3">
        <v>515</v>
      </c>
      <c r="B517" s="3" t="s">
        <v>877</v>
      </c>
      <c r="C517" s="3" t="s">
        <v>878</v>
      </c>
      <c r="D517" s="3" t="s">
        <v>878</v>
      </c>
      <c r="E517" s="1"/>
      <c r="F517" s="8" t="s">
        <v>66</v>
      </c>
    </row>
    <row r="518" spans="1:6" x14ac:dyDescent="0.2">
      <c r="A518" s="3">
        <v>516</v>
      </c>
      <c r="B518" s="3" t="s">
        <v>879</v>
      </c>
      <c r="C518" s="3" t="s">
        <v>878</v>
      </c>
      <c r="D518" s="3" t="s">
        <v>878</v>
      </c>
      <c r="E518" s="1"/>
      <c r="F518" s="8" t="s">
        <v>66</v>
      </c>
    </row>
    <row r="519" spans="1:6" x14ac:dyDescent="0.2">
      <c r="A519" s="3">
        <v>517</v>
      </c>
      <c r="B519" s="3" t="s">
        <v>880</v>
      </c>
      <c r="C519" s="3" t="s">
        <v>878</v>
      </c>
      <c r="D519" s="3" t="s">
        <v>878</v>
      </c>
      <c r="E519" s="1"/>
      <c r="F519" s="8" t="s">
        <v>66</v>
      </c>
    </row>
    <row r="520" spans="1:6" x14ac:dyDescent="0.2">
      <c r="A520" s="3">
        <v>518</v>
      </c>
      <c r="B520" s="3" t="s">
        <v>881</v>
      </c>
      <c r="C520" s="3" t="s">
        <v>882</v>
      </c>
      <c r="D520" s="3" t="s">
        <v>882</v>
      </c>
      <c r="E520" s="1"/>
      <c r="F520" s="8" t="s">
        <v>66</v>
      </c>
    </row>
    <row r="521" spans="1:6" x14ac:dyDescent="0.2">
      <c r="A521" s="3">
        <v>519</v>
      </c>
      <c r="B521" s="3" t="s">
        <v>883</v>
      </c>
      <c r="C521" s="3" t="s">
        <v>882</v>
      </c>
      <c r="D521" s="3" t="s">
        <v>882</v>
      </c>
      <c r="E521" s="1"/>
      <c r="F521" s="8" t="s">
        <v>66</v>
      </c>
    </row>
    <row r="522" spans="1:6" x14ac:dyDescent="0.2">
      <c r="A522" s="3">
        <v>520</v>
      </c>
      <c r="B522" s="3" t="s">
        <v>884</v>
      </c>
      <c r="C522" s="3" t="s">
        <v>882</v>
      </c>
      <c r="D522" s="3" t="s">
        <v>882</v>
      </c>
      <c r="E522" s="1"/>
      <c r="F522" s="8" t="s">
        <v>66</v>
      </c>
    </row>
    <row r="523" spans="1:6" x14ac:dyDescent="0.2">
      <c r="A523" s="3">
        <v>521</v>
      </c>
      <c r="B523" s="3" t="s">
        <v>885</v>
      </c>
      <c r="C523" s="3" t="s">
        <v>882</v>
      </c>
      <c r="D523" s="3" t="s">
        <v>882</v>
      </c>
      <c r="E523" s="1"/>
      <c r="F523" s="8" t="s">
        <v>66</v>
      </c>
    </row>
    <row r="524" spans="1:6" x14ac:dyDescent="0.2">
      <c r="A524" s="3">
        <v>522</v>
      </c>
      <c r="B524" s="3" t="s">
        <v>886</v>
      </c>
      <c r="C524" s="3" t="s">
        <v>887</v>
      </c>
      <c r="D524" s="3" t="s">
        <v>887</v>
      </c>
      <c r="E524" s="1"/>
      <c r="F524" s="8" t="s">
        <v>66</v>
      </c>
    </row>
    <row r="525" spans="1:6" x14ac:dyDescent="0.2">
      <c r="A525" s="3">
        <v>523</v>
      </c>
      <c r="B525" s="3" t="s">
        <v>888</v>
      </c>
      <c r="C525" s="3" t="s">
        <v>889</v>
      </c>
      <c r="D525" s="3" t="s">
        <v>889</v>
      </c>
      <c r="E525" s="1"/>
      <c r="F525" s="8" t="s">
        <v>66</v>
      </c>
    </row>
    <row r="526" spans="1:6" x14ac:dyDescent="0.2">
      <c r="A526" s="3">
        <v>524</v>
      </c>
      <c r="B526" s="3" t="s">
        <v>890</v>
      </c>
      <c r="C526" s="3" t="s">
        <v>889</v>
      </c>
      <c r="D526" s="3" t="s">
        <v>889</v>
      </c>
      <c r="E526" s="1"/>
      <c r="F526" s="8" t="s">
        <v>66</v>
      </c>
    </row>
    <row r="527" spans="1:6" x14ac:dyDescent="0.2">
      <c r="A527" s="3">
        <v>525</v>
      </c>
      <c r="B527" s="3" t="s">
        <v>891</v>
      </c>
      <c r="C527" s="3" t="s">
        <v>892</v>
      </c>
      <c r="D527" s="3" t="s">
        <v>892</v>
      </c>
      <c r="E527" s="1"/>
      <c r="F527" s="8" t="s">
        <v>66</v>
      </c>
    </row>
    <row r="528" spans="1:6" x14ac:dyDescent="0.2">
      <c r="A528" s="3">
        <v>526</v>
      </c>
      <c r="B528" s="3" t="s">
        <v>893</v>
      </c>
      <c r="C528" s="3" t="s">
        <v>892</v>
      </c>
      <c r="D528" s="3" t="s">
        <v>892</v>
      </c>
      <c r="E528" s="1"/>
      <c r="F528" s="8" t="s">
        <v>66</v>
      </c>
    </row>
    <row r="529" spans="1:6" x14ac:dyDescent="0.2">
      <c r="A529" s="3">
        <v>527</v>
      </c>
      <c r="B529" s="3" t="s">
        <v>894</v>
      </c>
      <c r="C529" s="3" t="s">
        <v>895</v>
      </c>
      <c r="D529" s="3" t="s">
        <v>895</v>
      </c>
      <c r="E529" s="1"/>
      <c r="F529" s="8" t="s">
        <v>66</v>
      </c>
    </row>
    <row r="530" spans="1:6" x14ac:dyDescent="0.2">
      <c r="A530" s="3">
        <v>528</v>
      </c>
      <c r="B530" s="3" t="s">
        <v>896</v>
      </c>
      <c r="C530" s="3" t="s">
        <v>895</v>
      </c>
      <c r="D530" s="3" t="s">
        <v>895</v>
      </c>
      <c r="E530" s="1"/>
      <c r="F530" s="8" t="s">
        <v>66</v>
      </c>
    </row>
    <row r="531" spans="1:6" x14ac:dyDescent="0.2">
      <c r="A531" s="3">
        <v>529</v>
      </c>
      <c r="B531" s="3" t="s">
        <v>897</v>
      </c>
      <c r="C531" s="3" t="s">
        <v>895</v>
      </c>
      <c r="D531" s="3" t="s">
        <v>895</v>
      </c>
      <c r="E531" s="1"/>
      <c r="F531" s="8" t="s">
        <v>66</v>
      </c>
    </row>
    <row r="532" spans="1:6" x14ac:dyDescent="0.2">
      <c r="A532" s="3">
        <v>530</v>
      </c>
      <c r="B532" s="3" t="s">
        <v>898</v>
      </c>
      <c r="C532" s="3" t="s">
        <v>899</v>
      </c>
      <c r="D532" s="3" t="s">
        <v>899</v>
      </c>
      <c r="E532" s="1"/>
      <c r="F532" s="8" t="s">
        <v>66</v>
      </c>
    </row>
    <row r="533" spans="1:6" x14ac:dyDescent="0.2">
      <c r="A533" s="3">
        <v>531</v>
      </c>
      <c r="B533" s="3" t="s">
        <v>900</v>
      </c>
      <c r="C533" s="3" t="s">
        <v>899</v>
      </c>
      <c r="D533" s="3" t="s">
        <v>899</v>
      </c>
      <c r="E533" s="1"/>
      <c r="F533" s="8" t="s">
        <v>66</v>
      </c>
    </row>
    <row r="534" spans="1:6" x14ac:dyDescent="0.2">
      <c r="A534" s="3">
        <v>532</v>
      </c>
      <c r="B534" s="3" t="s">
        <v>901</v>
      </c>
      <c r="C534" s="3" t="s">
        <v>902</v>
      </c>
      <c r="D534" s="3" t="s">
        <v>902</v>
      </c>
      <c r="E534" s="1"/>
      <c r="F534" s="8" t="s">
        <v>66</v>
      </c>
    </row>
    <row r="535" spans="1:6" x14ac:dyDescent="0.2">
      <c r="A535" s="3">
        <v>533</v>
      </c>
      <c r="B535" s="3" t="s">
        <v>903</v>
      </c>
      <c r="C535" s="3" t="s">
        <v>902</v>
      </c>
      <c r="D535" s="3" t="s">
        <v>902</v>
      </c>
      <c r="E535" s="1"/>
      <c r="F535" s="8" t="s">
        <v>66</v>
      </c>
    </row>
    <row r="536" spans="1:6" x14ac:dyDescent="0.2">
      <c r="A536" s="3">
        <v>534</v>
      </c>
      <c r="B536" s="3" t="s">
        <v>904</v>
      </c>
      <c r="C536" s="3" t="s">
        <v>905</v>
      </c>
      <c r="D536" s="3" t="s">
        <v>905</v>
      </c>
      <c r="E536" s="1"/>
      <c r="F536" s="8" t="s">
        <v>66</v>
      </c>
    </row>
    <row r="537" spans="1:6" x14ac:dyDescent="0.2">
      <c r="A537" s="3">
        <v>535</v>
      </c>
      <c r="B537" s="3" t="s">
        <v>906</v>
      </c>
      <c r="C537" s="3" t="s">
        <v>905</v>
      </c>
      <c r="D537" s="3" t="s">
        <v>905</v>
      </c>
      <c r="E537" s="1"/>
      <c r="F537" s="8" t="s">
        <v>66</v>
      </c>
    </row>
    <row r="538" spans="1:6" x14ac:dyDescent="0.2">
      <c r="A538" s="3">
        <v>536</v>
      </c>
      <c r="B538" s="3" t="s">
        <v>907</v>
      </c>
      <c r="C538" s="3" t="s">
        <v>908</v>
      </c>
      <c r="D538" s="3" t="s">
        <v>908</v>
      </c>
      <c r="E538" s="1"/>
      <c r="F538" s="8" t="s">
        <v>66</v>
      </c>
    </row>
    <row r="539" spans="1:6" x14ac:dyDescent="0.2">
      <c r="A539" s="3">
        <v>537</v>
      </c>
      <c r="B539" s="3" t="s">
        <v>909</v>
      </c>
      <c r="C539" s="3" t="s">
        <v>908</v>
      </c>
      <c r="D539" s="3" t="s">
        <v>908</v>
      </c>
      <c r="E539" s="1"/>
      <c r="F539" s="8" t="s">
        <v>66</v>
      </c>
    </row>
    <row r="540" spans="1:6" x14ac:dyDescent="0.2">
      <c r="A540" s="3">
        <v>538</v>
      </c>
      <c r="B540" s="3" t="s">
        <v>910</v>
      </c>
      <c r="C540" s="3" t="s">
        <v>908</v>
      </c>
      <c r="D540" s="3" t="s">
        <v>908</v>
      </c>
      <c r="E540" s="1"/>
      <c r="F540" s="8" t="s">
        <v>66</v>
      </c>
    </row>
    <row r="541" spans="1:6" x14ac:dyDescent="0.2">
      <c r="A541" s="3">
        <v>539</v>
      </c>
      <c r="B541" s="3" t="s">
        <v>911</v>
      </c>
      <c r="C541" s="3" t="s">
        <v>912</v>
      </c>
      <c r="D541" s="3" t="s">
        <v>912</v>
      </c>
      <c r="E541" s="1"/>
      <c r="F541" s="8" t="s">
        <v>66</v>
      </c>
    </row>
    <row r="542" spans="1:6" x14ac:dyDescent="0.2">
      <c r="A542" s="3">
        <v>540</v>
      </c>
      <c r="B542" s="3" t="s">
        <v>913</v>
      </c>
      <c r="C542" s="3" t="s">
        <v>912</v>
      </c>
      <c r="D542" s="3" t="s">
        <v>912</v>
      </c>
      <c r="E542" s="1"/>
      <c r="F542" s="8" t="s">
        <v>66</v>
      </c>
    </row>
    <row r="543" spans="1:6" x14ac:dyDescent="0.2">
      <c r="A543" s="3">
        <v>541</v>
      </c>
      <c r="B543" s="3" t="s">
        <v>914</v>
      </c>
      <c r="C543" s="3" t="s">
        <v>912</v>
      </c>
      <c r="D543" s="3" t="s">
        <v>912</v>
      </c>
      <c r="E543" s="1"/>
      <c r="F543" s="8" t="s">
        <v>66</v>
      </c>
    </row>
    <row r="544" spans="1:6" x14ac:dyDescent="0.2">
      <c r="A544" s="3">
        <v>542</v>
      </c>
      <c r="B544" s="3" t="s">
        <v>915</v>
      </c>
      <c r="C544" s="3" t="s">
        <v>916</v>
      </c>
      <c r="D544" s="3" t="s">
        <v>916</v>
      </c>
      <c r="E544" s="1"/>
      <c r="F544" s="8" t="s">
        <v>66</v>
      </c>
    </row>
    <row r="545" spans="1:6" x14ac:dyDescent="0.2">
      <c r="A545" s="3">
        <v>543</v>
      </c>
      <c r="B545" s="3" t="s">
        <v>917</v>
      </c>
      <c r="C545" s="3" t="s">
        <v>916</v>
      </c>
      <c r="D545" s="3" t="s">
        <v>916</v>
      </c>
      <c r="E545" s="1"/>
      <c r="F545" s="8" t="s">
        <v>66</v>
      </c>
    </row>
    <row r="546" spans="1:6" x14ac:dyDescent="0.2">
      <c r="A546" s="3">
        <v>544</v>
      </c>
      <c r="B546" s="3" t="s">
        <v>918</v>
      </c>
      <c r="C546" s="3" t="s">
        <v>919</v>
      </c>
      <c r="D546" s="3" t="s">
        <v>919</v>
      </c>
      <c r="E546" s="1"/>
      <c r="F546" s="8" t="s">
        <v>66</v>
      </c>
    </row>
    <row r="547" spans="1:6" x14ac:dyDescent="0.2">
      <c r="A547" s="3">
        <v>545</v>
      </c>
      <c r="B547" s="3" t="s">
        <v>920</v>
      </c>
      <c r="C547" s="3" t="s">
        <v>921</v>
      </c>
      <c r="D547" s="3" t="s">
        <v>921</v>
      </c>
      <c r="E547" s="1"/>
      <c r="F547" s="8" t="s">
        <v>66</v>
      </c>
    </row>
    <row r="548" spans="1:6" x14ac:dyDescent="0.2">
      <c r="A548" s="3">
        <v>546</v>
      </c>
      <c r="B548" s="3" t="s">
        <v>922</v>
      </c>
      <c r="C548" s="3" t="s">
        <v>923</v>
      </c>
      <c r="D548" s="3" t="s">
        <v>923</v>
      </c>
      <c r="E548" s="1"/>
      <c r="F548" s="8" t="s">
        <v>66</v>
      </c>
    </row>
    <row r="549" spans="1:6" x14ac:dyDescent="0.2">
      <c r="A549" s="3">
        <v>547</v>
      </c>
      <c r="B549" s="3" t="s">
        <v>924</v>
      </c>
      <c r="C549" s="3" t="s">
        <v>923</v>
      </c>
      <c r="D549" s="3" t="s">
        <v>923</v>
      </c>
      <c r="E549" s="1"/>
      <c r="F549" s="8" t="s">
        <v>66</v>
      </c>
    </row>
    <row r="550" spans="1:6" x14ac:dyDescent="0.2">
      <c r="A550" s="3">
        <v>548</v>
      </c>
      <c r="B550" s="3" t="s">
        <v>925</v>
      </c>
      <c r="C550" s="3" t="s">
        <v>926</v>
      </c>
      <c r="D550" s="3" t="s">
        <v>926</v>
      </c>
      <c r="E550" s="1"/>
      <c r="F550" s="8" t="s">
        <v>66</v>
      </c>
    </row>
    <row r="551" spans="1:6" x14ac:dyDescent="0.2">
      <c r="A551" s="3">
        <v>549</v>
      </c>
      <c r="B551" s="3" t="s">
        <v>927</v>
      </c>
      <c r="C551" s="3" t="s">
        <v>926</v>
      </c>
      <c r="D551" s="3" t="s">
        <v>926</v>
      </c>
      <c r="E551" s="1"/>
      <c r="F551" s="8" t="s">
        <v>66</v>
      </c>
    </row>
    <row r="552" spans="1:6" x14ac:dyDescent="0.2">
      <c r="A552" s="3">
        <v>550</v>
      </c>
      <c r="B552" s="3" t="s">
        <v>928</v>
      </c>
      <c r="C552" s="3" t="s">
        <v>929</v>
      </c>
      <c r="D552" s="3" t="s">
        <v>929</v>
      </c>
      <c r="E552" s="1"/>
      <c r="F552" s="8" t="s">
        <v>66</v>
      </c>
    </row>
    <row r="553" spans="1:6" x14ac:dyDescent="0.2">
      <c r="A553" s="3">
        <v>551</v>
      </c>
      <c r="B553" s="3" t="s">
        <v>930</v>
      </c>
      <c r="C553" s="3" t="s">
        <v>931</v>
      </c>
      <c r="D553" s="3" t="s">
        <v>931</v>
      </c>
      <c r="E553" s="1"/>
      <c r="F553" s="8" t="s">
        <v>66</v>
      </c>
    </row>
    <row r="554" spans="1:6" x14ac:dyDescent="0.2">
      <c r="A554" s="3">
        <v>552</v>
      </c>
      <c r="B554" s="3" t="s">
        <v>932</v>
      </c>
      <c r="C554" s="3" t="s">
        <v>931</v>
      </c>
      <c r="D554" s="3" t="s">
        <v>931</v>
      </c>
      <c r="E554" s="1"/>
      <c r="F554" s="8" t="s">
        <v>66</v>
      </c>
    </row>
    <row r="555" spans="1:6" x14ac:dyDescent="0.2">
      <c r="A555" s="3">
        <v>553</v>
      </c>
      <c r="B555" s="3" t="s">
        <v>933</v>
      </c>
      <c r="C555" s="3" t="s">
        <v>934</v>
      </c>
      <c r="D555" s="3" t="s">
        <v>934</v>
      </c>
      <c r="E555" s="1"/>
      <c r="F555" s="8" t="s">
        <v>66</v>
      </c>
    </row>
    <row r="556" spans="1:6" x14ac:dyDescent="0.2">
      <c r="A556" s="3">
        <v>554</v>
      </c>
      <c r="B556" s="3" t="s">
        <v>935</v>
      </c>
      <c r="C556" s="3" t="s">
        <v>936</v>
      </c>
      <c r="D556" s="3" t="s">
        <v>936</v>
      </c>
      <c r="E556" s="1"/>
      <c r="F556" s="8" t="s">
        <v>66</v>
      </c>
    </row>
    <row r="557" spans="1:6" x14ac:dyDescent="0.2">
      <c r="A557" s="3">
        <v>555</v>
      </c>
      <c r="B557" s="3" t="s">
        <v>937</v>
      </c>
      <c r="C557" s="3" t="s">
        <v>936</v>
      </c>
      <c r="D557" s="3" t="s">
        <v>936</v>
      </c>
      <c r="E557" s="1"/>
      <c r="F557" s="8" t="s">
        <v>66</v>
      </c>
    </row>
    <row r="558" spans="1:6" x14ac:dyDescent="0.2">
      <c r="A558" s="3">
        <v>556</v>
      </c>
      <c r="B558" s="3" t="s">
        <v>938</v>
      </c>
      <c r="C558" s="3" t="s">
        <v>939</v>
      </c>
      <c r="D558" s="3" t="s">
        <v>939</v>
      </c>
      <c r="E558" s="1"/>
      <c r="F558" s="8" t="s">
        <v>66</v>
      </c>
    </row>
    <row r="559" spans="1:6" x14ac:dyDescent="0.2">
      <c r="A559" s="3">
        <v>557</v>
      </c>
      <c r="B559" s="3" t="s">
        <v>940</v>
      </c>
      <c r="C559" s="3" t="s">
        <v>941</v>
      </c>
      <c r="D559" s="3" t="s">
        <v>941</v>
      </c>
      <c r="E559" s="1"/>
      <c r="F559" s="8" t="s">
        <v>66</v>
      </c>
    </row>
    <row r="560" spans="1:6" x14ac:dyDescent="0.2">
      <c r="A560" s="3">
        <v>558</v>
      </c>
      <c r="B560" s="3" t="s">
        <v>942</v>
      </c>
      <c r="C560" s="3" t="s">
        <v>943</v>
      </c>
      <c r="D560" s="3" t="s">
        <v>943</v>
      </c>
      <c r="E560" s="1"/>
      <c r="F560" s="8" t="s">
        <v>66</v>
      </c>
    </row>
    <row r="561" spans="1:6" x14ac:dyDescent="0.2">
      <c r="A561" s="3">
        <v>559</v>
      </c>
      <c r="B561" s="3" t="s">
        <v>944</v>
      </c>
      <c r="C561" s="3" t="s">
        <v>943</v>
      </c>
      <c r="D561" s="3" t="s">
        <v>943</v>
      </c>
      <c r="E561" s="1"/>
      <c r="F561" s="8" t="s">
        <v>66</v>
      </c>
    </row>
    <row r="562" spans="1:6" x14ac:dyDescent="0.2">
      <c r="A562" s="3">
        <v>560</v>
      </c>
      <c r="B562" s="3" t="s">
        <v>945</v>
      </c>
      <c r="C562" s="3" t="s">
        <v>946</v>
      </c>
      <c r="D562" s="3" t="s">
        <v>946</v>
      </c>
      <c r="E562" s="1"/>
      <c r="F562" s="8" t="s">
        <v>66</v>
      </c>
    </row>
    <row r="563" spans="1:6" x14ac:dyDescent="0.2">
      <c r="A563" s="3">
        <v>561</v>
      </c>
      <c r="B563" s="3" t="s">
        <v>947</v>
      </c>
      <c r="C563" s="3" t="s">
        <v>948</v>
      </c>
      <c r="D563" s="3" t="s">
        <v>948</v>
      </c>
      <c r="E563" s="1"/>
      <c r="F563" s="8" t="s">
        <v>66</v>
      </c>
    </row>
    <row r="564" spans="1:6" x14ac:dyDescent="0.2">
      <c r="A564" s="3">
        <v>562</v>
      </c>
      <c r="B564" s="3" t="s">
        <v>949</v>
      </c>
      <c r="C564" s="3" t="s">
        <v>950</v>
      </c>
      <c r="D564" s="3" t="s">
        <v>950</v>
      </c>
      <c r="E564" s="1"/>
      <c r="F564" s="8" t="s">
        <v>66</v>
      </c>
    </row>
    <row r="565" spans="1:6" x14ac:dyDescent="0.2">
      <c r="A565" s="3">
        <v>563</v>
      </c>
      <c r="B565" s="3" t="s">
        <v>951</v>
      </c>
      <c r="C565" s="3" t="s">
        <v>950</v>
      </c>
      <c r="D565" s="3" t="s">
        <v>950</v>
      </c>
      <c r="E565" s="1"/>
      <c r="F565" s="8" t="s">
        <v>66</v>
      </c>
    </row>
    <row r="566" spans="1:6" x14ac:dyDescent="0.2">
      <c r="A566" s="3">
        <v>564</v>
      </c>
      <c r="B566" s="3" t="s">
        <v>952</v>
      </c>
      <c r="C566" s="3" t="s">
        <v>953</v>
      </c>
      <c r="D566" s="3" t="s">
        <v>953</v>
      </c>
      <c r="E566" s="1"/>
      <c r="F566" s="8" t="s">
        <v>66</v>
      </c>
    </row>
    <row r="567" spans="1:6" x14ac:dyDescent="0.2">
      <c r="A567" s="3">
        <v>565</v>
      </c>
      <c r="B567" s="3" t="s">
        <v>954</v>
      </c>
      <c r="C567" s="3" t="s">
        <v>955</v>
      </c>
      <c r="D567" s="3" t="s">
        <v>955</v>
      </c>
      <c r="E567" s="1"/>
      <c r="F567" s="8" t="s">
        <v>66</v>
      </c>
    </row>
    <row r="568" spans="1:6" x14ac:dyDescent="0.2">
      <c r="A568" s="3">
        <v>566</v>
      </c>
      <c r="B568" s="3" t="s">
        <v>956</v>
      </c>
      <c r="C568" s="3" t="s">
        <v>957</v>
      </c>
      <c r="D568" s="3" t="s">
        <v>957</v>
      </c>
      <c r="E568" s="1"/>
      <c r="F568" s="8" t="s">
        <v>66</v>
      </c>
    </row>
    <row r="569" spans="1:6" x14ac:dyDescent="0.2">
      <c r="A569" s="3">
        <v>567</v>
      </c>
      <c r="B569" s="3" t="s">
        <v>958</v>
      </c>
      <c r="C569" s="3" t="s">
        <v>959</v>
      </c>
      <c r="D569" s="3" t="s">
        <v>959</v>
      </c>
      <c r="E569" s="1"/>
      <c r="F569" s="8" t="s">
        <v>66</v>
      </c>
    </row>
    <row r="570" spans="1:6" x14ac:dyDescent="0.2">
      <c r="A570" s="3">
        <v>568</v>
      </c>
      <c r="B570" s="3" t="s">
        <v>960</v>
      </c>
      <c r="C570" s="3" t="s">
        <v>959</v>
      </c>
      <c r="D570" s="3" t="s">
        <v>959</v>
      </c>
      <c r="E570" s="1"/>
      <c r="F570" s="8" t="s">
        <v>66</v>
      </c>
    </row>
    <row r="571" spans="1:6" x14ac:dyDescent="0.2">
      <c r="A571" s="3">
        <v>569</v>
      </c>
      <c r="B571" s="3" t="s">
        <v>961</v>
      </c>
      <c r="C571" s="3" t="s">
        <v>962</v>
      </c>
      <c r="D571" s="3" t="s">
        <v>962</v>
      </c>
      <c r="E571" s="1"/>
      <c r="F571" s="8" t="s">
        <v>66</v>
      </c>
    </row>
    <row r="572" spans="1:6" x14ac:dyDescent="0.2">
      <c r="A572" s="3">
        <v>570</v>
      </c>
      <c r="B572" s="3" t="s">
        <v>963</v>
      </c>
      <c r="C572" s="3" t="s">
        <v>962</v>
      </c>
      <c r="D572" s="3" t="s">
        <v>962</v>
      </c>
      <c r="E572" s="1"/>
      <c r="F572" s="8" t="s">
        <v>66</v>
      </c>
    </row>
    <row r="573" spans="1:6" x14ac:dyDescent="0.2">
      <c r="A573" s="3">
        <v>571</v>
      </c>
      <c r="B573" s="3" t="s">
        <v>964</v>
      </c>
      <c r="C573" s="3" t="s">
        <v>965</v>
      </c>
      <c r="D573" s="3" t="s">
        <v>965</v>
      </c>
      <c r="E573" s="1"/>
      <c r="F573" s="8" t="s">
        <v>66</v>
      </c>
    </row>
    <row r="574" spans="1:6" x14ac:dyDescent="0.2">
      <c r="A574" s="3">
        <v>572</v>
      </c>
      <c r="B574" s="3" t="s">
        <v>966</v>
      </c>
      <c r="C574" s="3" t="s">
        <v>965</v>
      </c>
      <c r="D574" s="3" t="s">
        <v>965</v>
      </c>
      <c r="E574" s="1"/>
      <c r="F574" s="8" t="s">
        <v>66</v>
      </c>
    </row>
    <row r="575" spans="1:6" x14ac:dyDescent="0.2">
      <c r="A575" s="3">
        <v>573</v>
      </c>
      <c r="B575" s="3" t="s">
        <v>967</v>
      </c>
      <c r="C575" s="3" t="s">
        <v>968</v>
      </c>
      <c r="D575" s="3" t="s">
        <v>968</v>
      </c>
      <c r="E575" s="1"/>
      <c r="F575" s="8" t="s">
        <v>66</v>
      </c>
    </row>
    <row r="576" spans="1:6" x14ac:dyDescent="0.2">
      <c r="A576" s="3">
        <v>574</v>
      </c>
      <c r="B576" s="3" t="s">
        <v>969</v>
      </c>
      <c r="C576" s="3" t="s">
        <v>968</v>
      </c>
      <c r="D576" s="3" t="s">
        <v>968</v>
      </c>
      <c r="E576" s="1"/>
      <c r="F576" s="8" t="s">
        <v>66</v>
      </c>
    </row>
    <row r="577" spans="1:6" x14ac:dyDescent="0.2">
      <c r="A577" s="3">
        <v>575</v>
      </c>
      <c r="B577" s="3" t="s">
        <v>970</v>
      </c>
      <c r="C577" s="3" t="s">
        <v>971</v>
      </c>
      <c r="D577" s="3" t="s">
        <v>971</v>
      </c>
      <c r="E577" s="1"/>
      <c r="F577" s="8" t="s">
        <v>66</v>
      </c>
    </row>
    <row r="578" spans="1:6" x14ac:dyDescent="0.2">
      <c r="A578" s="3">
        <v>576</v>
      </c>
      <c r="B578" s="3" t="s">
        <v>972</v>
      </c>
      <c r="C578" s="3" t="s">
        <v>973</v>
      </c>
      <c r="D578" s="3" t="s">
        <v>973</v>
      </c>
      <c r="E578" s="1"/>
      <c r="F578" s="8" t="s">
        <v>66</v>
      </c>
    </row>
    <row r="579" spans="1:6" x14ac:dyDescent="0.2">
      <c r="A579" s="3">
        <v>577</v>
      </c>
      <c r="B579" s="3" t="s">
        <v>974</v>
      </c>
      <c r="C579" s="3" t="s">
        <v>975</v>
      </c>
      <c r="D579" s="3" t="s">
        <v>975</v>
      </c>
      <c r="E579" s="1"/>
      <c r="F579" s="8" t="s">
        <v>66</v>
      </c>
    </row>
    <row r="580" spans="1:6" x14ac:dyDescent="0.2">
      <c r="A580" s="3">
        <v>578</v>
      </c>
      <c r="B580" s="3" t="s">
        <v>976</v>
      </c>
      <c r="C580" s="3" t="s">
        <v>977</v>
      </c>
      <c r="D580" s="3" t="s">
        <v>977</v>
      </c>
      <c r="E580" s="1"/>
      <c r="F580" s="8" t="s">
        <v>66</v>
      </c>
    </row>
    <row r="581" spans="1:6" x14ac:dyDescent="0.2">
      <c r="A581" s="3">
        <v>579</v>
      </c>
      <c r="B581" s="3" t="s">
        <v>978</v>
      </c>
      <c r="C581" s="3" t="s">
        <v>977</v>
      </c>
      <c r="D581" s="3" t="s">
        <v>977</v>
      </c>
      <c r="E581" s="1"/>
      <c r="F581" s="8" t="s">
        <v>66</v>
      </c>
    </row>
    <row r="582" spans="1:6" x14ac:dyDescent="0.2">
      <c r="A582" s="3">
        <v>580</v>
      </c>
      <c r="B582" s="3" t="s">
        <v>979</v>
      </c>
      <c r="C582" s="3" t="s">
        <v>980</v>
      </c>
      <c r="D582" s="3" t="s">
        <v>980</v>
      </c>
      <c r="E582" s="1"/>
      <c r="F582" s="8" t="s">
        <v>66</v>
      </c>
    </row>
    <row r="583" spans="1:6" x14ac:dyDescent="0.2">
      <c r="A583" s="3">
        <v>581</v>
      </c>
      <c r="B583" s="3" t="s">
        <v>981</v>
      </c>
      <c r="C583" s="3" t="s">
        <v>982</v>
      </c>
      <c r="D583" s="3" t="s">
        <v>982</v>
      </c>
      <c r="E583" s="1"/>
      <c r="F583" s="8" t="s">
        <v>66</v>
      </c>
    </row>
    <row r="584" spans="1:6" x14ac:dyDescent="0.2">
      <c r="A584" s="3">
        <v>582</v>
      </c>
      <c r="B584" s="3" t="s">
        <v>983</v>
      </c>
      <c r="C584" s="3" t="s">
        <v>982</v>
      </c>
      <c r="D584" s="3" t="s">
        <v>982</v>
      </c>
      <c r="E584" s="1"/>
      <c r="F584" s="8" t="s">
        <v>66</v>
      </c>
    </row>
    <row r="585" spans="1:6" x14ac:dyDescent="0.2">
      <c r="A585" s="3">
        <v>583</v>
      </c>
      <c r="B585" s="3" t="s">
        <v>984</v>
      </c>
      <c r="C585" s="3" t="s">
        <v>982</v>
      </c>
      <c r="D585" s="3" t="s">
        <v>982</v>
      </c>
      <c r="E585" s="1"/>
      <c r="F585" s="8" t="s">
        <v>66</v>
      </c>
    </row>
    <row r="586" spans="1:6" x14ac:dyDescent="0.2">
      <c r="A586" s="3">
        <v>584</v>
      </c>
      <c r="B586" s="3" t="s">
        <v>985</v>
      </c>
      <c r="C586" s="3" t="s">
        <v>986</v>
      </c>
      <c r="D586" s="3" t="s">
        <v>986</v>
      </c>
      <c r="E586" s="1"/>
      <c r="F586" s="8" t="s">
        <v>66</v>
      </c>
    </row>
    <row r="587" spans="1:6" x14ac:dyDescent="0.2">
      <c r="A587" s="3">
        <v>585</v>
      </c>
      <c r="B587" s="3" t="s">
        <v>987</v>
      </c>
      <c r="C587" s="3" t="s">
        <v>988</v>
      </c>
      <c r="D587" s="3" t="s">
        <v>988</v>
      </c>
      <c r="E587" s="1"/>
      <c r="F587" s="8" t="s">
        <v>66</v>
      </c>
    </row>
    <row r="588" spans="1:6" x14ac:dyDescent="0.2">
      <c r="A588" s="3">
        <v>586</v>
      </c>
      <c r="B588" s="3" t="s">
        <v>989</v>
      </c>
      <c r="C588" s="3" t="s">
        <v>990</v>
      </c>
      <c r="D588" s="3" t="s">
        <v>990</v>
      </c>
      <c r="E588" s="1"/>
      <c r="F588" s="8" t="s">
        <v>66</v>
      </c>
    </row>
    <row r="589" spans="1:6" x14ac:dyDescent="0.2">
      <c r="A589" s="3">
        <v>587</v>
      </c>
      <c r="B589" s="3" t="s">
        <v>991</v>
      </c>
      <c r="C589" s="3" t="s">
        <v>990</v>
      </c>
      <c r="D589" s="3" t="s">
        <v>990</v>
      </c>
      <c r="E589" s="1"/>
      <c r="F589" s="8" t="s">
        <v>66</v>
      </c>
    </row>
    <row r="590" spans="1:6" x14ac:dyDescent="0.2">
      <c r="A590" s="3">
        <v>588</v>
      </c>
      <c r="B590" s="3" t="s">
        <v>992</v>
      </c>
      <c r="C590" s="3" t="s">
        <v>993</v>
      </c>
      <c r="D590" s="3" t="s">
        <v>993</v>
      </c>
      <c r="E590" s="1"/>
      <c r="F590" s="8" t="s">
        <v>66</v>
      </c>
    </row>
    <row r="591" spans="1:6" x14ac:dyDescent="0.2">
      <c r="A591" s="3">
        <v>589</v>
      </c>
      <c r="B591" s="3" t="s">
        <v>994</v>
      </c>
      <c r="C591" s="3" t="s">
        <v>993</v>
      </c>
      <c r="D591" s="3" t="s">
        <v>993</v>
      </c>
      <c r="E591" s="1"/>
      <c r="F591" s="8" t="s">
        <v>66</v>
      </c>
    </row>
    <row r="592" spans="1:6" x14ac:dyDescent="0.2">
      <c r="A592" s="3">
        <v>590</v>
      </c>
      <c r="B592" s="3" t="s">
        <v>995</v>
      </c>
      <c r="C592" s="3" t="s">
        <v>993</v>
      </c>
      <c r="D592" s="3" t="s">
        <v>993</v>
      </c>
      <c r="E592" s="1"/>
      <c r="F592" s="8" t="s">
        <v>66</v>
      </c>
    </row>
    <row r="593" spans="1:6" x14ac:dyDescent="0.2">
      <c r="A593" s="3">
        <v>591</v>
      </c>
      <c r="B593" s="3" t="s">
        <v>996</v>
      </c>
      <c r="C593" s="3" t="s">
        <v>993</v>
      </c>
      <c r="D593" s="3" t="s">
        <v>993</v>
      </c>
      <c r="E593" s="1"/>
      <c r="F593" s="8" t="s">
        <v>66</v>
      </c>
    </row>
    <row r="594" spans="1:6" x14ac:dyDescent="0.2">
      <c r="A594" s="3">
        <v>592</v>
      </c>
      <c r="B594" s="3" t="s">
        <v>997</v>
      </c>
      <c r="C594" s="3" t="s">
        <v>993</v>
      </c>
      <c r="D594" s="3" t="s">
        <v>993</v>
      </c>
      <c r="E594" s="1"/>
      <c r="F594" s="8" t="s">
        <v>66</v>
      </c>
    </row>
    <row r="595" spans="1:6" x14ac:dyDescent="0.2">
      <c r="A595" s="3">
        <v>593</v>
      </c>
      <c r="B595" s="3" t="s">
        <v>998</v>
      </c>
      <c r="C595" s="3" t="s">
        <v>993</v>
      </c>
      <c r="D595" s="3" t="s">
        <v>993</v>
      </c>
      <c r="E595" s="1"/>
      <c r="F595" s="8" t="s">
        <v>66</v>
      </c>
    </row>
    <row r="596" spans="1:6" x14ac:dyDescent="0.2">
      <c r="A596" s="3">
        <v>594</v>
      </c>
      <c r="B596" s="3" t="s">
        <v>999</v>
      </c>
      <c r="C596" s="3" t="s">
        <v>1000</v>
      </c>
      <c r="D596" s="3" t="s">
        <v>1000</v>
      </c>
      <c r="E596" s="1"/>
      <c r="F596" s="8" t="s">
        <v>66</v>
      </c>
    </row>
    <row r="597" spans="1:6" x14ac:dyDescent="0.2">
      <c r="A597" s="3">
        <v>595</v>
      </c>
      <c r="B597" s="3" t="s">
        <v>1001</v>
      </c>
      <c r="C597" s="3" t="s">
        <v>1002</v>
      </c>
      <c r="D597" s="3" t="s">
        <v>1002</v>
      </c>
      <c r="E597" s="1"/>
      <c r="F597" s="8" t="s">
        <v>66</v>
      </c>
    </row>
    <row r="598" spans="1:6" x14ac:dyDescent="0.2">
      <c r="A598" s="3">
        <v>596</v>
      </c>
      <c r="B598" s="3" t="s">
        <v>1003</v>
      </c>
      <c r="C598" s="3" t="s">
        <v>1004</v>
      </c>
      <c r="D598" s="3" t="s">
        <v>1004</v>
      </c>
      <c r="E598" s="1"/>
      <c r="F598" s="8" t="s">
        <v>66</v>
      </c>
    </row>
    <row r="599" spans="1:6" x14ac:dyDescent="0.2">
      <c r="A599" s="3">
        <v>597</v>
      </c>
      <c r="B599" s="3" t="s">
        <v>1005</v>
      </c>
      <c r="C599" s="3" t="s">
        <v>1006</v>
      </c>
      <c r="D599" s="3" t="s">
        <v>1006</v>
      </c>
      <c r="E599" s="1"/>
      <c r="F599" s="8" t="s">
        <v>66</v>
      </c>
    </row>
    <row r="600" spans="1:6" x14ac:dyDescent="0.2">
      <c r="A600" s="3">
        <v>598</v>
      </c>
      <c r="B600" s="3" t="s">
        <v>1007</v>
      </c>
      <c r="C600" s="3" t="s">
        <v>1006</v>
      </c>
      <c r="D600" s="3" t="s">
        <v>1006</v>
      </c>
      <c r="E600" s="1"/>
      <c r="F600" s="8" t="s">
        <v>66</v>
      </c>
    </row>
    <row r="601" spans="1:6" x14ac:dyDescent="0.2">
      <c r="A601" s="3">
        <v>599</v>
      </c>
      <c r="B601" s="3" t="s">
        <v>1008</v>
      </c>
      <c r="C601" s="3" t="s">
        <v>1006</v>
      </c>
      <c r="D601" s="3" t="s">
        <v>1006</v>
      </c>
      <c r="E601" s="1"/>
      <c r="F601" s="8" t="s">
        <v>66</v>
      </c>
    </row>
    <row r="602" spans="1:6" x14ac:dyDescent="0.2">
      <c r="A602" s="3">
        <v>600</v>
      </c>
      <c r="B602" s="3" t="s">
        <v>1009</v>
      </c>
      <c r="C602" s="3" t="s">
        <v>1006</v>
      </c>
      <c r="D602" s="3" t="s">
        <v>1006</v>
      </c>
      <c r="E602" s="1"/>
      <c r="F602" s="8" t="s">
        <v>66</v>
      </c>
    </row>
    <row r="603" spans="1:6" x14ac:dyDescent="0.2">
      <c r="A603" s="3">
        <v>601</v>
      </c>
      <c r="B603" s="3" t="s">
        <v>1010</v>
      </c>
      <c r="C603" s="3" t="s">
        <v>1006</v>
      </c>
      <c r="D603" s="3" t="s">
        <v>1006</v>
      </c>
      <c r="E603" s="1"/>
      <c r="F603" s="8" t="s">
        <v>66</v>
      </c>
    </row>
    <row r="604" spans="1:6" x14ac:dyDescent="0.2">
      <c r="A604" s="3">
        <v>602</v>
      </c>
      <c r="B604" s="3" t="s">
        <v>1011</v>
      </c>
      <c r="C604" s="3" t="s">
        <v>1006</v>
      </c>
      <c r="D604" s="3" t="s">
        <v>1006</v>
      </c>
      <c r="E604" s="1"/>
      <c r="F604" s="8" t="s">
        <v>66</v>
      </c>
    </row>
    <row r="605" spans="1:6" x14ac:dyDescent="0.2">
      <c r="A605" s="3">
        <v>603</v>
      </c>
      <c r="B605" s="3" t="s">
        <v>1012</v>
      </c>
      <c r="C605" s="3" t="s">
        <v>1013</v>
      </c>
      <c r="D605" s="3" t="s">
        <v>1013</v>
      </c>
      <c r="E605" s="1"/>
      <c r="F605" s="8" t="s">
        <v>66</v>
      </c>
    </row>
    <row r="606" spans="1:6" x14ac:dyDescent="0.2">
      <c r="A606" s="3">
        <v>604</v>
      </c>
      <c r="B606" s="3" t="s">
        <v>1014</v>
      </c>
      <c r="C606" s="3" t="s">
        <v>1013</v>
      </c>
      <c r="D606" s="3" t="s">
        <v>1013</v>
      </c>
      <c r="E606" s="1"/>
      <c r="F606" s="8" t="s">
        <v>66</v>
      </c>
    </row>
    <row r="607" spans="1:6" x14ac:dyDescent="0.2">
      <c r="A607" s="3">
        <v>605</v>
      </c>
      <c r="B607" s="3" t="s">
        <v>1015</v>
      </c>
      <c r="C607" s="3" t="s">
        <v>1016</v>
      </c>
      <c r="D607" s="3" t="s">
        <v>1016</v>
      </c>
      <c r="E607" s="1"/>
      <c r="F607" s="8" t="s">
        <v>66</v>
      </c>
    </row>
    <row r="608" spans="1:6" x14ac:dyDescent="0.2">
      <c r="A608" s="3">
        <v>606</v>
      </c>
      <c r="B608" s="3" t="s">
        <v>1017</v>
      </c>
      <c r="C608" s="3" t="s">
        <v>1018</v>
      </c>
      <c r="D608" s="3" t="s">
        <v>1018</v>
      </c>
      <c r="E608" s="1"/>
      <c r="F608" s="8" t="s">
        <v>66</v>
      </c>
    </row>
    <row r="609" spans="1:6" x14ac:dyDescent="0.2">
      <c r="A609" s="3">
        <v>607</v>
      </c>
      <c r="B609" s="3" t="s">
        <v>1019</v>
      </c>
      <c r="C609" s="3" t="s">
        <v>1002</v>
      </c>
      <c r="D609" s="3" t="s">
        <v>1002</v>
      </c>
      <c r="E609" s="1"/>
      <c r="F609" s="8" t="s">
        <v>66</v>
      </c>
    </row>
    <row r="610" spans="1:6" x14ac:dyDescent="0.2">
      <c r="A610" s="3">
        <v>608</v>
      </c>
      <c r="B610" s="3" t="s">
        <v>1020</v>
      </c>
      <c r="C610" s="3" t="s">
        <v>1021</v>
      </c>
      <c r="D610" s="3" t="s">
        <v>1021</v>
      </c>
      <c r="E610" s="1"/>
      <c r="F610" s="8" t="s">
        <v>66</v>
      </c>
    </row>
    <row r="611" spans="1:6" x14ac:dyDescent="0.2">
      <c r="A611" s="3">
        <v>609</v>
      </c>
      <c r="B611" s="3" t="s">
        <v>1022</v>
      </c>
      <c r="C611" s="3" t="s">
        <v>1023</v>
      </c>
      <c r="D611" s="3" t="s">
        <v>1023</v>
      </c>
      <c r="E611" s="1"/>
      <c r="F611" s="8" t="s">
        <v>66</v>
      </c>
    </row>
    <row r="612" spans="1:6" x14ac:dyDescent="0.2">
      <c r="A612" s="3">
        <v>610</v>
      </c>
      <c r="B612" s="3" t="s">
        <v>1024</v>
      </c>
      <c r="C612" s="3" t="s">
        <v>1023</v>
      </c>
      <c r="D612" s="3" t="s">
        <v>1023</v>
      </c>
      <c r="E612" s="1"/>
      <c r="F612" s="8" t="s">
        <v>66</v>
      </c>
    </row>
    <row r="613" spans="1:6" x14ac:dyDescent="0.2">
      <c r="A613" s="3">
        <v>611</v>
      </c>
      <c r="B613" s="3" t="s">
        <v>1025</v>
      </c>
      <c r="C613" s="3" t="s">
        <v>1026</v>
      </c>
      <c r="D613" s="3" t="s">
        <v>1026</v>
      </c>
      <c r="E613" s="1"/>
      <c r="F613" s="8" t="s">
        <v>66</v>
      </c>
    </row>
    <row r="614" spans="1:6" x14ac:dyDescent="0.2">
      <c r="A614" s="3">
        <v>612</v>
      </c>
      <c r="B614" s="3" t="s">
        <v>1027</v>
      </c>
      <c r="C614" s="3" t="s">
        <v>1026</v>
      </c>
      <c r="D614" s="3" t="s">
        <v>1026</v>
      </c>
      <c r="E614" s="1"/>
      <c r="F614" s="8" t="s">
        <v>66</v>
      </c>
    </row>
    <row r="615" spans="1:6" x14ac:dyDescent="0.2">
      <c r="A615" s="3">
        <v>613</v>
      </c>
      <c r="B615" s="3" t="s">
        <v>1028</v>
      </c>
      <c r="C615" s="3" t="s">
        <v>1029</v>
      </c>
      <c r="D615" s="3" t="s">
        <v>1029</v>
      </c>
      <c r="E615" s="1"/>
      <c r="F615" s="8" t="s">
        <v>66</v>
      </c>
    </row>
    <row r="616" spans="1:6" x14ac:dyDescent="0.2">
      <c r="A616" s="3">
        <v>614</v>
      </c>
      <c r="B616" s="3" t="s">
        <v>1030</v>
      </c>
      <c r="C616" s="3" t="s">
        <v>1031</v>
      </c>
      <c r="D616" s="3" t="s">
        <v>1031</v>
      </c>
      <c r="E616" s="1"/>
      <c r="F616" s="8" t="s">
        <v>66</v>
      </c>
    </row>
    <row r="617" spans="1:6" x14ac:dyDescent="0.2">
      <c r="A617" s="3">
        <v>615</v>
      </c>
      <c r="B617" s="3" t="s">
        <v>1032</v>
      </c>
      <c r="C617" s="3" t="s">
        <v>1033</v>
      </c>
      <c r="D617" s="3" t="s">
        <v>1033</v>
      </c>
      <c r="E617" s="1"/>
      <c r="F617" s="8" t="s">
        <v>66</v>
      </c>
    </row>
    <row r="618" spans="1:6" x14ac:dyDescent="0.2">
      <c r="A618" s="3">
        <v>616</v>
      </c>
      <c r="B618" s="3" t="s">
        <v>1034</v>
      </c>
      <c r="C618" s="3" t="s">
        <v>1035</v>
      </c>
      <c r="D618" s="3" t="s">
        <v>1035</v>
      </c>
      <c r="E618" s="1"/>
      <c r="F618" s="8" t="s">
        <v>66</v>
      </c>
    </row>
    <row r="619" spans="1:6" x14ac:dyDescent="0.2">
      <c r="A619" s="3">
        <v>617</v>
      </c>
      <c r="B619" s="3" t="s">
        <v>1036</v>
      </c>
      <c r="C619" s="3" t="s">
        <v>1037</v>
      </c>
      <c r="D619" s="3" t="s">
        <v>1037</v>
      </c>
      <c r="E619" s="1"/>
      <c r="F619" s="8" t="s">
        <v>66</v>
      </c>
    </row>
    <row r="620" spans="1:6" x14ac:dyDescent="0.2">
      <c r="A620" s="3">
        <v>618</v>
      </c>
      <c r="B620" s="3" t="s">
        <v>1038</v>
      </c>
      <c r="C620" s="3" t="s">
        <v>1039</v>
      </c>
      <c r="D620" s="3" t="s">
        <v>1039</v>
      </c>
      <c r="E620" s="1"/>
      <c r="F620" s="8" t="s">
        <v>66</v>
      </c>
    </row>
    <row r="621" spans="1:6" x14ac:dyDescent="0.2">
      <c r="A621" s="3">
        <v>619</v>
      </c>
      <c r="B621" s="3" t="s">
        <v>1040</v>
      </c>
      <c r="C621" s="3" t="s">
        <v>1041</v>
      </c>
      <c r="D621" s="3" t="s">
        <v>1041</v>
      </c>
      <c r="E621" s="1"/>
      <c r="F621" s="8" t="s">
        <v>66</v>
      </c>
    </row>
    <row r="622" spans="1:6" x14ac:dyDescent="0.2">
      <c r="A622" s="3">
        <v>620</v>
      </c>
      <c r="B622" s="3" t="s">
        <v>1042</v>
      </c>
      <c r="C622" s="3" t="s">
        <v>1041</v>
      </c>
      <c r="D622" s="3" t="s">
        <v>1041</v>
      </c>
      <c r="E622" s="1"/>
      <c r="F622" s="8" t="s">
        <v>66</v>
      </c>
    </row>
    <row r="623" spans="1:6" x14ac:dyDescent="0.2">
      <c r="A623" s="3">
        <v>621</v>
      </c>
      <c r="B623" s="3" t="s">
        <v>1043</v>
      </c>
      <c r="C623" s="3" t="s">
        <v>1041</v>
      </c>
      <c r="D623" s="3" t="s">
        <v>1041</v>
      </c>
      <c r="E623" s="1"/>
      <c r="F623" s="8" t="s">
        <v>66</v>
      </c>
    </row>
    <row r="624" spans="1:6" x14ac:dyDescent="0.2">
      <c r="A624" s="3">
        <v>622</v>
      </c>
      <c r="B624" s="3" t="s">
        <v>1044</v>
      </c>
      <c r="C624" s="3" t="s">
        <v>1041</v>
      </c>
      <c r="D624" s="3" t="s">
        <v>1041</v>
      </c>
      <c r="E624" s="1"/>
      <c r="F624" s="8" t="s">
        <v>66</v>
      </c>
    </row>
    <row r="625" spans="1:6" x14ac:dyDescent="0.2">
      <c r="A625" s="3">
        <v>623</v>
      </c>
      <c r="B625" s="3" t="s">
        <v>1045</v>
      </c>
      <c r="C625" s="3" t="s">
        <v>1041</v>
      </c>
      <c r="D625" s="3" t="s">
        <v>1041</v>
      </c>
      <c r="E625" s="1"/>
      <c r="F625" s="8" t="s">
        <v>66</v>
      </c>
    </row>
    <row r="626" spans="1:6" x14ac:dyDescent="0.2">
      <c r="A626" s="3">
        <v>624</v>
      </c>
      <c r="B626" s="3" t="s">
        <v>1046</v>
      </c>
      <c r="C626" s="3" t="s">
        <v>1041</v>
      </c>
      <c r="D626" s="3" t="s">
        <v>1041</v>
      </c>
      <c r="E626" s="1"/>
      <c r="F626" s="8" t="s">
        <v>66</v>
      </c>
    </row>
    <row r="627" spans="1:6" x14ac:dyDescent="0.2">
      <c r="A627" s="3">
        <v>625</v>
      </c>
      <c r="B627" s="3" t="s">
        <v>1047</v>
      </c>
      <c r="C627" s="3" t="s">
        <v>1048</v>
      </c>
      <c r="D627" s="3" t="s">
        <v>1048</v>
      </c>
      <c r="E627" s="1"/>
      <c r="F627" s="8" t="s">
        <v>66</v>
      </c>
    </row>
    <row r="628" spans="1:6" x14ac:dyDescent="0.2">
      <c r="A628" s="3">
        <v>626</v>
      </c>
      <c r="B628" s="3" t="s">
        <v>1049</v>
      </c>
      <c r="C628" s="3" t="s">
        <v>1048</v>
      </c>
      <c r="D628" s="3" t="s">
        <v>1048</v>
      </c>
      <c r="E628" s="1"/>
      <c r="F628" s="8" t="s">
        <v>66</v>
      </c>
    </row>
    <row r="629" spans="1:6" x14ac:dyDescent="0.2">
      <c r="A629" s="3">
        <v>627</v>
      </c>
      <c r="B629" s="3" t="s">
        <v>1050</v>
      </c>
      <c r="C629" s="3" t="s">
        <v>1048</v>
      </c>
      <c r="D629" s="3" t="s">
        <v>1048</v>
      </c>
      <c r="E629" s="1"/>
      <c r="F629" s="8" t="s">
        <v>66</v>
      </c>
    </row>
    <row r="630" spans="1:6" x14ac:dyDescent="0.2">
      <c r="A630" s="3">
        <v>628</v>
      </c>
      <c r="B630" s="3" t="s">
        <v>1051</v>
      </c>
      <c r="C630" s="3" t="s">
        <v>1052</v>
      </c>
      <c r="D630" s="3" t="s">
        <v>1052</v>
      </c>
      <c r="E630" s="1"/>
      <c r="F630" s="8" t="s">
        <v>66</v>
      </c>
    </row>
    <row r="631" spans="1:6" x14ac:dyDescent="0.2">
      <c r="A631" s="3">
        <v>629</v>
      </c>
      <c r="B631" s="3" t="s">
        <v>1053</v>
      </c>
      <c r="C631" s="3" t="s">
        <v>1052</v>
      </c>
      <c r="D631" s="3" t="s">
        <v>1052</v>
      </c>
      <c r="E631" s="1"/>
      <c r="F631" s="8" t="s">
        <v>66</v>
      </c>
    </row>
    <row r="632" spans="1:6" x14ac:dyDescent="0.2">
      <c r="A632" s="3">
        <v>630</v>
      </c>
      <c r="B632" s="3" t="s">
        <v>1054</v>
      </c>
      <c r="C632" s="3" t="s">
        <v>1052</v>
      </c>
      <c r="D632" s="3" t="s">
        <v>1052</v>
      </c>
      <c r="E632" s="1"/>
      <c r="F632" s="8" t="s">
        <v>66</v>
      </c>
    </row>
    <row r="633" spans="1:6" x14ac:dyDescent="0.2">
      <c r="A633" s="3">
        <v>631</v>
      </c>
      <c r="B633" s="3" t="s">
        <v>1055</v>
      </c>
      <c r="C633" s="3" t="s">
        <v>1052</v>
      </c>
      <c r="D633" s="3" t="s">
        <v>1052</v>
      </c>
      <c r="E633" s="1"/>
      <c r="F633" s="8" t="s">
        <v>66</v>
      </c>
    </row>
    <row r="634" spans="1:6" x14ac:dyDescent="0.2">
      <c r="A634" s="3">
        <v>632</v>
      </c>
      <c r="B634" s="3" t="s">
        <v>1056</v>
      </c>
      <c r="C634" s="3" t="s">
        <v>1057</v>
      </c>
      <c r="D634" s="3" t="s">
        <v>1057</v>
      </c>
      <c r="E634" s="1"/>
      <c r="F634" s="8" t="s">
        <v>66</v>
      </c>
    </row>
    <row r="635" spans="1:6" x14ac:dyDescent="0.2">
      <c r="A635" s="3">
        <v>633</v>
      </c>
      <c r="B635" s="3" t="s">
        <v>1058</v>
      </c>
      <c r="C635" s="3" t="s">
        <v>1059</v>
      </c>
      <c r="D635" s="3" t="s">
        <v>1059</v>
      </c>
      <c r="E635" s="1"/>
      <c r="F635" s="8" t="s">
        <v>66</v>
      </c>
    </row>
    <row r="636" spans="1:6" x14ac:dyDescent="0.2">
      <c r="A636" s="3">
        <v>634</v>
      </c>
      <c r="B636" s="3" t="s">
        <v>1060</v>
      </c>
      <c r="C636" s="3" t="s">
        <v>1061</v>
      </c>
      <c r="D636" s="3" t="s">
        <v>1061</v>
      </c>
      <c r="E636" s="1"/>
      <c r="F636" s="8" t="s">
        <v>66</v>
      </c>
    </row>
    <row r="637" spans="1:6" x14ac:dyDescent="0.2">
      <c r="A637" s="3">
        <v>635</v>
      </c>
      <c r="B637" s="3" t="s">
        <v>1062</v>
      </c>
      <c r="C637" s="3" t="s">
        <v>1063</v>
      </c>
      <c r="D637" s="3" t="s">
        <v>1063</v>
      </c>
      <c r="E637" s="1"/>
      <c r="F637" s="8" t="s">
        <v>66</v>
      </c>
    </row>
    <row r="638" spans="1:6" x14ac:dyDescent="0.2">
      <c r="A638" s="3">
        <v>636</v>
      </c>
      <c r="B638" s="3" t="s">
        <v>1064</v>
      </c>
      <c r="C638" s="3" t="s">
        <v>1063</v>
      </c>
      <c r="D638" s="3" t="s">
        <v>1063</v>
      </c>
      <c r="E638" s="1"/>
      <c r="F638" s="8" t="s">
        <v>66</v>
      </c>
    </row>
    <row r="639" spans="1:6" x14ac:dyDescent="0.2">
      <c r="A639" s="3">
        <v>637</v>
      </c>
      <c r="B639" s="3" t="s">
        <v>1065</v>
      </c>
      <c r="C639" s="3" t="s">
        <v>1063</v>
      </c>
      <c r="D639" s="3" t="s">
        <v>1063</v>
      </c>
      <c r="E639" s="1"/>
      <c r="F639" s="8" t="s">
        <v>66</v>
      </c>
    </row>
    <row r="640" spans="1:6" x14ac:dyDescent="0.2">
      <c r="A640" s="3">
        <v>638</v>
      </c>
      <c r="B640" s="3" t="s">
        <v>1066</v>
      </c>
      <c r="C640" s="3" t="s">
        <v>1063</v>
      </c>
      <c r="D640" s="3" t="s">
        <v>1063</v>
      </c>
      <c r="E640" s="1"/>
      <c r="F640" s="8" t="s">
        <v>66</v>
      </c>
    </row>
    <row r="641" spans="1:6" x14ac:dyDescent="0.2">
      <c r="A641" s="3">
        <v>639</v>
      </c>
      <c r="B641" s="3" t="s">
        <v>1067</v>
      </c>
      <c r="C641" s="3" t="s">
        <v>1068</v>
      </c>
      <c r="D641" s="3" t="s">
        <v>1068</v>
      </c>
      <c r="E641" s="1"/>
      <c r="F641" s="8" t="s">
        <v>66</v>
      </c>
    </row>
    <row r="642" spans="1:6" x14ac:dyDescent="0.2">
      <c r="A642" s="3">
        <v>640</v>
      </c>
      <c r="B642" s="3" t="s">
        <v>1069</v>
      </c>
      <c r="C642" s="3" t="s">
        <v>1068</v>
      </c>
      <c r="D642" s="3" t="s">
        <v>1068</v>
      </c>
      <c r="E642" s="1"/>
      <c r="F642" s="8" t="s">
        <v>66</v>
      </c>
    </row>
    <row r="643" spans="1:6" x14ac:dyDescent="0.2">
      <c r="A643" s="3">
        <v>641</v>
      </c>
      <c r="B643" s="3" t="s">
        <v>1070</v>
      </c>
      <c r="C643" s="3" t="s">
        <v>1068</v>
      </c>
      <c r="D643" s="3" t="s">
        <v>1068</v>
      </c>
      <c r="E643" s="1"/>
      <c r="F643" s="8" t="s">
        <v>66</v>
      </c>
    </row>
    <row r="644" spans="1:6" x14ac:dyDescent="0.2">
      <c r="A644" s="3">
        <v>642</v>
      </c>
      <c r="B644" s="3" t="s">
        <v>1071</v>
      </c>
      <c r="C644" s="3" t="s">
        <v>1072</v>
      </c>
      <c r="D644" s="3" t="s">
        <v>1072</v>
      </c>
      <c r="E644" s="1"/>
      <c r="F644" s="8" t="s">
        <v>66</v>
      </c>
    </row>
    <row r="645" spans="1:6" x14ac:dyDescent="0.2">
      <c r="A645" s="3">
        <v>643</v>
      </c>
      <c r="B645" s="3" t="s">
        <v>1073</v>
      </c>
      <c r="C645" s="3" t="s">
        <v>1074</v>
      </c>
      <c r="D645" s="3" t="s">
        <v>1074</v>
      </c>
      <c r="E645" s="1"/>
      <c r="F645" s="8" t="s">
        <v>66</v>
      </c>
    </row>
    <row r="646" spans="1:6" x14ac:dyDescent="0.2">
      <c r="A646" s="3">
        <v>644</v>
      </c>
      <c r="B646" s="3" t="s">
        <v>1075</v>
      </c>
      <c r="C646" s="3" t="s">
        <v>1076</v>
      </c>
      <c r="D646" s="3" t="s">
        <v>1076</v>
      </c>
      <c r="E646" s="1"/>
      <c r="F646" s="8" t="s">
        <v>66</v>
      </c>
    </row>
    <row r="647" spans="1:6" x14ac:dyDescent="0.2">
      <c r="A647" s="3">
        <v>645</v>
      </c>
      <c r="B647" s="3" t="s">
        <v>1077</v>
      </c>
      <c r="C647" s="3" t="s">
        <v>1076</v>
      </c>
      <c r="D647" s="3" t="s">
        <v>1076</v>
      </c>
      <c r="E647" s="1"/>
      <c r="F647" s="8" t="s">
        <v>66</v>
      </c>
    </row>
    <row r="648" spans="1:6" x14ac:dyDescent="0.2">
      <c r="A648" s="3">
        <v>646</v>
      </c>
      <c r="B648" s="3" t="s">
        <v>1078</v>
      </c>
      <c r="C648" s="3" t="s">
        <v>1076</v>
      </c>
      <c r="D648" s="3" t="s">
        <v>1076</v>
      </c>
      <c r="E648" s="1"/>
      <c r="F648" s="8" t="s">
        <v>66</v>
      </c>
    </row>
    <row r="649" spans="1:6" x14ac:dyDescent="0.2">
      <c r="A649" s="3">
        <v>647</v>
      </c>
      <c r="B649" s="3" t="s">
        <v>1079</v>
      </c>
      <c r="C649" s="3" t="s">
        <v>1080</v>
      </c>
      <c r="D649" s="3" t="s">
        <v>1080</v>
      </c>
      <c r="E649" s="1"/>
      <c r="F649" s="8" t="s">
        <v>66</v>
      </c>
    </row>
    <row r="650" spans="1:6" x14ac:dyDescent="0.2">
      <c r="A650" s="3">
        <v>648</v>
      </c>
      <c r="B650" s="3" t="s">
        <v>1081</v>
      </c>
      <c r="C650" s="3" t="s">
        <v>1080</v>
      </c>
      <c r="D650" s="3" t="s">
        <v>1080</v>
      </c>
      <c r="E650" s="1"/>
      <c r="F650" s="8" t="s">
        <v>66</v>
      </c>
    </row>
    <row r="651" spans="1:6" x14ac:dyDescent="0.2">
      <c r="A651" s="3">
        <v>649</v>
      </c>
      <c r="B651" s="3" t="s">
        <v>1082</v>
      </c>
      <c r="C651" s="3" t="s">
        <v>1083</v>
      </c>
      <c r="D651" s="3" t="s">
        <v>1083</v>
      </c>
      <c r="E651" s="1"/>
      <c r="F651" s="8" t="s">
        <v>66</v>
      </c>
    </row>
    <row r="652" spans="1:6" x14ac:dyDescent="0.2">
      <c r="A652" s="3">
        <v>650</v>
      </c>
      <c r="B652" s="3" t="s">
        <v>1084</v>
      </c>
      <c r="C652" s="3" t="s">
        <v>1083</v>
      </c>
      <c r="D652" s="3" t="s">
        <v>1083</v>
      </c>
      <c r="E652" s="1"/>
      <c r="F652" s="8" t="s">
        <v>66</v>
      </c>
    </row>
    <row r="653" spans="1:6" x14ac:dyDescent="0.2">
      <c r="A653" s="3">
        <v>651</v>
      </c>
      <c r="B653" s="3" t="s">
        <v>1085</v>
      </c>
      <c r="C653" s="3" t="s">
        <v>1086</v>
      </c>
      <c r="D653" s="3" t="s">
        <v>1086</v>
      </c>
      <c r="E653" s="1"/>
      <c r="F653" s="8" t="s">
        <v>66</v>
      </c>
    </row>
    <row r="654" spans="1:6" x14ac:dyDescent="0.2">
      <c r="A654" s="3">
        <v>652</v>
      </c>
      <c r="B654" s="3" t="s">
        <v>1087</v>
      </c>
      <c r="C654" s="3" t="s">
        <v>1086</v>
      </c>
      <c r="D654" s="3" t="s">
        <v>1086</v>
      </c>
      <c r="E654" s="1"/>
      <c r="F654" s="8" t="s">
        <v>66</v>
      </c>
    </row>
    <row r="655" spans="1:6" x14ac:dyDescent="0.2">
      <c r="A655" s="3">
        <v>653</v>
      </c>
      <c r="B655" s="3" t="s">
        <v>1088</v>
      </c>
      <c r="C655" s="3" t="s">
        <v>1086</v>
      </c>
      <c r="D655" s="3" t="s">
        <v>1086</v>
      </c>
      <c r="E655" s="1"/>
      <c r="F655" s="8" t="s">
        <v>66</v>
      </c>
    </row>
    <row r="656" spans="1:6" x14ac:dyDescent="0.2">
      <c r="A656" s="3">
        <v>654</v>
      </c>
      <c r="B656" s="3" t="s">
        <v>1089</v>
      </c>
      <c r="C656" s="3" t="s">
        <v>1090</v>
      </c>
      <c r="D656" s="3" t="s">
        <v>1090</v>
      </c>
      <c r="E656" s="1"/>
      <c r="F656" s="8" t="s">
        <v>66</v>
      </c>
    </row>
    <row r="657" spans="1:6" x14ac:dyDescent="0.2">
      <c r="A657" s="3">
        <v>655</v>
      </c>
      <c r="B657" s="3" t="s">
        <v>1091</v>
      </c>
      <c r="C657" s="3" t="s">
        <v>1092</v>
      </c>
      <c r="D657" s="3" t="s">
        <v>1092</v>
      </c>
      <c r="E657" s="1"/>
      <c r="F657" s="8" t="s">
        <v>66</v>
      </c>
    </row>
    <row r="658" spans="1:6" x14ac:dyDescent="0.2">
      <c r="A658" s="3">
        <v>656</v>
      </c>
      <c r="B658" s="3" t="s">
        <v>1093</v>
      </c>
      <c r="C658" s="3" t="s">
        <v>1092</v>
      </c>
      <c r="D658" s="3" t="s">
        <v>1092</v>
      </c>
      <c r="E658" s="1"/>
      <c r="F658" s="8" t="s">
        <v>66</v>
      </c>
    </row>
    <row r="659" spans="1:6" x14ac:dyDescent="0.2">
      <c r="A659" s="3">
        <v>657</v>
      </c>
      <c r="B659" s="3" t="s">
        <v>1094</v>
      </c>
      <c r="C659" s="3" t="s">
        <v>1095</v>
      </c>
      <c r="D659" s="3" t="s">
        <v>1095</v>
      </c>
      <c r="E659" s="1"/>
      <c r="F659" s="8" t="s">
        <v>66</v>
      </c>
    </row>
    <row r="660" spans="1:6" x14ac:dyDescent="0.2">
      <c r="A660" s="3">
        <v>658</v>
      </c>
      <c r="B660" s="3" t="s">
        <v>1096</v>
      </c>
      <c r="C660" s="3" t="s">
        <v>1095</v>
      </c>
      <c r="D660" s="3" t="s">
        <v>1095</v>
      </c>
      <c r="E660" s="1"/>
      <c r="F660" s="8" t="s">
        <v>66</v>
      </c>
    </row>
    <row r="661" spans="1:6" x14ac:dyDescent="0.2">
      <c r="A661" s="3">
        <v>659</v>
      </c>
      <c r="B661" s="3" t="s">
        <v>1097</v>
      </c>
      <c r="C661" s="3" t="s">
        <v>1098</v>
      </c>
      <c r="D661" s="3" t="s">
        <v>1098</v>
      </c>
      <c r="E661" s="1"/>
      <c r="F661" s="8" t="s">
        <v>66</v>
      </c>
    </row>
    <row r="662" spans="1:6" x14ac:dyDescent="0.2">
      <c r="A662" s="3">
        <v>660</v>
      </c>
      <c r="B662" s="3" t="s">
        <v>1099</v>
      </c>
      <c r="C662" s="3" t="s">
        <v>1100</v>
      </c>
      <c r="D662" s="3" t="s">
        <v>1100</v>
      </c>
      <c r="E662" s="1"/>
      <c r="F662" s="8" t="s">
        <v>66</v>
      </c>
    </row>
    <row r="663" spans="1:6" x14ac:dyDescent="0.2">
      <c r="A663" s="3">
        <v>661</v>
      </c>
      <c r="B663" s="3" t="s">
        <v>1101</v>
      </c>
      <c r="C663" s="3" t="s">
        <v>1102</v>
      </c>
      <c r="D663" s="3" t="s">
        <v>1102</v>
      </c>
      <c r="E663" s="1"/>
      <c r="F663" s="8" t="s">
        <v>66</v>
      </c>
    </row>
    <row r="664" spans="1:6" x14ac:dyDescent="0.2">
      <c r="A664" s="3">
        <v>662</v>
      </c>
      <c r="B664" s="3" t="s">
        <v>1103</v>
      </c>
      <c r="C664" s="3" t="s">
        <v>1104</v>
      </c>
      <c r="D664" s="3" t="s">
        <v>1104</v>
      </c>
      <c r="E664" s="1"/>
      <c r="F664" s="8" t="s">
        <v>66</v>
      </c>
    </row>
    <row r="665" spans="1:6" x14ac:dyDescent="0.2">
      <c r="A665" s="3">
        <v>663</v>
      </c>
      <c r="B665" s="3" t="s">
        <v>1105</v>
      </c>
      <c r="C665" s="3" t="s">
        <v>1104</v>
      </c>
      <c r="D665" s="3" t="s">
        <v>1104</v>
      </c>
      <c r="E665" s="1"/>
      <c r="F665" s="8" t="s">
        <v>66</v>
      </c>
    </row>
    <row r="666" spans="1:6" x14ac:dyDescent="0.2">
      <c r="A666" s="3">
        <v>664</v>
      </c>
      <c r="B666" s="3" t="s">
        <v>1106</v>
      </c>
      <c r="C666" s="3" t="s">
        <v>1107</v>
      </c>
      <c r="D666" s="3" t="s">
        <v>1107</v>
      </c>
      <c r="E666" s="1"/>
      <c r="F666" s="8" t="s">
        <v>66</v>
      </c>
    </row>
    <row r="667" spans="1:6" x14ac:dyDescent="0.2">
      <c r="A667" s="3">
        <v>665</v>
      </c>
      <c r="B667" s="3" t="s">
        <v>1108</v>
      </c>
      <c r="C667" s="3" t="s">
        <v>1107</v>
      </c>
      <c r="D667" s="3" t="s">
        <v>1107</v>
      </c>
      <c r="E667" s="1"/>
      <c r="F667" s="8" t="s">
        <v>66</v>
      </c>
    </row>
    <row r="668" spans="1:6" x14ac:dyDescent="0.2">
      <c r="A668" s="3">
        <v>666</v>
      </c>
      <c r="B668" s="3" t="s">
        <v>1109</v>
      </c>
      <c r="C668" s="3" t="s">
        <v>1107</v>
      </c>
      <c r="D668" s="3" t="s">
        <v>1107</v>
      </c>
      <c r="E668" s="1"/>
      <c r="F668" s="8" t="s">
        <v>66</v>
      </c>
    </row>
    <row r="669" spans="1:6" x14ac:dyDescent="0.2">
      <c r="A669" s="3">
        <v>667</v>
      </c>
      <c r="B669" s="3" t="s">
        <v>1110</v>
      </c>
      <c r="C669" s="3" t="s">
        <v>1110</v>
      </c>
      <c r="D669" s="3" t="s">
        <v>1110</v>
      </c>
      <c r="E669" s="1" t="s">
        <v>1111</v>
      </c>
      <c r="F669" s="8" t="s">
        <v>66</v>
      </c>
    </row>
    <row r="670" spans="1:6" x14ac:dyDescent="0.2">
      <c r="A670" s="3">
        <v>668</v>
      </c>
      <c r="B670" s="3" t="s">
        <v>1112</v>
      </c>
      <c r="C670" s="3" t="s">
        <v>1113</v>
      </c>
      <c r="D670" s="3" t="s">
        <v>1113</v>
      </c>
      <c r="E670" s="1"/>
      <c r="F670" s="8" t="s">
        <v>66</v>
      </c>
    </row>
    <row r="671" spans="1:6" x14ac:dyDescent="0.2">
      <c r="A671" s="3">
        <v>669</v>
      </c>
      <c r="B671" s="3" t="s">
        <v>1114</v>
      </c>
      <c r="C671" s="3" t="s">
        <v>1113</v>
      </c>
      <c r="D671" s="3" t="s">
        <v>1113</v>
      </c>
      <c r="E671" s="1"/>
      <c r="F671" s="8" t="s">
        <v>1115</v>
      </c>
    </row>
    <row r="672" spans="1:6" x14ac:dyDescent="0.2">
      <c r="A672" s="3">
        <v>670</v>
      </c>
      <c r="B672" s="3" t="s">
        <v>1116</v>
      </c>
      <c r="C672" s="3" t="s">
        <v>1117</v>
      </c>
      <c r="D672" s="3" t="s">
        <v>1117</v>
      </c>
      <c r="E672" s="1"/>
      <c r="F672" s="8" t="s">
        <v>66</v>
      </c>
    </row>
    <row r="673" spans="1:6" x14ac:dyDescent="0.2">
      <c r="A673" s="3">
        <v>671</v>
      </c>
      <c r="B673" s="3" t="s">
        <v>1118</v>
      </c>
      <c r="C673" s="3" t="s">
        <v>1117</v>
      </c>
      <c r="D673" s="3" t="s">
        <v>1117</v>
      </c>
      <c r="E673" s="1"/>
      <c r="F673" s="8" t="s">
        <v>66</v>
      </c>
    </row>
    <row r="674" spans="1:6" x14ac:dyDescent="0.2">
      <c r="A674" s="3">
        <v>672</v>
      </c>
      <c r="B674" s="3" t="s">
        <v>1119</v>
      </c>
      <c r="C674" s="3" t="s">
        <v>1117</v>
      </c>
      <c r="D674" s="3" t="s">
        <v>1117</v>
      </c>
      <c r="E674" s="1"/>
      <c r="F674" s="8" t="s">
        <v>66</v>
      </c>
    </row>
    <row r="675" spans="1:6" x14ac:dyDescent="0.2">
      <c r="A675" s="3">
        <v>673</v>
      </c>
      <c r="B675" s="3" t="s">
        <v>1120</v>
      </c>
      <c r="C675" s="3" t="s">
        <v>1117</v>
      </c>
      <c r="D675" s="3" t="s">
        <v>1117</v>
      </c>
      <c r="E675" s="1"/>
      <c r="F675" s="8" t="s">
        <v>66</v>
      </c>
    </row>
    <row r="676" spans="1:6" x14ac:dyDescent="0.2">
      <c r="A676" s="3">
        <v>674</v>
      </c>
      <c r="B676" s="3" t="s">
        <v>1121</v>
      </c>
      <c r="C676" s="3" t="s">
        <v>1117</v>
      </c>
      <c r="D676" s="3" t="s">
        <v>1117</v>
      </c>
      <c r="E676" s="1"/>
      <c r="F676" s="8" t="s">
        <v>66</v>
      </c>
    </row>
    <row r="677" spans="1:6" x14ac:dyDescent="0.2">
      <c r="A677" s="3">
        <v>675</v>
      </c>
      <c r="B677" s="3" t="s">
        <v>1122</v>
      </c>
      <c r="C677" s="3" t="s">
        <v>1123</v>
      </c>
      <c r="D677" s="3" t="s">
        <v>1123</v>
      </c>
      <c r="E677" s="1"/>
      <c r="F677" s="8" t="s">
        <v>66</v>
      </c>
    </row>
    <row r="678" spans="1:6" x14ac:dyDescent="0.2">
      <c r="A678" s="3">
        <v>676</v>
      </c>
      <c r="B678" s="3" t="s">
        <v>1124</v>
      </c>
      <c r="C678" s="3" t="s">
        <v>1125</v>
      </c>
      <c r="D678" s="3" t="s">
        <v>1125</v>
      </c>
      <c r="E678" s="1"/>
      <c r="F678" s="8" t="s">
        <v>66</v>
      </c>
    </row>
    <row r="679" spans="1:6" x14ac:dyDescent="0.2">
      <c r="A679" s="3">
        <v>677</v>
      </c>
      <c r="B679" s="3" t="s">
        <v>1126</v>
      </c>
      <c r="C679" s="3" t="s">
        <v>1125</v>
      </c>
      <c r="D679" s="3" t="s">
        <v>1125</v>
      </c>
      <c r="E679" s="1"/>
      <c r="F679" s="8" t="s">
        <v>66</v>
      </c>
    </row>
    <row r="680" spans="1:6" x14ac:dyDescent="0.2">
      <c r="A680" s="3">
        <v>678</v>
      </c>
      <c r="B680" s="3" t="s">
        <v>1127</v>
      </c>
      <c r="C680" s="3" t="s">
        <v>1125</v>
      </c>
      <c r="D680" s="3" t="s">
        <v>1125</v>
      </c>
      <c r="E680" s="1"/>
      <c r="F680" s="8" t="s">
        <v>66</v>
      </c>
    </row>
    <row r="681" spans="1:6" x14ac:dyDescent="0.2">
      <c r="A681" s="3">
        <v>679</v>
      </c>
      <c r="B681" s="3" t="s">
        <v>1128</v>
      </c>
      <c r="C681" s="3" t="s">
        <v>1125</v>
      </c>
      <c r="D681" s="3" t="s">
        <v>1125</v>
      </c>
      <c r="E681" s="1"/>
      <c r="F681" s="8" t="s">
        <v>66</v>
      </c>
    </row>
    <row r="682" spans="1:6" x14ac:dyDescent="0.2">
      <c r="A682" s="3">
        <v>680</v>
      </c>
      <c r="B682" s="3" t="s">
        <v>1129</v>
      </c>
      <c r="C682" s="3" t="s">
        <v>1130</v>
      </c>
      <c r="D682" s="3" t="s">
        <v>1130</v>
      </c>
      <c r="E682" s="1"/>
      <c r="F682" s="8" t="s">
        <v>66</v>
      </c>
    </row>
    <row r="683" spans="1:6" x14ac:dyDescent="0.2">
      <c r="A683" s="3">
        <v>681</v>
      </c>
      <c r="B683" s="3" t="s">
        <v>1131</v>
      </c>
      <c r="C683" s="3" t="s">
        <v>1130</v>
      </c>
      <c r="D683" s="3" t="s">
        <v>1130</v>
      </c>
      <c r="E683" s="1"/>
      <c r="F683" s="8" t="s">
        <v>66</v>
      </c>
    </row>
    <row r="684" spans="1:6" x14ac:dyDescent="0.2">
      <c r="A684" s="3">
        <v>682</v>
      </c>
      <c r="B684" s="3" t="s">
        <v>1132</v>
      </c>
      <c r="C684" s="3" t="s">
        <v>1130</v>
      </c>
      <c r="D684" s="3" t="s">
        <v>1130</v>
      </c>
      <c r="E684" s="1"/>
      <c r="F684" s="8" t="s">
        <v>66</v>
      </c>
    </row>
    <row r="685" spans="1:6" x14ac:dyDescent="0.2">
      <c r="A685" s="3">
        <v>683</v>
      </c>
      <c r="B685" s="3" t="s">
        <v>1133</v>
      </c>
      <c r="C685" s="3" t="s">
        <v>1134</v>
      </c>
      <c r="D685" s="3" t="s">
        <v>1134</v>
      </c>
      <c r="E685" s="1"/>
      <c r="F685" s="8" t="s">
        <v>66</v>
      </c>
    </row>
    <row r="686" spans="1:6" x14ac:dyDescent="0.2">
      <c r="A686" s="3">
        <v>684</v>
      </c>
      <c r="B686" s="3" t="s">
        <v>1135</v>
      </c>
      <c r="C686" s="3" t="s">
        <v>1136</v>
      </c>
      <c r="D686" s="3" t="s">
        <v>1136</v>
      </c>
      <c r="E686" s="1"/>
      <c r="F686" s="8" t="s">
        <v>66</v>
      </c>
    </row>
    <row r="687" spans="1:6" x14ac:dyDescent="0.2">
      <c r="A687" s="3">
        <v>685</v>
      </c>
      <c r="B687" s="3" t="s">
        <v>1137</v>
      </c>
      <c r="C687" s="3" t="s">
        <v>1136</v>
      </c>
      <c r="D687" s="3" t="s">
        <v>1136</v>
      </c>
      <c r="E687" s="1"/>
      <c r="F687" s="8" t="s">
        <v>66</v>
      </c>
    </row>
    <row r="688" spans="1:6" x14ac:dyDescent="0.2">
      <c r="A688" s="3">
        <v>686</v>
      </c>
      <c r="B688" s="3" t="s">
        <v>1138</v>
      </c>
      <c r="C688" s="3" t="s">
        <v>1139</v>
      </c>
      <c r="D688" s="3" t="s">
        <v>1139</v>
      </c>
      <c r="E688" s="1"/>
      <c r="F688" s="8" t="s">
        <v>66</v>
      </c>
    </row>
    <row r="689" spans="1:6" x14ac:dyDescent="0.2">
      <c r="A689" s="3">
        <v>687</v>
      </c>
      <c r="B689" s="3" t="s">
        <v>1140</v>
      </c>
      <c r="C689" s="3" t="s">
        <v>1141</v>
      </c>
      <c r="D689" s="3" t="s">
        <v>1141</v>
      </c>
      <c r="E689" s="1"/>
      <c r="F689" s="8" t="s">
        <v>66</v>
      </c>
    </row>
    <row r="690" spans="1:6" x14ac:dyDescent="0.2">
      <c r="A690" s="3">
        <v>688</v>
      </c>
      <c r="B690" s="3" t="s">
        <v>1142</v>
      </c>
      <c r="C690" s="3" t="s">
        <v>1141</v>
      </c>
      <c r="D690" s="3" t="s">
        <v>1141</v>
      </c>
      <c r="E690" s="1"/>
      <c r="F690" s="8" t="s">
        <v>66</v>
      </c>
    </row>
    <row r="691" spans="1:6" x14ac:dyDescent="0.2">
      <c r="A691" s="3">
        <v>689</v>
      </c>
      <c r="B691" s="3" t="s">
        <v>1143</v>
      </c>
      <c r="C691" s="3" t="s">
        <v>1143</v>
      </c>
      <c r="D691" s="3" t="s">
        <v>1143</v>
      </c>
      <c r="E691" s="1" t="s">
        <v>1144</v>
      </c>
      <c r="F691" s="8" t="s">
        <v>66</v>
      </c>
    </row>
    <row r="692" spans="1:6" x14ac:dyDescent="0.2">
      <c r="A692" s="3">
        <v>690</v>
      </c>
      <c r="B692" s="3" t="s">
        <v>1145</v>
      </c>
      <c r="C692" s="3" t="s">
        <v>1146</v>
      </c>
      <c r="D692" s="3" t="s">
        <v>1146</v>
      </c>
      <c r="E692" s="1"/>
      <c r="F692" s="8" t="s">
        <v>66</v>
      </c>
    </row>
    <row r="693" spans="1:6" x14ac:dyDescent="0.2">
      <c r="A693" s="3">
        <v>691</v>
      </c>
      <c r="B693" s="3" t="s">
        <v>1147</v>
      </c>
      <c r="C693" s="3" t="s">
        <v>1146</v>
      </c>
      <c r="D693" s="3" t="s">
        <v>1146</v>
      </c>
      <c r="E693" s="1"/>
      <c r="F693" s="8" t="s">
        <v>66</v>
      </c>
    </row>
    <row r="694" spans="1:6" x14ac:dyDescent="0.2">
      <c r="A694" s="3">
        <v>692</v>
      </c>
      <c r="B694" s="3" t="s">
        <v>1148</v>
      </c>
      <c r="C694" s="3" t="s">
        <v>1146</v>
      </c>
      <c r="D694" s="3" t="s">
        <v>1146</v>
      </c>
      <c r="E694" s="1"/>
      <c r="F694" s="8" t="s">
        <v>66</v>
      </c>
    </row>
    <row r="695" spans="1:6" x14ac:dyDescent="0.2">
      <c r="A695" s="3">
        <v>693</v>
      </c>
      <c r="B695" s="3" t="s">
        <v>1149</v>
      </c>
      <c r="C695" s="3" t="s">
        <v>1149</v>
      </c>
      <c r="D695" s="3" t="s">
        <v>1149</v>
      </c>
      <c r="E695" s="1" t="s">
        <v>1150</v>
      </c>
      <c r="F695" s="8" t="s">
        <v>66</v>
      </c>
    </row>
    <row r="696" spans="1:6" x14ac:dyDescent="0.2">
      <c r="A696" s="3">
        <v>694</v>
      </c>
      <c r="B696" s="3" t="s">
        <v>1151</v>
      </c>
      <c r="C696" s="3" t="s">
        <v>1151</v>
      </c>
      <c r="D696" s="3" t="s">
        <v>1151</v>
      </c>
      <c r="E696" s="1" t="s">
        <v>1152</v>
      </c>
      <c r="F696" s="8" t="s">
        <v>66</v>
      </c>
    </row>
    <row r="697" spans="1:6" x14ac:dyDescent="0.2">
      <c r="A697" s="3">
        <v>695</v>
      </c>
      <c r="B697" s="3" t="s">
        <v>1153</v>
      </c>
      <c r="C697" s="3" t="s">
        <v>1154</v>
      </c>
      <c r="D697" s="3" t="s">
        <v>1154</v>
      </c>
      <c r="E697" s="1"/>
      <c r="F697" s="8" t="s">
        <v>66</v>
      </c>
    </row>
    <row r="698" spans="1:6" x14ac:dyDescent="0.2">
      <c r="A698" s="3">
        <v>696</v>
      </c>
      <c r="B698" s="3" t="s">
        <v>1155</v>
      </c>
      <c r="C698" s="3" t="s">
        <v>1154</v>
      </c>
      <c r="D698" s="3" t="s">
        <v>1154</v>
      </c>
      <c r="E698" s="1"/>
      <c r="F698" s="8" t="s">
        <v>66</v>
      </c>
    </row>
    <row r="699" spans="1:6" x14ac:dyDescent="0.2">
      <c r="A699" s="3">
        <v>697</v>
      </c>
      <c r="B699" s="3" t="s">
        <v>1156</v>
      </c>
      <c r="C699" s="3" t="s">
        <v>1157</v>
      </c>
      <c r="D699" s="3" t="s">
        <v>1157</v>
      </c>
      <c r="E699" s="1"/>
      <c r="F699" s="8" t="s">
        <v>66</v>
      </c>
    </row>
    <row r="700" spans="1:6" x14ac:dyDescent="0.2">
      <c r="A700" s="3">
        <v>698</v>
      </c>
      <c r="B700" s="3" t="s">
        <v>1158</v>
      </c>
      <c r="C700" s="3" t="s">
        <v>1159</v>
      </c>
      <c r="D700" s="3" t="s">
        <v>1159</v>
      </c>
      <c r="E700" s="1"/>
      <c r="F700" s="8" t="s">
        <v>66</v>
      </c>
    </row>
    <row r="701" spans="1:6" x14ac:dyDescent="0.2">
      <c r="A701" s="3">
        <v>699</v>
      </c>
      <c r="B701" s="3" t="s">
        <v>1160</v>
      </c>
      <c r="C701" s="3" t="s">
        <v>1161</v>
      </c>
      <c r="D701" s="3" t="s">
        <v>1161</v>
      </c>
      <c r="E701" s="1"/>
      <c r="F701" s="8" t="s">
        <v>66</v>
      </c>
    </row>
    <row r="702" spans="1:6" x14ac:dyDescent="0.2">
      <c r="A702" s="3">
        <v>700</v>
      </c>
      <c r="B702" s="3" t="s">
        <v>1162</v>
      </c>
      <c r="C702" s="3" t="s">
        <v>1163</v>
      </c>
      <c r="D702" s="3" t="s">
        <v>1163</v>
      </c>
      <c r="E702" s="1"/>
      <c r="F702" s="8" t="s">
        <v>66</v>
      </c>
    </row>
    <row r="703" spans="1:6" x14ac:dyDescent="0.2">
      <c r="A703" s="3">
        <v>701</v>
      </c>
      <c r="B703" s="3" t="s">
        <v>1164</v>
      </c>
      <c r="C703" s="3" t="s">
        <v>1163</v>
      </c>
      <c r="D703" s="3" t="s">
        <v>1163</v>
      </c>
      <c r="E703" s="1"/>
      <c r="F703" s="8" t="s">
        <v>66</v>
      </c>
    </row>
    <row r="704" spans="1:6" x14ac:dyDescent="0.2">
      <c r="A704" s="3">
        <v>702</v>
      </c>
      <c r="B704" s="3" t="s">
        <v>1165</v>
      </c>
      <c r="C704" s="3" t="s">
        <v>769</v>
      </c>
      <c r="D704" s="3" t="s">
        <v>769</v>
      </c>
      <c r="E704" s="1"/>
      <c r="F704" s="8" t="s">
        <v>66</v>
      </c>
    </row>
    <row r="705" spans="1:6" x14ac:dyDescent="0.2">
      <c r="A705" s="3">
        <v>703</v>
      </c>
      <c r="B705" s="3" t="s">
        <v>1166</v>
      </c>
      <c r="C705" s="3" t="s">
        <v>1167</v>
      </c>
      <c r="D705" s="3" t="s">
        <v>1167</v>
      </c>
      <c r="E705" s="1"/>
      <c r="F705" s="8" t="s">
        <v>66</v>
      </c>
    </row>
    <row r="706" spans="1:6" x14ac:dyDescent="0.2">
      <c r="A706" s="3">
        <v>704</v>
      </c>
      <c r="B706" s="3" t="s">
        <v>1168</v>
      </c>
      <c r="C706" s="3" t="s">
        <v>1169</v>
      </c>
      <c r="D706" s="3" t="s">
        <v>1169</v>
      </c>
      <c r="E706" s="1"/>
      <c r="F706" s="8" t="s">
        <v>66</v>
      </c>
    </row>
    <row r="707" spans="1:6" x14ac:dyDescent="0.2">
      <c r="A707" s="3">
        <v>705</v>
      </c>
      <c r="B707" s="3" t="s">
        <v>1170</v>
      </c>
      <c r="C707" s="3" t="s">
        <v>1171</v>
      </c>
      <c r="D707" s="3" t="s">
        <v>1171</v>
      </c>
      <c r="E707" s="1"/>
      <c r="F707" s="8" t="s">
        <v>66</v>
      </c>
    </row>
    <row r="708" spans="1:6" x14ac:dyDescent="0.2">
      <c r="A708" s="3">
        <v>706</v>
      </c>
      <c r="B708" s="3" t="s">
        <v>1172</v>
      </c>
      <c r="C708" s="3" t="s">
        <v>1173</v>
      </c>
      <c r="D708" s="3" t="s">
        <v>1173</v>
      </c>
      <c r="E708" s="1"/>
      <c r="F708" s="8" t="s">
        <v>66</v>
      </c>
    </row>
    <row r="709" spans="1:6" x14ac:dyDescent="0.2">
      <c r="A709" s="3">
        <v>707</v>
      </c>
      <c r="B709" s="3" t="s">
        <v>1174</v>
      </c>
      <c r="C709" s="3" t="s">
        <v>1171</v>
      </c>
      <c r="D709" s="3" t="s">
        <v>1171</v>
      </c>
      <c r="E709" s="1"/>
      <c r="F709" s="8" t="s">
        <v>66</v>
      </c>
    </row>
    <row r="710" spans="1:6" x14ac:dyDescent="0.2">
      <c r="A710" s="3">
        <v>708</v>
      </c>
      <c r="B710" s="3" t="s">
        <v>1175</v>
      </c>
      <c r="C710" s="3" t="s">
        <v>1176</v>
      </c>
      <c r="D710" s="3" t="s">
        <v>1176</v>
      </c>
      <c r="E710" s="1"/>
      <c r="F710" s="8" t="s">
        <v>66</v>
      </c>
    </row>
    <row r="711" spans="1:6" x14ac:dyDescent="0.2">
      <c r="A711" s="3">
        <v>709</v>
      </c>
      <c r="B711" s="3" t="s">
        <v>1177</v>
      </c>
      <c r="C711" s="3" t="s">
        <v>1176</v>
      </c>
      <c r="D711" s="3" t="s">
        <v>1176</v>
      </c>
      <c r="E711" s="1"/>
      <c r="F711" s="8" t="s">
        <v>66</v>
      </c>
    </row>
    <row r="712" spans="1:6" x14ac:dyDescent="0.2">
      <c r="A712" s="3">
        <v>710</v>
      </c>
      <c r="B712" s="3" t="s">
        <v>1178</v>
      </c>
      <c r="C712" s="3" t="s">
        <v>1179</v>
      </c>
      <c r="D712" s="3" t="s">
        <v>1179</v>
      </c>
      <c r="E712" s="1"/>
      <c r="F712" s="8" t="s">
        <v>66</v>
      </c>
    </row>
    <row r="713" spans="1:6" x14ac:dyDescent="0.2">
      <c r="A713" s="3">
        <v>711</v>
      </c>
      <c r="B713" s="3" t="s">
        <v>1180</v>
      </c>
      <c r="C713" s="3" t="s">
        <v>1179</v>
      </c>
      <c r="D713" s="3" t="s">
        <v>1179</v>
      </c>
      <c r="E713" s="1"/>
      <c r="F713" s="8" t="s">
        <v>66</v>
      </c>
    </row>
    <row r="714" spans="1:6" x14ac:dyDescent="0.2">
      <c r="A714" s="3">
        <v>712</v>
      </c>
      <c r="B714" s="3" t="s">
        <v>1181</v>
      </c>
      <c r="C714" s="3" t="s">
        <v>1182</v>
      </c>
      <c r="D714" s="3" t="s">
        <v>1182</v>
      </c>
      <c r="E714" s="1"/>
      <c r="F714" s="8" t="s">
        <v>66</v>
      </c>
    </row>
    <row r="715" spans="1:6" x14ac:dyDescent="0.2">
      <c r="A715" s="3">
        <v>713</v>
      </c>
      <c r="B715" s="3" t="s">
        <v>1183</v>
      </c>
      <c r="C715" s="3" t="s">
        <v>1184</v>
      </c>
      <c r="D715" s="3" t="s">
        <v>1184</v>
      </c>
      <c r="E715" s="1"/>
      <c r="F715" s="8" t="s">
        <v>66</v>
      </c>
    </row>
    <row r="716" spans="1:6" x14ac:dyDescent="0.2">
      <c r="A716" s="3">
        <v>714</v>
      </c>
      <c r="B716" s="3" t="s">
        <v>1185</v>
      </c>
      <c r="C716" s="3" t="s">
        <v>1184</v>
      </c>
      <c r="D716" s="3" t="s">
        <v>1184</v>
      </c>
      <c r="E716" s="1"/>
      <c r="F716" s="8" t="s">
        <v>66</v>
      </c>
    </row>
    <row r="717" spans="1:6" x14ac:dyDescent="0.2">
      <c r="A717" s="3">
        <v>715</v>
      </c>
      <c r="B717" s="3" t="s">
        <v>1186</v>
      </c>
      <c r="C717" s="3" t="s">
        <v>1184</v>
      </c>
      <c r="D717" s="3" t="s">
        <v>1184</v>
      </c>
      <c r="E717" s="1"/>
      <c r="F717" s="8" t="s">
        <v>66</v>
      </c>
    </row>
    <row r="718" spans="1:6" x14ac:dyDescent="0.2">
      <c r="A718" s="3">
        <v>716</v>
      </c>
      <c r="B718" s="3" t="s">
        <v>1187</v>
      </c>
      <c r="C718" s="3" t="s">
        <v>1184</v>
      </c>
      <c r="D718" s="3" t="s">
        <v>1184</v>
      </c>
      <c r="E718" s="1"/>
      <c r="F718" s="8" t="s">
        <v>66</v>
      </c>
    </row>
    <row r="719" spans="1:6" x14ac:dyDescent="0.2">
      <c r="A719" s="3">
        <v>717</v>
      </c>
      <c r="B719" s="3" t="s">
        <v>1188</v>
      </c>
      <c r="C719" s="3" t="s">
        <v>1189</v>
      </c>
      <c r="D719" s="3" t="s">
        <v>1189</v>
      </c>
      <c r="E719" s="1"/>
      <c r="F719" s="8" t="s">
        <v>66</v>
      </c>
    </row>
    <row r="720" spans="1:6" x14ac:dyDescent="0.2">
      <c r="A720" s="3">
        <v>718</v>
      </c>
      <c r="B720" s="3" t="s">
        <v>1190</v>
      </c>
      <c r="C720" s="3" t="s">
        <v>1191</v>
      </c>
      <c r="D720" s="3" t="s">
        <v>1191</v>
      </c>
      <c r="E720" s="1"/>
      <c r="F720" s="8" t="s">
        <v>66</v>
      </c>
    </row>
    <row r="721" spans="1:6" x14ac:dyDescent="0.2">
      <c r="A721" s="3">
        <v>719</v>
      </c>
      <c r="B721" s="3" t="s">
        <v>1192</v>
      </c>
      <c r="C721" s="3" t="s">
        <v>1193</v>
      </c>
      <c r="D721" s="3" t="s">
        <v>1193</v>
      </c>
      <c r="E721" s="1"/>
      <c r="F721" s="8" t="s">
        <v>66</v>
      </c>
    </row>
    <row r="722" spans="1:6" x14ac:dyDescent="0.2">
      <c r="A722" s="3">
        <v>720</v>
      </c>
      <c r="B722" s="3" t="s">
        <v>1194</v>
      </c>
      <c r="C722" s="3" t="s">
        <v>1195</v>
      </c>
      <c r="D722" s="3" t="s">
        <v>1195</v>
      </c>
      <c r="E722" s="1"/>
      <c r="F722" s="8" t="s">
        <v>66</v>
      </c>
    </row>
    <row r="723" spans="1:6" x14ac:dyDescent="0.2">
      <c r="A723" s="3">
        <v>721</v>
      </c>
      <c r="B723" s="3" t="s">
        <v>1196</v>
      </c>
      <c r="C723" s="3" t="s">
        <v>1197</v>
      </c>
      <c r="D723" s="3" t="s">
        <v>1197</v>
      </c>
      <c r="E723" s="1"/>
      <c r="F723" s="8" t="s">
        <v>66</v>
      </c>
    </row>
    <row r="724" spans="1:6" x14ac:dyDescent="0.2">
      <c r="A724" s="3">
        <v>722</v>
      </c>
      <c r="B724" s="3" t="s">
        <v>1198</v>
      </c>
      <c r="C724" s="3" t="s">
        <v>1199</v>
      </c>
      <c r="D724" s="3" t="s">
        <v>1199</v>
      </c>
      <c r="E724" s="1"/>
      <c r="F724" s="8" t="s">
        <v>66</v>
      </c>
    </row>
    <row r="725" spans="1:6" x14ac:dyDescent="0.2">
      <c r="A725" s="3">
        <v>723</v>
      </c>
      <c r="B725" s="3" t="s">
        <v>1200</v>
      </c>
      <c r="C725" s="3" t="s">
        <v>1201</v>
      </c>
      <c r="D725" s="3" t="s">
        <v>1201</v>
      </c>
      <c r="E725" s="1"/>
      <c r="F725" s="8" t="s">
        <v>66</v>
      </c>
    </row>
    <row r="726" spans="1:6" x14ac:dyDescent="0.2">
      <c r="A726" s="3">
        <v>724</v>
      </c>
      <c r="B726" s="3" t="s">
        <v>1202</v>
      </c>
      <c r="C726" s="3" t="s">
        <v>1203</v>
      </c>
      <c r="D726" s="3" t="s">
        <v>1203</v>
      </c>
      <c r="E726" s="1"/>
      <c r="F726" s="8" t="s">
        <v>66</v>
      </c>
    </row>
    <row r="727" spans="1:6" x14ac:dyDescent="0.2">
      <c r="A727" s="3">
        <v>725</v>
      </c>
      <c r="B727" s="3" t="s">
        <v>1204</v>
      </c>
      <c r="C727" s="3" t="s">
        <v>1205</v>
      </c>
      <c r="D727" s="3" t="s">
        <v>1205</v>
      </c>
      <c r="E727" s="1"/>
      <c r="F727" s="8" t="s">
        <v>66</v>
      </c>
    </row>
    <row r="728" spans="1:6" x14ac:dyDescent="0.2">
      <c r="A728" s="3">
        <v>726</v>
      </c>
      <c r="B728" s="3" t="s">
        <v>1206</v>
      </c>
      <c r="C728" s="3" t="s">
        <v>1207</v>
      </c>
      <c r="D728" s="3" t="s">
        <v>1207</v>
      </c>
      <c r="E728" s="1"/>
      <c r="F728" s="8" t="s">
        <v>66</v>
      </c>
    </row>
    <row r="729" spans="1:6" x14ac:dyDescent="0.2">
      <c r="A729" s="3">
        <v>727</v>
      </c>
      <c r="B729" s="3" t="s">
        <v>1208</v>
      </c>
      <c r="C729" s="3" t="s">
        <v>1207</v>
      </c>
      <c r="D729" s="3" t="s">
        <v>1207</v>
      </c>
      <c r="E729" s="1"/>
      <c r="F729" s="8" t="s">
        <v>66</v>
      </c>
    </row>
    <row r="730" spans="1:6" x14ac:dyDescent="0.2">
      <c r="A730" s="3">
        <v>728</v>
      </c>
      <c r="B730" s="3" t="s">
        <v>1209</v>
      </c>
      <c r="C730" s="3" t="s">
        <v>1210</v>
      </c>
      <c r="D730" s="3" t="s">
        <v>1210</v>
      </c>
      <c r="E730" s="1"/>
      <c r="F730" s="8" t="s">
        <v>66</v>
      </c>
    </row>
    <row r="731" spans="1:6" x14ac:dyDescent="0.2">
      <c r="A731" s="3">
        <v>729</v>
      </c>
      <c r="B731" s="3" t="s">
        <v>1211</v>
      </c>
      <c r="C731" s="3" t="s">
        <v>1212</v>
      </c>
      <c r="D731" s="3" t="s">
        <v>1212</v>
      </c>
      <c r="E731" s="1"/>
      <c r="F731" s="8" t="s">
        <v>66</v>
      </c>
    </row>
    <row r="732" spans="1:6" x14ac:dyDescent="0.2">
      <c r="A732" s="3">
        <v>730</v>
      </c>
      <c r="B732" s="3" t="s">
        <v>1213</v>
      </c>
      <c r="C732" s="3" t="s">
        <v>1212</v>
      </c>
      <c r="D732" s="3" t="s">
        <v>1212</v>
      </c>
      <c r="E732" s="1"/>
      <c r="F732" s="8" t="s">
        <v>66</v>
      </c>
    </row>
    <row r="733" spans="1:6" x14ac:dyDescent="0.2">
      <c r="A733" s="3">
        <v>731</v>
      </c>
      <c r="B733" s="3" t="s">
        <v>1214</v>
      </c>
      <c r="C733" s="3" t="s">
        <v>1215</v>
      </c>
      <c r="D733" s="3" t="s">
        <v>1215</v>
      </c>
      <c r="E733" s="1"/>
      <c r="F733" s="8" t="s">
        <v>66</v>
      </c>
    </row>
    <row r="734" spans="1:6" x14ac:dyDescent="0.2">
      <c r="A734" s="3">
        <v>732</v>
      </c>
      <c r="B734" s="3" t="s">
        <v>1216</v>
      </c>
      <c r="C734" s="3" t="s">
        <v>1215</v>
      </c>
      <c r="D734" s="3" t="s">
        <v>1215</v>
      </c>
      <c r="E734" s="1"/>
      <c r="F734" s="8" t="s">
        <v>66</v>
      </c>
    </row>
    <row r="735" spans="1:6" x14ac:dyDescent="0.2">
      <c r="A735" s="3">
        <v>733</v>
      </c>
      <c r="B735" s="3" t="s">
        <v>1217</v>
      </c>
      <c r="C735" s="3" t="s">
        <v>1215</v>
      </c>
      <c r="D735" s="3" t="s">
        <v>1215</v>
      </c>
      <c r="E735" s="1"/>
      <c r="F735" s="8" t="s">
        <v>66</v>
      </c>
    </row>
    <row r="736" spans="1:6" x14ac:dyDescent="0.2">
      <c r="A736" s="3">
        <v>734</v>
      </c>
      <c r="B736" s="3" t="s">
        <v>1218</v>
      </c>
      <c r="C736" s="3" t="s">
        <v>1215</v>
      </c>
      <c r="D736" s="3" t="s">
        <v>1215</v>
      </c>
      <c r="E736" s="1"/>
      <c r="F736" s="8" t="s">
        <v>66</v>
      </c>
    </row>
    <row r="737" spans="1:6" x14ac:dyDescent="0.2">
      <c r="A737" s="3">
        <v>735</v>
      </c>
      <c r="B737" s="3" t="s">
        <v>1219</v>
      </c>
      <c r="C737" s="3" t="s">
        <v>1215</v>
      </c>
      <c r="D737" s="3" t="s">
        <v>1215</v>
      </c>
      <c r="E737" s="1"/>
      <c r="F737" s="8" t="s">
        <v>66</v>
      </c>
    </row>
    <row r="738" spans="1:6" x14ac:dyDescent="0.2">
      <c r="A738" s="3">
        <v>736</v>
      </c>
      <c r="B738" s="3" t="s">
        <v>1220</v>
      </c>
      <c r="C738" s="3" t="s">
        <v>1221</v>
      </c>
      <c r="D738" s="3" t="s">
        <v>1221</v>
      </c>
      <c r="E738" s="1"/>
      <c r="F738" s="8" t="s">
        <v>66</v>
      </c>
    </row>
    <row r="739" spans="1:6" x14ac:dyDescent="0.2">
      <c r="A739" s="3">
        <v>737</v>
      </c>
      <c r="B739" s="3" t="s">
        <v>1222</v>
      </c>
      <c r="C739" s="3" t="s">
        <v>1223</v>
      </c>
      <c r="D739" s="3" t="s">
        <v>1223</v>
      </c>
      <c r="E739" s="1"/>
      <c r="F739" s="8" t="s">
        <v>66</v>
      </c>
    </row>
    <row r="740" spans="1:6" x14ac:dyDescent="0.2">
      <c r="A740" s="3">
        <v>738</v>
      </c>
      <c r="B740" s="3" t="s">
        <v>1224</v>
      </c>
      <c r="C740" s="3" t="s">
        <v>1225</v>
      </c>
      <c r="D740" s="3" t="s">
        <v>1225</v>
      </c>
      <c r="E740" s="1"/>
      <c r="F740" s="8" t="s">
        <v>66</v>
      </c>
    </row>
    <row r="741" spans="1:6" x14ac:dyDescent="0.2">
      <c r="A741" s="3">
        <v>739</v>
      </c>
      <c r="B741" s="3" t="s">
        <v>1226</v>
      </c>
      <c r="C741" s="3" t="s">
        <v>1227</v>
      </c>
      <c r="D741" s="3" t="s">
        <v>1227</v>
      </c>
      <c r="E741" s="1"/>
      <c r="F741" s="8" t="s">
        <v>66</v>
      </c>
    </row>
    <row r="742" spans="1:6" x14ac:dyDescent="0.2">
      <c r="A742" s="3">
        <v>740</v>
      </c>
      <c r="B742" s="3" t="s">
        <v>1228</v>
      </c>
      <c r="C742" s="3" t="s">
        <v>1229</v>
      </c>
      <c r="D742" s="3" t="s">
        <v>1229</v>
      </c>
      <c r="E742" s="1"/>
      <c r="F742" s="8" t="s">
        <v>66</v>
      </c>
    </row>
    <row r="743" spans="1:6" x14ac:dyDescent="0.2">
      <c r="A743" s="3">
        <v>741</v>
      </c>
      <c r="B743" s="3" t="s">
        <v>1230</v>
      </c>
      <c r="C743" s="3" t="s">
        <v>1231</v>
      </c>
      <c r="D743" s="3" t="s">
        <v>1231</v>
      </c>
      <c r="E743" s="1"/>
      <c r="F743" s="8" t="s">
        <v>66</v>
      </c>
    </row>
    <row r="744" spans="1:6" x14ac:dyDescent="0.2">
      <c r="A744" s="3">
        <v>742</v>
      </c>
      <c r="B744" s="3" t="s">
        <v>1232</v>
      </c>
      <c r="C744" s="3" t="s">
        <v>1231</v>
      </c>
      <c r="D744" s="3" t="s">
        <v>1231</v>
      </c>
      <c r="E744" s="1"/>
      <c r="F744" s="8" t="s">
        <v>66</v>
      </c>
    </row>
    <row r="745" spans="1:6" x14ac:dyDescent="0.2">
      <c r="A745" s="3">
        <v>743</v>
      </c>
      <c r="B745" s="3" t="s">
        <v>1233</v>
      </c>
      <c r="C745" s="3" t="s">
        <v>1234</v>
      </c>
      <c r="D745" s="3" t="s">
        <v>1234</v>
      </c>
      <c r="E745" s="1"/>
      <c r="F745" s="8" t="s">
        <v>66</v>
      </c>
    </row>
    <row r="746" spans="1:6" x14ac:dyDescent="0.2">
      <c r="A746" s="3">
        <v>744</v>
      </c>
      <c r="B746" s="3" t="s">
        <v>1235</v>
      </c>
      <c r="C746" s="3" t="s">
        <v>1234</v>
      </c>
      <c r="D746" s="3" t="s">
        <v>1234</v>
      </c>
      <c r="E746" s="1"/>
      <c r="F746" s="8" t="s">
        <v>66</v>
      </c>
    </row>
    <row r="747" spans="1:6" x14ac:dyDescent="0.2">
      <c r="A747" s="3">
        <v>745</v>
      </c>
      <c r="B747" s="3" t="s">
        <v>1236</v>
      </c>
      <c r="C747" s="3" t="s">
        <v>1237</v>
      </c>
      <c r="D747" s="3" t="s">
        <v>1237</v>
      </c>
      <c r="E747" s="1"/>
      <c r="F747" s="8" t="s">
        <v>66</v>
      </c>
    </row>
    <row r="748" spans="1:6" x14ac:dyDescent="0.2">
      <c r="A748" s="3">
        <v>746</v>
      </c>
      <c r="B748" s="3" t="s">
        <v>1238</v>
      </c>
      <c r="C748" s="3" t="s">
        <v>1239</v>
      </c>
      <c r="D748" s="3" t="s">
        <v>1239</v>
      </c>
      <c r="E748" s="1"/>
      <c r="F748" s="8" t="s">
        <v>66</v>
      </c>
    </row>
    <row r="749" spans="1:6" x14ac:dyDescent="0.2">
      <c r="A749" s="3">
        <v>747</v>
      </c>
      <c r="B749" s="3" t="s">
        <v>1240</v>
      </c>
      <c r="C749" s="3" t="s">
        <v>1239</v>
      </c>
      <c r="D749" s="3" t="s">
        <v>1239</v>
      </c>
      <c r="E749" s="1"/>
      <c r="F749" s="8" t="s">
        <v>66</v>
      </c>
    </row>
    <row r="750" spans="1:6" x14ac:dyDescent="0.2">
      <c r="A750" s="3">
        <v>748</v>
      </c>
      <c r="B750" s="3" t="s">
        <v>1241</v>
      </c>
      <c r="C750" s="3" t="s">
        <v>1242</v>
      </c>
      <c r="D750" s="3" t="s">
        <v>1242</v>
      </c>
      <c r="E750" s="1"/>
      <c r="F750" s="8" t="s">
        <v>66</v>
      </c>
    </row>
    <row r="751" spans="1:6" x14ac:dyDescent="0.2">
      <c r="A751" s="3">
        <v>749</v>
      </c>
      <c r="B751" s="3" t="s">
        <v>1243</v>
      </c>
      <c r="C751" s="3" t="s">
        <v>1244</v>
      </c>
      <c r="D751" s="3" t="s">
        <v>1244</v>
      </c>
      <c r="E751" s="1"/>
      <c r="F751" s="8" t="s">
        <v>66</v>
      </c>
    </row>
    <row r="752" spans="1:6" x14ac:dyDescent="0.2">
      <c r="A752" s="3">
        <v>750</v>
      </c>
      <c r="B752" s="3" t="s">
        <v>1245</v>
      </c>
      <c r="C752" s="3" t="s">
        <v>1244</v>
      </c>
      <c r="D752" s="3" t="s">
        <v>1244</v>
      </c>
      <c r="E752" s="1"/>
      <c r="F752" s="8" t="s">
        <v>66</v>
      </c>
    </row>
    <row r="753" spans="1:6" x14ac:dyDescent="0.2">
      <c r="A753" s="3">
        <v>751</v>
      </c>
      <c r="B753" s="3" t="s">
        <v>1246</v>
      </c>
      <c r="C753" s="3" t="s">
        <v>1244</v>
      </c>
      <c r="D753" s="3" t="s">
        <v>1244</v>
      </c>
      <c r="E753" s="1"/>
      <c r="F753" s="8" t="s">
        <v>66</v>
      </c>
    </row>
    <row r="754" spans="1:6" x14ac:dyDescent="0.2">
      <c r="A754" s="3">
        <v>752</v>
      </c>
      <c r="B754" s="3" t="s">
        <v>1247</v>
      </c>
      <c r="C754" s="3" t="s">
        <v>1248</v>
      </c>
      <c r="D754" s="3" t="s">
        <v>1248</v>
      </c>
      <c r="E754" s="1"/>
      <c r="F754" s="8" t="s">
        <v>66</v>
      </c>
    </row>
    <row r="755" spans="1:6" x14ac:dyDescent="0.2">
      <c r="A755" s="3">
        <v>753</v>
      </c>
      <c r="B755" s="3" t="s">
        <v>1249</v>
      </c>
      <c r="C755" s="3" t="s">
        <v>1248</v>
      </c>
      <c r="D755" s="3" t="s">
        <v>1248</v>
      </c>
      <c r="E755" s="1"/>
      <c r="F755" s="8" t="s">
        <v>66</v>
      </c>
    </row>
    <row r="756" spans="1:6" x14ac:dyDescent="0.2">
      <c r="A756" s="3">
        <v>754</v>
      </c>
      <c r="B756" s="3" t="s">
        <v>1250</v>
      </c>
      <c r="C756" s="3" t="s">
        <v>1248</v>
      </c>
      <c r="D756" s="3" t="s">
        <v>1248</v>
      </c>
      <c r="E756" s="1"/>
      <c r="F756" s="8" t="s">
        <v>66</v>
      </c>
    </row>
    <row r="757" spans="1:6" x14ac:dyDescent="0.2">
      <c r="A757" s="3">
        <v>755</v>
      </c>
      <c r="B757" s="3" t="s">
        <v>1251</v>
      </c>
      <c r="C757" s="3" t="s">
        <v>1252</v>
      </c>
      <c r="D757" s="3" t="s">
        <v>1252</v>
      </c>
      <c r="E757" s="1"/>
      <c r="F757" s="8" t="s">
        <v>66</v>
      </c>
    </row>
    <row r="758" spans="1:6" x14ac:dyDescent="0.2">
      <c r="A758" s="3">
        <v>756</v>
      </c>
      <c r="B758" s="3" t="s">
        <v>1253</v>
      </c>
      <c r="C758" s="3" t="s">
        <v>1254</v>
      </c>
      <c r="D758" s="3" t="s">
        <v>1254</v>
      </c>
      <c r="E758" s="1"/>
      <c r="F758" s="8" t="s">
        <v>66</v>
      </c>
    </row>
    <row r="759" spans="1:6" x14ac:dyDescent="0.2">
      <c r="A759" s="3">
        <v>757</v>
      </c>
      <c r="B759" s="3" t="s">
        <v>1255</v>
      </c>
      <c r="C759" s="3" t="s">
        <v>1254</v>
      </c>
      <c r="D759" s="3" t="s">
        <v>1254</v>
      </c>
      <c r="E759" s="1"/>
      <c r="F759" s="8" t="s">
        <v>66</v>
      </c>
    </row>
    <row r="760" spans="1:6" x14ac:dyDescent="0.2">
      <c r="A760" s="3">
        <v>758</v>
      </c>
      <c r="B760" s="3" t="s">
        <v>1256</v>
      </c>
      <c r="C760" s="3" t="s">
        <v>1257</v>
      </c>
      <c r="D760" s="3" t="s">
        <v>1257</v>
      </c>
      <c r="E760" s="1"/>
      <c r="F760" s="8" t="s">
        <v>66</v>
      </c>
    </row>
    <row r="761" spans="1:6" x14ac:dyDescent="0.2">
      <c r="A761" s="3">
        <v>759</v>
      </c>
      <c r="B761" s="3" t="s">
        <v>1258</v>
      </c>
      <c r="C761" s="3" t="s">
        <v>1259</v>
      </c>
      <c r="D761" s="3" t="s">
        <v>1259</v>
      </c>
      <c r="E761" s="1"/>
      <c r="F761" s="8" t="s">
        <v>66</v>
      </c>
    </row>
    <row r="762" spans="1:6" x14ac:dyDescent="0.2">
      <c r="A762" s="3">
        <v>760</v>
      </c>
      <c r="B762" s="3" t="s">
        <v>1260</v>
      </c>
      <c r="C762" s="3" t="s">
        <v>1259</v>
      </c>
      <c r="D762" s="3" t="s">
        <v>1259</v>
      </c>
      <c r="E762" s="1"/>
      <c r="F762" s="8" t="s">
        <v>66</v>
      </c>
    </row>
    <row r="763" spans="1:6" x14ac:dyDescent="0.2">
      <c r="A763" s="3">
        <v>761</v>
      </c>
      <c r="B763" s="3" t="s">
        <v>1261</v>
      </c>
      <c r="C763" s="3" t="s">
        <v>1259</v>
      </c>
      <c r="D763" s="3" t="s">
        <v>1259</v>
      </c>
      <c r="E763" s="1"/>
      <c r="F763" s="8" t="s">
        <v>66</v>
      </c>
    </row>
    <row r="764" spans="1:6" x14ac:dyDescent="0.2">
      <c r="A764" s="3">
        <v>762</v>
      </c>
      <c r="B764" s="3" t="s">
        <v>1262</v>
      </c>
      <c r="C764" s="3" t="s">
        <v>1263</v>
      </c>
      <c r="D764" s="3" t="s">
        <v>1263</v>
      </c>
      <c r="E764" s="1"/>
      <c r="F764" s="8" t="s">
        <v>66</v>
      </c>
    </row>
    <row r="765" spans="1:6" x14ac:dyDescent="0.2">
      <c r="A765" s="3">
        <v>763</v>
      </c>
      <c r="B765" s="3" t="s">
        <v>1264</v>
      </c>
      <c r="C765" s="3" t="s">
        <v>1265</v>
      </c>
      <c r="D765" s="3" t="s">
        <v>1265</v>
      </c>
      <c r="E765" s="1"/>
      <c r="F765" s="8" t="s">
        <v>66</v>
      </c>
    </row>
    <row r="766" spans="1:6" x14ac:dyDescent="0.2">
      <c r="A766" s="3">
        <v>764</v>
      </c>
      <c r="B766" s="3" t="s">
        <v>1266</v>
      </c>
      <c r="C766" s="3" t="s">
        <v>1267</v>
      </c>
      <c r="D766" s="3" t="s">
        <v>1267</v>
      </c>
      <c r="E766" s="1"/>
      <c r="F766" s="8" t="s">
        <v>66</v>
      </c>
    </row>
    <row r="767" spans="1:6" x14ac:dyDescent="0.2">
      <c r="A767" s="3">
        <v>765</v>
      </c>
      <c r="B767" s="3" t="s">
        <v>1268</v>
      </c>
      <c r="C767" s="3" t="s">
        <v>1269</v>
      </c>
      <c r="D767" s="3" t="s">
        <v>1269</v>
      </c>
      <c r="E767" s="1"/>
      <c r="F767" s="8" t="s">
        <v>66</v>
      </c>
    </row>
    <row r="768" spans="1:6" x14ac:dyDescent="0.2">
      <c r="A768" s="3">
        <v>766</v>
      </c>
      <c r="B768" s="3" t="s">
        <v>1270</v>
      </c>
      <c r="C768" s="3" t="s">
        <v>1271</v>
      </c>
      <c r="D768" s="3" t="s">
        <v>1271</v>
      </c>
      <c r="E768" s="1"/>
      <c r="F768" s="8" t="s">
        <v>66</v>
      </c>
    </row>
    <row r="769" spans="1:6" x14ac:dyDescent="0.2">
      <c r="A769" s="3">
        <v>767</v>
      </c>
      <c r="B769" s="3" t="s">
        <v>1272</v>
      </c>
      <c r="C769" s="3" t="s">
        <v>1273</v>
      </c>
      <c r="D769" s="3" t="s">
        <v>1273</v>
      </c>
      <c r="E769" s="1"/>
      <c r="F769" s="8" t="s">
        <v>66</v>
      </c>
    </row>
    <row r="770" spans="1:6" x14ac:dyDescent="0.2">
      <c r="A770" s="3">
        <v>768</v>
      </c>
      <c r="B770" s="3" t="s">
        <v>1274</v>
      </c>
      <c r="C770" s="3" t="s">
        <v>1273</v>
      </c>
      <c r="D770" s="3" t="s">
        <v>1273</v>
      </c>
      <c r="E770" s="1"/>
      <c r="F770" s="8" t="s">
        <v>66</v>
      </c>
    </row>
    <row r="771" spans="1:6" x14ac:dyDescent="0.2">
      <c r="A771" s="3">
        <v>769</v>
      </c>
      <c r="B771" s="3" t="s">
        <v>1275</v>
      </c>
      <c r="C771" s="3" t="s">
        <v>1273</v>
      </c>
      <c r="D771" s="3" t="s">
        <v>1273</v>
      </c>
      <c r="E771" s="1"/>
      <c r="F771" s="8" t="s">
        <v>66</v>
      </c>
    </row>
    <row r="772" spans="1:6" x14ac:dyDescent="0.2">
      <c r="A772" s="3">
        <v>770</v>
      </c>
      <c r="B772" s="3" t="s">
        <v>1276</v>
      </c>
      <c r="C772" s="3" t="s">
        <v>1277</v>
      </c>
      <c r="D772" s="3" t="s">
        <v>1277</v>
      </c>
      <c r="E772" s="1"/>
      <c r="F772" s="8" t="s">
        <v>66</v>
      </c>
    </row>
    <row r="773" spans="1:6" x14ac:dyDescent="0.2">
      <c r="A773" s="3">
        <v>771</v>
      </c>
      <c r="B773" s="3" t="s">
        <v>1278</v>
      </c>
      <c r="C773" s="3" t="s">
        <v>1279</v>
      </c>
      <c r="D773" s="3" t="s">
        <v>1279</v>
      </c>
      <c r="E773" s="1"/>
      <c r="F773" s="8" t="s">
        <v>66</v>
      </c>
    </row>
    <row r="774" spans="1:6" x14ac:dyDescent="0.2">
      <c r="A774" s="3">
        <v>772</v>
      </c>
      <c r="B774" s="3" t="s">
        <v>1280</v>
      </c>
      <c r="C774" s="3" t="s">
        <v>1281</v>
      </c>
      <c r="D774" s="3" t="s">
        <v>1281</v>
      </c>
      <c r="E774" s="1"/>
      <c r="F774" s="8" t="s">
        <v>66</v>
      </c>
    </row>
    <row r="775" spans="1:6" x14ac:dyDescent="0.2">
      <c r="A775" s="3">
        <v>773</v>
      </c>
      <c r="B775" s="3" t="s">
        <v>1282</v>
      </c>
      <c r="C775" s="3" t="s">
        <v>1283</v>
      </c>
      <c r="D775" s="3" t="s">
        <v>1283</v>
      </c>
      <c r="E775" s="1"/>
      <c r="F775" s="8" t="s">
        <v>66</v>
      </c>
    </row>
    <row r="776" spans="1:6" x14ac:dyDescent="0.2">
      <c r="A776" s="3">
        <v>774</v>
      </c>
      <c r="B776" s="3" t="s">
        <v>1284</v>
      </c>
      <c r="C776" s="3" t="s">
        <v>1283</v>
      </c>
      <c r="D776" s="3" t="s">
        <v>1283</v>
      </c>
      <c r="E776" s="1"/>
      <c r="F776" s="8" t="s">
        <v>66</v>
      </c>
    </row>
    <row r="777" spans="1:6" x14ac:dyDescent="0.2">
      <c r="A777" s="3">
        <v>775</v>
      </c>
      <c r="B777" s="3" t="s">
        <v>1285</v>
      </c>
      <c r="C777" s="3" t="s">
        <v>1286</v>
      </c>
      <c r="D777" s="3" t="s">
        <v>1286</v>
      </c>
      <c r="E777" s="1"/>
      <c r="F777" s="8" t="s">
        <v>66</v>
      </c>
    </row>
    <row r="778" spans="1:6" x14ac:dyDescent="0.2">
      <c r="A778" s="3">
        <v>776</v>
      </c>
      <c r="B778" s="3" t="s">
        <v>1287</v>
      </c>
      <c r="C778" s="3" t="s">
        <v>1288</v>
      </c>
      <c r="D778" s="3" t="s">
        <v>1288</v>
      </c>
      <c r="E778" s="1"/>
      <c r="F778" s="8" t="s">
        <v>66</v>
      </c>
    </row>
    <row r="779" spans="1:6" x14ac:dyDescent="0.2">
      <c r="A779" s="3">
        <v>777</v>
      </c>
      <c r="B779" s="3" t="s">
        <v>1289</v>
      </c>
      <c r="C779" s="3" t="s">
        <v>1290</v>
      </c>
      <c r="D779" s="3" t="s">
        <v>1290</v>
      </c>
      <c r="E779" s="1"/>
      <c r="F779" s="8" t="s">
        <v>66</v>
      </c>
    </row>
    <row r="780" spans="1:6" x14ac:dyDescent="0.2">
      <c r="A780" s="3">
        <v>778</v>
      </c>
      <c r="B780" s="3" t="s">
        <v>1291</v>
      </c>
      <c r="C780" s="3" t="s">
        <v>1292</v>
      </c>
      <c r="D780" s="3" t="s">
        <v>1292</v>
      </c>
      <c r="E780" s="1"/>
      <c r="F780" s="8" t="s">
        <v>66</v>
      </c>
    </row>
    <row r="781" spans="1:6" x14ac:dyDescent="0.2">
      <c r="A781" s="3">
        <v>779</v>
      </c>
      <c r="B781" s="3" t="s">
        <v>1293</v>
      </c>
      <c r="C781" s="3" t="s">
        <v>1294</v>
      </c>
      <c r="D781" s="3" t="s">
        <v>1294</v>
      </c>
      <c r="E781" s="1"/>
      <c r="F781" s="8" t="s">
        <v>66</v>
      </c>
    </row>
    <row r="782" spans="1:6" x14ac:dyDescent="0.2">
      <c r="A782" s="3">
        <v>780</v>
      </c>
      <c r="B782" s="3" t="s">
        <v>1295</v>
      </c>
      <c r="C782" s="3" t="s">
        <v>1296</v>
      </c>
      <c r="D782" s="3" t="s">
        <v>1296</v>
      </c>
      <c r="E782" s="1"/>
      <c r="F782" s="8" t="s">
        <v>66</v>
      </c>
    </row>
    <row r="783" spans="1:6" x14ac:dyDescent="0.2">
      <c r="A783" s="3">
        <v>781</v>
      </c>
      <c r="B783" s="3" t="s">
        <v>1297</v>
      </c>
      <c r="C783" s="3" t="s">
        <v>1296</v>
      </c>
      <c r="D783" s="3" t="s">
        <v>1296</v>
      </c>
      <c r="E783" s="1"/>
      <c r="F783" s="8" t="s">
        <v>66</v>
      </c>
    </row>
    <row r="784" spans="1:6" x14ac:dyDescent="0.2">
      <c r="A784" s="3">
        <v>782</v>
      </c>
      <c r="B784" s="3" t="s">
        <v>1298</v>
      </c>
      <c r="C784" s="3" t="s">
        <v>1299</v>
      </c>
      <c r="D784" s="3" t="s">
        <v>1299</v>
      </c>
      <c r="E784" s="1"/>
      <c r="F784" s="8" t="s">
        <v>66</v>
      </c>
    </row>
    <row r="785" spans="1:6" x14ac:dyDescent="0.2">
      <c r="A785" s="3">
        <v>783</v>
      </c>
      <c r="B785" s="3" t="s">
        <v>1300</v>
      </c>
      <c r="C785" s="3" t="s">
        <v>1299</v>
      </c>
      <c r="D785" s="3" t="s">
        <v>1299</v>
      </c>
      <c r="E785" s="1"/>
      <c r="F785" s="8" t="s">
        <v>66</v>
      </c>
    </row>
    <row r="786" spans="1:6" x14ac:dyDescent="0.2">
      <c r="A786" s="3">
        <v>784</v>
      </c>
      <c r="B786" s="3" t="s">
        <v>1301</v>
      </c>
      <c r="C786" s="3" t="s">
        <v>1302</v>
      </c>
      <c r="D786" s="3" t="s">
        <v>1302</v>
      </c>
      <c r="E786" s="1"/>
      <c r="F786" s="8" t="s">
        <v>66</v>
      </c>
    </row>
    <row r="787" spans="1:6" x14ac:dyDescent="0.2">
      <c r="A787" s="3">
        <v>785</v>
      </c>
      <c r="B787" s="3" t="s">
        <v>1303</v>
      </c>
      <c r="C787" s="3" t="s">
        <v>1302</v>
      </c>
      <c r="D787" s="3" t="s">
        <v>1302</v>
      </c>
      <c r="E787" s="1"/>
      <c r="F787" s="8" t="s">
        <v>66</v>
      </c>
    </row>
    <row r="788" spans="1:6" x14ac:dyDescent="0.2">
      <c r="A788" s="3">
        <v>786</v>
      </c>
      <c r="B788" s="3" t="s">
        <v>1304</v>
      </c>
      <c r="C788" s="3" t="s">
        <v>1302</v>
      </c>
      <c r="D788" s="3" t="s">
        <v>1302</v>
      </c>
      <c r="E788" s="1"/>
      <c r="F788" s="8" t="s">
        <v>66</v>
      </c>
    </row>
    <row r="789" spans="1:6" x14ac:dyDescent="0.2">
      <c r="A789" s="3">
        <v>787</v>
      </c>
      <c r="B789" s="3" t="s">
        <v>1305</v>
      </c>
      <c r="C789" s="3" t="s">
        <v>1302</v>
      </c>
      <c r="D789" s="3" t="s">
        <v>1302</v>
      </c>
      <c r="E789" s="1"/>
      <c r="F789" s="8" t="s">
        <v>66</v>
      </c>
    </row>
    <row r="790" spans="1:6" x14ac:dyDescent="0.2">
      <c r="A790" s="3">
        <v>788</v>
      </c>
      <c r="B790" s="3" t="s">
        <v>1306</v>
      </c>
      <c r="C790" s="3" t="s">
        <v>1307</v>
      </c>
      <c r="D790" s="3" t="s">
        <v>1307</v>
      </c>
      <c r="E790" s="1"/>
      <c r="F790" s="8" t="s">
        <v>66</v>
      </c>
    </row>
    <row r="791" spans="1:6" x14ac:dyDescent="0.2">
      <c r="A791" s="3">
        <v>789</v>
      </c>
      <c r="B791" s="3" t="s">
        <v>1308</v>
      </c>
      <c r="C791" s="3" t="s">
        <v>1307</v>
      </c>
      <c r="D791" s="3" t="s">
        <v>1307</v>
      </c>
      <c r="E791" s="1"/>
      <c r="F791" s="8" t="s">
        <v>66</v>
      </c>
    </row>
    <row r="792" spans="1:6" x14ac:dyDescent="0.2">
      <c r="A792" s="3">
        <v>790</v>
      </c>
      <c r="B792" s="3" t="s">
        <v>1309</v>
      </c>
      <c r="C792" s="3" t="s">
        <v>1307</v>
      </c>
      <c r="D792" s="3" t="s">
        <v>1307</v>
      </c>
      <c r="E792" s="1"/>
      <c r="F792" s="8" t="s">
        <v>66</v>
      </c>
    </row>
    <row r="793" spans="1:6" x14ac:dyDescent="0.2">
      <c r="A793" s="3">
        <v>791</v>
      </c>
      <c r="B793" s="3" t="s">
        <v>1310</v>
      </c>
      <c r="C793" s="3" t="s">
        <v>1311</v>
      </c>
      <c r="D793" s="3" t="s">
        <v>1311</v>
      </c>
      <c r="E793" s="1"/>
      <c r="F793" s="8" t="s">
        <v>66</v>
      </c>
    </row>
    <row r="794" spans="1:6" x14ac:dyDescent="0.2">
      <c r="A794" s="3">
        <v>792</v>
      </c>
      <c r="B794" s="3" t="s">
        <v>1312</v>
      </c>
      <c r="C794" s="3" t="s">
        <v>1313</v>
      </c>
      <c r="D794" s="3" t="s">
        <v>1313</v>
      </c>
      <c r="E794" s="1"/>
      <c r="F794" s="8" t="s">
        <v>66</v>
      </c>
    </row>
    <row r="795" spans="1:6" x14ac:dyDescent="0.2">
      <c r="A795" s="3">
        <v>793</v>
      </c>
      <c r="B795" s="3" t="s">
        <v>1314</v>
      </c>
      <c r="C795" s="3" t="s">
        <v>1315</v>
      </c>
      <c r="D795" s="3" t="s">
        <v>1315</v>
      </c>
      <c r="E795" s="1"/>
      <c r="F795" s="8" t="s">
        <v>66</v>
      </c>
    </row>
    <row r="796" spans="1:6" x14ac:dyDescent="0.2">
      <c r="A796" s="3">
        <v>794</v>
      </c>
      <c r="B796" s="3" t="s">
        <v>1316</v>
      </c>
      <c r="C796" s="3" t="s">
        <v>1317</v>
      </c>
      <c r="D796" s="3" t="s">
        <v>1317</v>
      </c>
      <c r="E796" s="1"/>
      <c r="F796" s="8" t="s">
        <v>66</v>
      </c>
    </row>
    <row r="797" spans="1:6" x14ac:dyDescent="0.2">
      <c r="A797" s="3">
        <v>795</v>
      </c>
      <c r="B797" s="3" t="s">
        <v>1318</v>
      </c>
      <c r="C797" s="3" t="s">
        <v>1319</v>
      </c>
      <c r="D797" s="3" t="s">
        <v>1319</v>
      </c>
      <c r="E797" s="1"/>
      <c r="F797" s="8" t="s">
        <v>66</v>
      </c>
    </row>
    <row r="798" spans="1:6" x14ac:dyDescent="0.2">
      <c r="A798" s="3">
        <v>796</v>
      </c>
      <c r="B798" s="3" t="s">
        <v>1320</v>
      </c>
      <c r="C798" s="3" t="s">
        <v>1321</v>
      </c>
      <c r="D798" s="3" t="s">
        <v>1321</v>
      </c>
      <c r="E798" s="1"/>
      <c r="F798" s="8" t="s">
        <v>66</v>
      </c>
    </row>
    <row r="799" spans="1:6" x14ac:dyDescent="0.2">
      <c r="A799" s="3">
        <v>797</v>
      </c>
      <c r="B799" s="3" t="s">
        <v>1322</v>
      </c>
      <c r="C799" s="3" t="s">
        <v>1323</v>
      </c>
      <c r="D799" s="3" t="s">
        <v>1323</v>
      </c>
      <c r="E799" s="1"/>
      <c r="F799" s="8" t="s">
        <v>66</v>
      </c>
    </row>
    <row r="800" spans="1:6" x14ac:dyDescent="0.2">
      <c r="A800" s="3">
        <v>798</v>
      </c>
      <c r="B800" s="3" t="s">
        <v>1324</v>
      </c>
      <c r="C800" s="3" t="s">
        <v>1323</v>
      </c>
      <c r="D800" s="3" t="s">
        <v>1323</v>
      </c>
      <c r="E800" s="1"/>
      <c r="F800" s="8" t="s">
        <v>66</v>
      </c>
    </row>
    <row r="801" spans="1:6" x14ac:dyDescent="0.2">
      <c r="A801" s="3">
        <v>799</v>
      </c>
      <c r="B801" s="3" t="s">
        <v>1325</v>
      </c>
      <c r="C801" s="3" t="s">
        <v>1323</v>
      </c>
      <c r="D801" s="3" t="s">
        <v>1323</v>
      </c>
      <c r="E801" s="1"/>
      <c r="F801" s="8" t="s">
        <v>66</v>
      </c>
    </row>
    <row r="802" spans="1:6" x14ac:dyDescent="0.2">
      <c r="A802" s="3">
        <v>800</v>
      </c>
      <c r="B802" s="3" t="s">
        <v>1326</v>
      </c>
      <c r="C802" s="3" t="s">
        <v>1327</v>
      </c>
      <c r="D802" s="3" t="s">
        <v>1327</v>
      </c>
      <c r="E802" s="1"/>
      <c r="F802" s="8" t="s">
        <v>66</v>
      </c>
    </row>
    <row r="803" spans="1:6" x14ac:dyDescent="0.2">
      <c r="A803" s="3">
        <v>801</v>
      </c>
      <c r="B803" s="3" t="s">
        <v>1328</v>
      </c>
      <c r="C803" s="3" t="s">
        <v>1329</v>
      </c>
      <c r="D803" s="3" t="s">
        <v>1329</v>
      </c>
      <c r="E803" s="1"/>
      <c r="F803" s="8" t="s">
        <v>66</v>
      </c>
    </row>
    <row r="804" spans="1:6" x14ac:dyDescent="0.2">
      <c r="A804" s="3">
        <v>802</v>
      </c>
      <c r="B804" s="3" t="s">
        <v>1330</v>
      </c>
      <c r="C804" s="3" t="s">
        <v>1331</v>
      </c>
      <c r="D804" s="3" t="s">
        <v>1331</v>
      </c>
      <c r="E804" s="1"/>
      <c r="F804" s="8" t="s">
        <v>66</v>
      </c>
    </row>
    <row r="805" spans="1:6" x14ac:dyDescent="0.2">
      <c r="A805" s="3">
        <v>803</v>
      </c>
      <c r="B805" s="3" t="s">
        <v>1332</v>
      </c>
      <c r="C805" s="3" t="s">
        <v>1333</v>
      </c>
      <c r="D805" s="3" t="s">
        <v>1333</v>
      </c>
      <c r="E805" s="1"/>
      <c r="F805" s="8" t="s">
        <v>66</v>
      </c>
    </row>
    <row r="806" spans="1:6" x14ac:dyDescent="0.2">
      <c r="A806" s="3">
        <v>804</v>
      </c>
      <c r="B806" s="3" t="s">
        <v>1334</v>
      </c>
      <c r="C806" s="3" t="s">
        <v>1333</v>
      </c>
      <c r="D806" s="3" t="s">
        <v>1333</v>
      </c>
      <c r="E806" s="1"/>
      <c r="F806" s="8" t="s">
        <v>66</v>
      </c>
    </row>
    <row r="807" spans="1:6" x14ac:dyDescent="0.2">
      <c r="A807" s="3">
        <v>805</v>
      </c>
      <c r="B807" s="3" t="s">
        <v>1335</v>
      </c>
      <c r="C807" s="3" t="s">
        <v>1336</v>
      </c>
      <c r="D807" s="3" t="s">
        <v>1336</v>
      </c>
      <c r="E807" s="1"/>
      <c r="F807" s="8" t="s">
        <v>66</v>
      </c>
    </row>
    <row r="808" spans="1:6" x14ac:dyDescent="0.2">
      <c r="A808" s="3">
        <v>806</v>
      </c>
      <c r="B808" s="3" t="s">
        <v>1337</v>
      </c>
      <c r="C808" s="3" t="s">
        <v>1336</v>
      </c>
      <c r="D808" s="3" t="s">
        <v>1336</v>
      </c>
      <c r="E808" s="1"/>
      <c r="F808" s="8" t="s">
        <v>66</v>
      </c>
    </row>
    <row r="809" spans="1:6" x14ac:dyDescent="0.2">
      <c r="A809" s="3">
        <v>807</v>
      </c>
      <c r="B809" s="3" t="s">
        <v>1338</v>
      </c>
      <c r="C809" s="3" t="s">
        <v>1336</v>
      </c>
      <c r="D809" s="3" t="s">
        <v>1336</v>
      </c>
      <c r="E809" s="1"/>
      <c r="F809" s="8" t="s">
        <v>66</v>
      </c>
    </row>
    <row r="810" spans="1:6" x14ac:dyDescent="0.2">
      <c r="A810" s="3">
        <v>808</v>
      </c>
      <c r="B810" s="3" t="s">
        <v>1339</v>
      </c>
      <c r="C810" s="3" t="s">
        <v>1340</v>
      </c>
      <c r="D810" s="3" t="s">
        <v>1340</v>
      </c>
      <c r="E810" s="1"/>
      <c r="F810" s="8" t="s">
        <v>66</v>
      </c>
    </row>
    <row r="811" spans="1:6" x14ac:dyDescent="0.2">
      <c r="A811" s="3">
        <v>809</v>
      </c>
      <c r="B811" s="3" t="s">
        <v>1341</v>
      </c>
      <c r="C811" s="3" t="s">
        <v>1340</v>
      </c>
      <c r="D811" s="3" t="s">
        <v>1340</v>
      </c>
      <c r="E811" s="1"/>
      <c r="F811" s="8" t="s">
        <v>66</v>
      </c>
    </row>
    <row r="812" spans="1:6" x14ac:dyDescent="0.2">
      <c r="A812" s="3">
        <v>810</v>
      </c>
      <c r="B812" s="3" t="s">
        <v>1342</v>
      </c>
      <c r="C812" s="3" t="s">
        <v>1340</v>
      </c>
      <c r="D812" s="3" t="s">
        <v>1340</v>
      </c>
      <c r="E812" s="1"/>
      <c r="F812" s="8" t="s">
        <v>66</v>
      </c>
    </row>
    <row r="813" spans="1:6" x14ac:dyDescent="0.2">
      <c r="A813" s="3">
        <v>811</v>
      </c>
      <c r="B813" s="3" t="s">
        <v>1343</v>
      </c>
      <c r="C813" s="3" t="s">
        <v>1344</v>
      </c>
      <c r="D813" s="3" t="s">
        <v>1344</v>
      </c>
      <c r="E813" s="1"/>
      <c r="F813" s="8" t="s">
        <v>66</v>
      </c>
    </row>
    <row r="814" spans="1:6" x14ac:dyDescent="0.2">
      <c r="A814" s="3">
        <v>812</v>
      </c>
      <c r="B814" s="3" t="s">
        <v>1345</v>
      </c>
      <c r="C814" s="3" t="s">
        <v>1346</v>
      </c>
      <c r="D814" s="3" t="s">
        <v>1346</v>
      </c>
      <c r="E814" s="1"/>
      <c r="F814" s="8" t="s">
        <v>66</v>
      </c>
    </row>
    <row r="815" spans="1:6" x14ac:dyDescent="0.2">
      <c r="A815" s="3">
        <v>813</v>
      </c>
      <c r="B815" s="3" t="s">
        <v>1347</v>
      </c>
      <c r="C815" s="3" t="s">
        <v>1346</v>
      </c>
      <c r="D815" s="3" t="s">
        <v>1346</v>
      </c>
      <c r="E815" s="1"/>
      <c r="F815" s="8" t="s">
        <v>66</v>
      </c>
    </row>
    <row r="816" spans="1:6" x14ac:dyDescent="0.2">
      <c r="A816" s="3">
        <v>814</v>
      </c>
      <c r="B816" s="3" t="s">
        <v>1348</v>
      </c>
      <c r="C816" s="3" t="s">
        <v>1349</v>
      </c>
      <c r="D816" s="3" t="s">
        <v>1349</v>
      </c>
      <c r="E816" s="1"/>
      <c r="F816" s="8" t="s">
        <v>66</v>
      </c>
    </row>
    <row r="817" spans="1:6" x14ac:dyDescent="0.2">
      <c r="A817" s="3">
        <v>815</v>
      </c>
      <c r="B817" s="3" t="s">
        <v>1350</v>
      </c>
      <c r="C817" s="3" t="s">
        <v>1351</v>
      </c>
      <c r="D817" s="3" t="s">
        <v>1351</v>
      </c>
      <c r="E817" s="1"/>
      <c r="F817" s="8" t="s">
        <v>66</v>
      </c>
    </row>
    <row r="818" spans="1:6" x14ac:dyDescent="0.2">
      <c r="A818" s="3">
        <v>816</v>
      </c>
      <c r="B818" s="3" t="s">
        <v>1352</v>
      </c>
      <c r="C818" s="3" t="s">
        <v>1353</v>
      </c>
      <c r="D818" s="3" t="s">
        <v>1353</v>
      </c>
      <c r="E818" s="1"/>
      <c r="F818" s="8" t="s">
        <v>66</v>
      </c>
    </row>
    <row r="819" spans="1:6" x14ac:dyDescent="0.2">
      <c r="A819" s="3">
        <v>817</v>
      </c>
      <c r="B819" s="3" t="s">
        <v>1354</v>
      </c>
      <c r="C819" s="3" t="s">
        <v>1355</v>
      </c>
      <c r="D819" s="3" t="s">
        <v>1355</v>
      </c>
      <c r="E819" s="1"/>
      <c r="F819" s="8" t="s">
        <v>66</v>
      </c>
    </row>
    <row r="820" spans="1:6" x14ac:dyDescent="0.2">
      <c r="A820" s="3">
        <v>818</v>
      </c>
      <c r="B820" s="3" t="s">
        <v>1356</v>
      </c>
      <c r="C820" s="3" t="s">
        <v>1355</v>
      </c>
      <c r="D820" s="3" t="s">
        <v>1355</v>
      </c>
      <c r="E820" s="1"/>
      <c r="F820" s="8" t="s">
        <v>66</v>
      </c>
    </row>
    <row r="821" spans="1:6" x14ac:dyDescent="0.2">
      <c r="A821" s="3">
        <v>819</v>
      </c>
      <c r="B821" s="3" t="s">
        <v>1357</v>
      </c>
      <c r="C821" s="3" t="s">
        <v>1355</v>
      </c>
      <c r="D821" s="3" t="s">
        <v>1355</v>
      </c>
      <c r="E821" s="1"/>
      <c r="F821" s="8" t="s">
        <v>66</v>
      </c>
    </row>
    <row r="822" spans="1:6" x14ac:dyDescent="0.2">
      <c r="A822" s="3">
        <v>820</v>
      </c>
      <c r="B822" s="3" t="s">
        <v>1358</v>
      </c>
      <c r="C822" s="3" t="s">
        <v>1359</v>
      </c>
      <c r="D822" s="3" t="s">
        <v>1359</v>
      </c>
      <c r="E822" s="1"/>
      <c r="F822" s="8" t="s">
        <v>66</v>
      </c>
    </row>
    <row r="823" spans="1:6" x14ac:dyDescent="0.2">
      <c r="A823" s="3">
        <v>821</v>
      </c>
      <c r="B823" s="3" t="s">
        <v>1360</v>
      </c>
      <c r="C823" s="3" t="s">
        <v>1361</v>
      </c>
      <c r="D823" s="3" t="s">
        <v>1361</v>
      </c>
      <c r="E823" s="1"/>
      <c r="F823" s="8" t="s">
        <v>66</v>
      </c>
    </row>
    <row r="824" spans="1:6" x14ac:dyDescent="0.2">
      <c r="A824" s="3">
        <v>822</v>
      </c>
      <c r="B824" s="3" t="s">
        <v>1362</v>
      </c>
      <c r="C824" s="3" t="s">
        <v>1363</v>
      </c>
      <c r="D824" s="3" t="s">
        <v>1363</v>
      </c>
      <c r="E824" s="1"/>
      <c r="F824" s="8" t="s">
        <v>66</v>
      </c>
    </row>
    <row r="825" spans="1:6" x14ac:dyDescent="0.2">
      <c r="A825" s="3">
        <v>823</v>
      </c>
      <c r="B825" s="3" t="s">
        <v>1364</v>
      </c>
      <c r="C825" s="3" t="s">
        <v>1363</v>
      </c>
      <c r="D825" s="3" t="s">
        <v>1363</v>
      </c>
      <c r="E825" s="1"/>
      <c r="F825" s="8" t="s">
        <v>66</v>
      </c>
    </row>
    <row r="826" spans="1:6" x14ac:dyDescent="0.2">
      <c r="A826" s="3">
        <v>824</v>
      </c>
      <c r="B826" s="3" t="s">
        <v>1365</v>
      </c>
      <c r="C826" s="3" t="s">
        <v>1363</v>
      </c>
      <c r="D826" s="3" t="s">
        <v>1363</v>
      </c>
      <c r="E826" s="1"/>
      <c r="F826" s="8" t="s">
        <v>66</v>
      </c>
    </row>
    <row r="827" spans="1:6" x14ac:dyDescent="0.2">
      <c r="A827" s="3">
        <v>825</v>
      </c>
      <c r="B827" s="3" t="s">
        <v>1366</v>
      </c>
      <c r="C827" s="3" t="s">
        <v>1367</v>
      </c>
      <c r="D827" s="3" t="s">
        <v>1367</v>
      </c>
      <c r="E827" s="1"/>
      <c r="F827" s="8" t="s">
        <v>66</v>
      </c>
    </row>
    <row r="828" spans="1:6" x14ac:dyDescent="0.2">
      <c r="A828" s="3">
        <v>826</v>
      </c>
      <c r="B828" s="3" t="s">
        <v>1368</v>
      </c>
      <c r="C828" s="3" t="s">
        <v>1369</v>
      </c>
      <c r="D828" s="3" t="s">
        <v>1369</v>
      </c>
      <c r="E828" s="1"/>
      <c r="F828" s="8" t="s">
        <v>66</v>
      </c>
    </row>
    <row r="829" spans="1:6" x14ac:dyDescent="0.2">
      <c r="A829" s="3">
        <v>827</v>
      </c>
      <c r="B829" s="3" t="s">
        <v>1370</v>
      </c>
      <c r="C829" s="3" t="s">
        <v>1369</v>
      </c>
      <c r="D829" s="3" t="s">
        <v>1369</v>
      </c>
      <c r="E829" s="1"/>
      <c r="F829" s="8" t="s">
        <v>66</v>
      </c>
    </row>
    <row r="830" spans="1:6" x14ac:dyDescent="0.2">
      <c r="A830" s="3">
        <v>828</v>
      </c>
      <c r="B830" s="3" t="s">
        <v>1371</v>
      </c>
      <c r="C830" s="3" t="s">
        <v>1369</v>
      </c>
      <c r="D830" s="3" t="s">
        <v>1369</v>
      </c>
      <c r="E830" s="1"/>
      <c r="F830" s="8" t="s">
        <v>66</v>
      </c>
    </row>
    <row r="831" spans="1:6" x14ac:dyDescent="0.2">
      <c r="A831" s="3">
        <v>829</v>
      </c>
      <c r="B831" s="3" t="s">
        <v>1372</v>
      </c>
      <c r="C831" s="3" t="s">
        <v>1369</v>
      </c>
      <c r="D831" s="3" t="s">
        <v>1369</v>
      </c>
      <c r="E831" s="1"/>
      <c r="F831" s="8" t="s">
        <v>66</v>
      </c>
    </row>
    <row r="832" spans="1:6" x14ac:dyDescent="0.2">
      <c r="A832" s="3">
        <v>830</v>
      </c>
      <c r="B832" s="3" t="s">
        <v>1373</v>
      </c>
      <c r="C832" s="3" t="s">
        <v>1374</v>
      </c>
      <c r="D832" s="3" t="s">
        <v>1374</v>
      </c>
      <c r="E832" s="1"/>
      <c r="F832" s="8" t="s">
        <v>66</v>
      </c>
    </row>
    <row r="833" spans="1:6" x14ac:dyDescent="0.2">
      <c r="A833" s="3">
        <v>831</v>
      </c>
      <c r="B833" s="3" t="s">
        <v>1375</v>
      </c>
      <c r="C833" s="3" t="s">
        <v>1374</v>
      </c>
      <c r="D833" s="3" t="s">
        <v>1374</v>
      </c>
      <c r="E833" s="1"/>
      <c r="F833" s="8" t="s">
        <v>66</v>
      </c>
    </row>
    <row r="834" spans="1:6" x14ac:dyDescent="0.2">
      <c r="A834" s="3">
        <v>832</v>
      </c>
      <c r="B834" s="3" t="s">
        <v>1376</v>
      </c>
      <c r="C834" s="3" t="s">
        <v>1377</v>
      </c>
      <c r="D834" s="3" t="s">
        <v>1377</v>
      </c>
      <c r="E834" s="1"/>
      <c r="F834" s="8" t="s">
        <v>66</v>
      </c>
    </row>
    <row r="835" spans="1:6" x14ac:dyDescent="0.2">
      <c r="A835" s="3">
        <v>833</v>
      </c>
      <c r="B835" s="3" t="s">
        <v>1378</v>
      </c>
      <c r="C835" s="3" t="s">
        <v>1377</v>
      </c>
      <c r="D835" s="3" t="s">
        <v>1377</v>
      </c>
      <c r="E835" s="1"/>
      <c r="F835" s="8" t="s">
        <v>66</v>
      </c>
    </row>
    <row r="836" spans="1:6" x14ac:dyDescent="0.2">
      <c r="A836" s="3">
        <v>834</v>
      </c>
      <c r="B836" s="3" t="s">
        <v>1379</v>
      </c>
      <c r="C836" s="3" t="s">
        <v>1377</v>
      </c>
      <c r="D836" s="3" t="s">
        <v>1377</v>
      </c>
      <c r="E836" s="1"/>
      <c r="F836" s="8" t="s">
        <v>66</v>
      </c>
    </row>
    <row r="837" spans="1:6" x14ac:dyDescent="0.2">
      <c r="A837" s="3">
        <v>835</v>
      </c>
      <c r="B837" s="3" t="s">
        <v>1380</v>
      </c>
      <c r="C837" s="3" t="s">
        <v>1381</v>
      </c>
      <c r="D837" s="3" t="s">
        <v>1381</v>
      </c>
      <c r="E837" s="1"/>
      <c r="F837" s="8" t="s">
        <v>66</v>
      </c>
    </row>
    <row r="838" spans="1:6" x14ac:dyDescent="0.2">
      <c r="A838" s="3">
        <v>836</v>
      </c>
      <c r="B838" s="3" t="s">
        <v>1382</v>
      </c>
      <c r="C838" s="3" t="s">
        <v>1383</v>
      </c>
      <c r="D838" s="3" t="s">
        <v>1383</v>
      </c>
      <c r="E838" s="1"/>
      <c r="F838" s="8" t="s">
        <v>66</v>
      </c>
    </row>
    <row r="839" spans="1:6" x14ac:dyDescent="0.2">
      <c r="A839" s="3">
        <v>837</v>
      </c>
      <c r="B839" s="3" t="s">
        <v>1384</v>
      </c>
      <c r="C839" s="3" t="s">
        <v>1385</v>
      </c>
      <c r="D839" s="3" t="s">
        <v>1385</v>
      </c>
      <c r="E839" s="1"/>
      <c r="F839" s="8" t="s">
        <v>66</v>
      </c>
    </row>
    <row r="840" spans="1:6" x14ac:dyDescent="0.2">
      <c r="A840" s="3">
        <v>838</v>
      </c>
      <c r="B840" s="3" t="s">
        <v>1386</v>
      </c>
      <c r="C840" s="3" t="s">
        <v>1387</v>
      </c>
      <c r="D840" s="3" t="s">
        <v>1387</v>
      </c>
      <c r="E840" s="1"/>
      <c r="F840" s="8" t="s">
        <v>66</v>
      </c>
    </row>
    <row r="841" spans="1:6" x14ac:dyDescent="0.2">
      <c r="A841" s="3">
        <v>839</v>
      </c>
      <c r="B841" s="3" t="s">
        <v>1388</v>
      </c>
      <c r="C841" s="3" t="s">
        <v>1387</v>
      </c>
      <c r="D841" s="3" t="s">
        <v>1387</v>
      </c>
      <c r="E841" s="1"/>
      <c r="F841" s="8" t="s">
        <v>66</v>
      </c>
    </row>
    <row r="842" spans="1:6" x14ac:dyDescent="0.2">
      <c r="A842" s="3">
        <v>840</v>
      </c>
      <c r="B842" s="3" t="s">
        <v>1389</v>
      </c>
      <c r="C842" s="3" t="s">
        <v>1390</v>
      </c>
      <c r="D842" s="3" t="s">
        <v>1390</v>
      </c>
      <c r="E842" s="1"/>
      <c r="F842" s="8" t="s">
        <v>66</v>
      </c>
    </row>
    <row r="843" spans="1:6" x14ac:dyDescent="0.2">
      <c r="A843" s="3">
        <v>841</v>
      </c>
      <c r="B843" s="3" t="s">
        <v>1391</v>
      </c>
      <c r="C843" s="3" t="s">
        <v>1392</v>
      </c>
      <c r="D843" s="3" t="s">
        <v>1392</v>
      </c>
      <c r="E843" s="1"/>
      <c r="F843" s="8" t="s">
        <v>66</v>
      </c>
    </row>
    <row r="844" spans="1:6" x14ac:dyDescent="0.2">
      <c r="A844" s="3">
        <v>842</v>
      </c>
      <c r="B844" s="3" t="s">
        <v>1393</v>
      </c>
      <c r="C844" s="3" t="s">
        <v>1392</v>
      </c>
      <c r="D844" s="3" t="s">
        <v>1392</v>
      </c>
      <c r="E844" s="1"/>
      <c r="F844" s="8" t="s">
        <v>66</v>
      </c>
    </row>
    <row r="845" spans="1:6" x14ac:dyDescent="0.2">
      <c r="A845" s="3">
        <v>843</v>
      </c>
      <c r="B845" s="3" t="s">
        <v>1394</v>
      </c>
      <c r="C845" s="3" t="s">
        <v>1392</v>
      </c>
      <c r="D845" s="3" t="s">
        <v>1392</v>
      </c>
      <c r="E845" s="1"/>
      <c r="F845" s="8" t="s">
        <v>66</v>
      </c>
    </row>
    <row r="846" spans="1:6" x14ac:dyDescent="0.2">
      <c r="A846" s="3">
        <v>844</v>
      </c>
      <c r="B846" s="3" t="s">
        <v>1395</v>
      </c>
      <c r="C846" s="3" t="s">
        <v>1392</v>
      </c>
      <c r="D846" s="3" t="s">
        <v>1392</v>
      </c>
      <c r="E846" s="1"/>
      <c r="F846" s="8" t="s">
        <v>66</v>
      </c>
    </row>
    <row r="847" spans="1:6" x14ac:dyDescent="0.2">
      <c r="A847" s="3">
        <v>845</v>
      </c>
      <c r="B847" s="3" t="s">
        <v>1396</v>
      </c>
      <c r="C847" s="3" t="s">
        <v>1392</v>
      </c>
      <c r="D847" s="3" t="s">
        <v>1392</v>
      </c>
      <c r="E847" s="1"/>
      <c r="F847" s="8" t="s">
        <v>66</v>
      </c>
    </row>
    <row r="848" spans="1:6" x14ac:dyDescent="0.2">
      <c r="A848" s="3">
        <v>846</v>
      </c>
      <c r="B848" s="3" t="s">
        <v>1397</v>
      </c>
      <c r="C848" s="3" t="s">
        <v>1392</v>
      </c>
      <c r="D848" s="3" t="s">
        <v>1392</v>
      </c>
      <c r="E848" s="1"/>
      <c r="F848" s="8" t="s">
        <v>66</v>
      </c>
    </row>
    <row r="849" spans="1:6" x14ac:dyDescent="0.2">
      <c r="A849" s="3">
        <v>847</v>
      </c>
      <c r="B849" s="3" t="s">
        <v>1398</v>
      </c>
      <c r="C849" s="3" t="s">
        <v>1392</v>
      </c>
      <c r="D849" s="3" t="s">
        <v>1392</v>
      </c>
      <c r="E849" s="1"/>
      <c r="F849" s="8" t="s">
        <v>66</v>
      </c>
    </row>
    <row r="850" spans="1:6" x14ac:dyDescent="0.2">
      <c r="A850" s="3">
        <v>848</v>
      </c>
      <c r="B850" s="3" t="s">
        <v>1399</v>
      </c>
      <c r="C850" s="3" t="s">
        <v>1392</v>
      </c>
      <c r="D850" s="3" t="s">
        <v>1392</v>
      </c>
      <c r="E850" s="1"/>
      <c r="F850" s="8" t="s">
        <v>66</v>
      </c>
    </row>
    <row r="851" spans="1:6" x14ac:dyDescent="0.2">
      <c r="A851" s="3">
        <v>849</v>
      </c>
      <c r="B851" s="3" t="s">
        <v>1400</v>
      </c>
      <c r="C851" s="3" t="s">
        <v>1401</v>
      </c>
      <c r="D851" s="3" t="s">
        <v>1401</v>
      </c>
      <c r="E851" s="1"/>
      <c r="F851" s="8" t="s">
        <v>66</v>
      </c>
    </row>
    <row r="852" spans="1:6" x14ac:dyDescent="0.2">
      <c r="A852" s="3">
        <v>850</v>
      </c>
      <c r="B852" s="3" t="s">
        <v>1402</v>
      </c>
      <c r="C852" s="3" t="s">
        <v>1401</v>
      </c>
      <c r="D852" s="3" t="s">
        <v>1401</v>
      </c>
      <c r="E852" s="1"/>
      <c r="F852" s="8" t="s">
        <v>66</v>
      </c>
    </row>
    <row r="853" spans="1:6" x14ac:dyDescent="0.2">
      <c r="A853" s="3">
        <v>851</v>
      </c>
      <c r="B853" s="3" t="s">
        <v>1403</v>
      </c>
      <c r="C853" s="3" t="s">
        <v>1401</v>
      </c>
      <c r="D853" s="3" t="s">
        <v>1401</v>
      </c>
      <c r="E853" s="1"/>
      <c r="F853" s="8" t="s">
        <v>66</v>
      </c>
    </row>
    <row r="854" spans="1:6" x14ac:dyDescent="0.2">
      <c r="A854" s="3">
        <v>852</v>
      </c>
      <c r="B854" s="3" t="s">
        <v>1404</v>
      </c>
      <c r="C854" s="3" t="s">
        <v>1405</v>
      </c>
      <c r="D854" s="3" t="s">
        <v>1405</v>
      </c>
      <c r="E854" s="1"/>
      <c r="F854" s="8" t="s">
        <v>66</v>
      </c>
    </row>
    <row r="855" spans="1:6" x14ac:dyDescent="0.2">
      <c r="A855" s="3">
        <v>853</v>
      </c>
      <c r="B855" s="3" t="s">
        <v>1406</v>
      </c>
      <c r="C855" s="3" t="s">
        <v>1405</v>
      </c>
      <c r="D855" s="3" t="s">
        <v>1405</v>
      </c>
      <c r="E855" s="1"/>
      <c r="F855" s="8" t="s">
        <v>66</v>
      </c>
    </row>
    <row r="856" spans="1:6" x14ac:dyDescent="0.2">
      <c r="A856" s="3">
        <v>854</v>
      </c>
      <c r="B856" s="3" t="s">
        <v>1407</v>
      </c>
      <c r="C856" s="3" t="s">
        <v>1405</v>
      </c>
      <c r="D856" s="3" t="s">
        <v>1405</v>
      </c>
      <c r="E856" s="1"/>
      <c r="F856" s="8" t="s">
        <v>66</v>
      </c>
    </row>
    <row r="857" spans="1:6" x14ac:dyDescent="0.2">
      <c r="A857" s="3">
        <v>855</v>
      </c>
      <c r="B857" s="3" t="s">
        <v>1408</v>
      </c>
      <c r="C857" s="3" t="s">
        <v>1405</v>
      </c>
      <c r="D857" s="3" t="s">
        <v>1405</v>
      </c>
      <c r="E857" s="1"/>
      <c r="F857" s="8" t="s">
        <v>66</v>
      </c>
    </row>
    <row r="858" spans="1:6" x14ac:dyDescent="0.2">
      <c r="A858" s="3">
        <v>856</v>
      </c>
      <c r="B858" s="3" t="s">
        <v>1409</v>
      </c>
      <c r="C858" s="3" t="s">
        <v>1410</v>
      </c>
      <c r="D858" s="3" t="s">
        <v>1410</v>
      </c>
      <c r="E858" s="1"/>
      <c r="F858" s="8" t="s">
        <v>66</v>
      </c>
    </row>
    <row r="859" spans="1:6" x14ac:dyDescent="0.2">
      <c r="A859" s="3">
        <v>857</v>
      </c>
      <c r="B859" s="3" t="s">
        <v>1411</v>
      </c>
      <c r="C859" s="3" t="s">
        <v>1412</v>
      </c>
      <c r="D859" s="3" t="s">
        <v>1412</v>
      </c>
      <c r="E859" s="1"/>
      <c r="F859" s="8" t="s">
        <v>66</v>
      </c>
    </row>
    <row r="860" spans="1:6" x14ac:dyDescent="0.2">
      <c r="A860" s="3">
        <v>858</v>
      </c>
      <c r="B860" s="3" t="s">
        <v>1413</v>
      </c>
      <c r="C860" s="3" t="s">
        <v>1414</v>
      </c>
      <c r="D860" s="3" t="s">
        <v>1414</v>
      </c>
      <c r="E860" s="1"/>
      <c r="F860" s="8" t="s">
        <v>66</v>
      </c>
    </row>
    <row r="861" spans="1:6" x14ac:dyDescent="0.2">
      <c r="A861" s="3">
        <v>859</v>
      </c>
      <c r="B861" s="3" t="s">
        <v>1415</v>
      </c>
      <c r="C861" s="3" t="s">
        <v>1416</v>
      </c>
      <c r="D861" s="3" t="s">
        <v>1416</v>
      </c>
      <c r="E861" s="1"/>
      <c r="F861" s="8" t="s">
        <v>66</v>
      </c>
    </row>
    <row r="862" spans="1:6" x14ac:dyDescent="0.2">
      <c r="A862" s="3">
        <v>860</v>
      </c>
      <c r="B862" s="3" t="s">
        <v>1417</v>
      </c>
      <c r="C862" s="3" t="s">
        <v>1416</v>
      </c>
      <c r="D862" s="3" t="s">
        <v>1416</v>
      </c>
      <c r="E862" s="1"/>
      <c r="F862" s="8" t="s">
        <v>66</v>
      </c>
    </row>
    <row r="863" spans="1:6" x14ac:dyDescent="0.2">
      <c r="A863" s="3">
        <v>861</v>
      </c>
      <c r="B863" s="3" t="s">
        <v>1418</v>
      </c>
      <c r="C863" s="3" t="s">
        <v>1419</v>
      </c>
      <c r="D863" s="3" t="s">
        <v>1419</v>
      </c>
      <c r="E863" s="1"/>
      <c r="F863" s="8" t="s">
        <v>66</v>
      </c>
    </row>
    <row r="864" spans="1:6" x14ac:dyDescent="0.2">
      <c r="A864" s="3">
        <v>862</v>
      </c>
      <c r="B864" s="3" t="s">
        <v>1420</v>
      </c>
      <c r="C864" s="3" t="s">
        <v>1421</v>
      </c>
      <c r="D864" s="3" t="s">
        <v>1421</v>
      </c>
      <c r="E864" s="1"/>
      <c r="F864" s="8" t="s">
        <v>66</v>
      </c>
    </row>
    <row r="865" spans="1:6" x14ac:dyDescent="0.2">
      <c r="A865" s="3">
        <v>863</v>
      </c>
      <c r="B865" s="3" t="s">
        <v>1422</v>
      </c>
      <c r="C865" s="3" t="s">
        <v>1421</v>
      </c>
      <c r="D865" s="3" t="s">
        <v>1421</v>
      </c>
      <c r="E865" s="1"/>
      <c r="F865" s="8" t="s">
        <v>66</v>
      </c>
    </row>
    <row r="866" spans="1:6" x14ac:dyDescent="0.2">
      <c r="A866" s="3">
        <v>864</v>
      </c>
      <c r="B866" s="3" t="s">
        <v>1423</v>
      </c>
      <c r="C866" s="3" t="s">
        <v>1421</v>
      </c>
      <c r="D866" s="3" t="s">
        <v>1421</v>
      </c>
      <c r="E866" s="1"/>
      <c r="F866" s="8" t="s">
        <v>66</v>
      </c>
    </row>
    <row r="867" spans="1:6" x14ac:dyDescent="0.2">
      <c r="A867" s="3">
        <v>865</v>
      </c>
      <c r="B867" s="3" t="s">
        <v>1424</v>
      </c>
      <c r="C867" s="3" t="s">
        <v>1421</v>
      </c>
      <c r="D867" s="3" t="s">
        <v>1421</v>
      </c>
      <c r="E867" s="1"/>
      <c r="F867" s="8" t="s">
        <v>66</v>
      </c>
    </row>
    <row r="868" spans="1:6" x14ac:dyDescent="0.2">
      <c r="A868" s="3">
        <v>866</v>
      </c>
      <c r="B868" s="3" t="s">
        <v>1425</v>
      </c>
      <c r="C868" s="3" t="s">
        <v>1421</v>
      </c>
      <c r="D868" s="3" t="s">
        <v>1421</v>
      </c>
      <c r="E868" s="1"/>
      <c r="F868" s="8" t="s">
        <v>66</v>
      </c>
    </row>
    <row r="869" spans="1:6" x14ac:dyDescent="0.2">
      <c r="A869" s="3">
        <v>867</v>
      </c>
      <c r="B869" s="3" t="s">
        <v>1426</v>
      </c>
      <c r="C869" s="3" t="s">
        <v>1427</v>
      </c>
      <c r="D869" s="3" t="s">
        <v>1427</v>
      </c>
      <c r="E869" s="1"/>
      <c r="F869" s="8" t="s">
        <v>66</v>
      </c>
    </row>
    <row r="870" spans="1:6" x14ac:dyDescent="0.2">
      <c r="A870" s="3">
        <v>868</v>
      </c>
      <c r="B870" s="3" t="s">
        <v>1428</v>
      </c>
      <c r="C870" s="3" t="s">
        <v>1429</v>
      </c>
      <c r="D870" s="3" t="s">
        <v>1429</v>
      </c>
      <c r="E870" s="1"/>
      <c r="F870" s="8" t="s">
        <v>66</v>
      </c>
    </row>
    <row r="871" spans="1:6" x14ac:dyDescent="0.2">
      <c r="A871" s="3">
        <v>869</v>
      </c>
      <c r="B871" s="3" t="s">
        <v>1430</v>
      </c>
      <c r="C871" s="3" t="s">
        <v>1429</v>
      </c>
      <c r="D871" s="3" t="s">
        <v>1429</v>
      </c>
      <c r="E871" s="1"/>
      <c r="F871" s="8" t="s">
        <v>66</v>
      </c>
    </row>
    <row r="872" spans="1:6" x14ac:dyDescent="0.2">
      <c r="A872" s="3">
        <v>870</v>
      </c>
      <c r="B872" s="3" t="s">
        <v>1431</v>
      </c>
      <c r="C872" s="3" t="s">
        <v>1429</v>
      </c>
      <c r="D872" s="3" t="s">
        <v>1429</v>
      </c>
      <c r="E872" s="1"/>
      <c r="F872" s="8" t="s">
        <v>66</v>
      </c>
    </row>
    <row r="873" spans="1:6" x14ac:dyDescent="0.2">
      <c r="A873" s="3">
        <v>871</v>
      </c>
      <c r="B873" s="3" t="s">
        <v>1432</v>
      </c>
      <c r="C873" s="3" t="s">
        <v>1429</v>
      </c>
      <c r="D873" s="3" t="s">
        <v>1429</v>
      </c>
      <c r="E873" s="1"/>
      <c r="F873" s="8" t="s">
        <v>66</v>
      </c>
    </row>
    <row r="874" spans="1:6" x14ac:dyDescent="0.2">
      <c r="A874" s="3">
        <v>872</v>
      </c>
      <c r="B874" s="3" t="s">
        <v>1433</v>
      </c>
      <c r="C874" s="3" t="s">
        <v>1434</v>
      </c>
      <c r="D874" s="3" t="s">
        <v>1434</v>
      </c>
      <c r="E874" s="1"/>
      <c r="F874" s="8" t="s">
        <v>66</v>
      </c>
    </row>
    <row r="875" spans="1:6" x14ac:dyDescent="0.2">
      <c r="A875" s="3">
        <v>873</v>
      </c>
      <c r="B875" s="3" t="s">
        <v>1435</v>
      </c>
      <c r="C875" s="3" t="s">
        <v>1436</v>
      </c>
      <c r="D875" s="3" t="s">
        <v>1436</v>
      </c>
      <c r="E875" s="1"/>
      <c r="F875" s="8" t="s">
        <v>66</v>
      </c>
    </row>
    <row r="876" spans="1:6" x14ac:dyDescent="0.2">
      <c r="A876" s="3">
        <v>874</v>
      </c>
      <c r="B876" s="3" t="s">
        <v>1437</v>
      </c>
      <c r="C876" s="3" t="s">
        <v>1436</v>
      </c>
      <c r="D876" s="3" t="s">
        <v>1436</v>
      </c>
      <c r="E876" s="1"/>
      <c r="F876" s="8" t="s">
        <v>66</v>
      </c>
    </row>
    <row r="877" spans="1:6" x14ac:dyDescent="0.2">
      <c r="A877" s="3">
        <v>875</v>
      </c>
      <c r="B877" s="3" t="s">
        <v>1438</v>
      </c>
      <c r="C877" s="3" t="s">
        <v>1436</v>
      </c>
      <c r="D877" s="3" t="s">
        <v>1436</v>
      </c>
      <c r="E877" s="1"/>
      <c r="F877" s="8" t="s">
        <v>66</v>
      </c>
    </row>
    <row r="878" spans="1:6" x14ac:dyDescent="0.2">
      <c r="A878" s="3">
        <v>876</v>
      </c>
      <c r="B878" s="3" t="s">
        <v>1439</v>
      </c>
      <c r="C878" s="3" t="s">
        <v>1436</v>
      </c>
      <c r="D878" s="3" t="s">
        <v>1436</v>
      </c>
      <c r="E878" s="1"/>
      <c r="F878" s="8" t="s">
        <v>66</v>
      </c>
    </row>
    <row r="879" spans="1:6" x14ac:dyDescent="0.2">
      <c r="A879" s="3">
        <v>877</v>
      </c>
      <c r="B879" s="3" t="s">
        <v>1440</v>
      </c>
      <c r="C879" s="3" t="s">
        <v>1436</v>
      </c>
      <c r="D879" s="3" t="s">
        <v>1436</v>
      </c>
      <c r="E879" s="1"/>
      <c r="F879" s="8" t="s">
        <v>66</v>
      </c>
    </row>
    <row r="880" spans="1:6" x14ac:dyDescent="0.2">
      <c r="A880" s="3">
        <v>878</v>
      </c>
      <c r="B880" s="3" t="s">
        <v>1441</v>
      </c>
      <c r="C880" s="3" t="s">
        <v>1442</v>
      </c>
      <c r="D880" s="3" t="s">
        <v>1442</v>
      </c>
      <c r="E880" s="1"/>
      <c r="F880" s="8" t="s">
        <v>66</v>
      </c>
    </row>
    <row r="881" spans="1:6" x14ac:dyDescent="0.2">
      <c r="A881" s="3">
        <v>879</v>
      </c>
      <c r="B881" s="3" t="s">
        <v>1443</v>
      </c>
      <c r="C881" s="3" t="s">
        <v>1444</v>
      </c>
      <c r="D881" s="3" t="s">
        <v>1444</v>
      </c>
      <c r="E881" s="1"/>
      <c r="F881" s="8" t="s">
        <v>66</v>
      </c>
    </row>
    <row r="882" spans="1:6" x14ac:dyDescent="0.2">
      <c r="A882" s="3">
        <v>880</v>
      </c>
      <c r="B882" s="3" t="s">
        <v>1445</v>
      </c>
      <c r="C882" s="3" t="s">
        <v>1446</v>
      </c>
      <c r="D882" s="3" t="s">
        <v>1446</v>
      </c>
      <c r="E882" s="1"/>
      <c r="F882" s="8" t="s">
        <v>66</v>
      </c>
    </row>
    <row r="883" spans="1:6" x14ac:dyDescent="0.2">
      <c r="A883" s="3">
        <v>881</v>
      </c>
      <c r="B883" s="3" t="s">
        <v>1447</v>
      </c>
      <c r="C883" s="3" t="s">
        <v>1448</v>
      </c>
      <c r="D883" s="3" t="s">
        <v>1448</v>
      </c>
      <c r="E883" s="1"/>
      <c r="F883" s="8" t="s">
        <v>66</v>
      </c>
    </row>
    <row r="884" spans="1:6" x14ac:dyDescent="0.2">
      <c r="A884" s="3">
        <v>882</v>
      </c>
      <c r="B884" s="3" t="s">
        <v>1449</v>
      </c>
      <c r="C884" s="3" t="s">
        <v>1450</v>
      </c>
      <c r="D884" s="3" t="s">
        <v>1450</v>
      </c>
      <c r="E884" s="1"/>
      <c r="F884" s="8" t="s">
        <v>66</v>
      </c>
    </row>
    <row r="885" spans="1:6" x14ac:dyDescent="0.2">
      <c r="A885" s="3">
        <v>883</v>
      </c>
      <c r="B885" s="3" t="s">
        <v>1451</v>
      </c>
      <c r="C885" s="3" t="s">
        <v>1452</v>
      </c>
      <c r="D885" s="3" t="s">
        <v>1452</v>
      </c>
      <c r="E885" s="1"/>
      <c r="F885" s="8" t="s">
        <v>66</v>
      </c>
    </row>
    <row r="886" spans="1:6" x14ac:dyDescent="0.2">
      <c r="A886" s="3">
        <v>884</v>
      </c>
      <c r="B886" s="3" t="s">
        <v>1453</v>
      </c>
      <c r="C886" s="3" t="s">
        <v>1454</v>
      </c>
      <c r="D886" s="3" t="s">
        <v>1454</v>
      </c>
      <c r="E886" s="1"/>
      <c r="F886" s="8" t="s">
        <v>66</v>
      </c>
    </row>
    <row r="887" spans="1:6" x14ac:dyDescent="0.2">
      <c r="A887" s="3">
        <v>885</v>
      </c>
      <c r="B887" s="3" t="s">
        <v>1455</v>
      </c>
      <c r="C887" s="3" t="s">
        <v>1454</v>
      </c>
      <c r="D887" s="3" t="s">
        <v>1454</v>
      </c>
      <c r="E887" s="1"/>
      <c r="F887" s="8" t="s">
        <v>66</v>
      </c>
    </row>
    <row r="888" spans="1:6" x14ac:dyDescent="0.2">
      <c r="A888" s="3">
        <v>886</v>
      </c>
      <c r="B888" s="3" t="s">
        <v>1456</v>
      </c>
      <c r="C888" s="3" t="s">
        <v>1454</v>
      </c>
      <c r="D888" s="3" t="s">
        <v>1454</v>
      </c>
      <c r="E888" s="1"/>
      <c r="F888" s="8" t="s">
        <v>66</v>
      </c>
    </row>
    <row r="889" spans="1:6" x14ac:dyDescent="0.2">
      <c r="A889" s="3">
        <v>887</v>
      </c>
      <c r="B889" s="3" t="s">
        <v>1457</v>
      </c>
      <c r="C889" s="3" t="s">
        <v>1458</v>
      </c>
      <c r="D889" s="3" t="s">
        <v>1458</v>
      </c>
      <c r="E889" s="1"/>
      <c r="F889" s="8" t="s">
        <v>66</v>
      </c>
    </row>
    <row r="890" spans="1:6" x14ac:dyDescent="0.2">
      <c r="A890" s="3">
        <v>888</v>
      </c>
      <c r="B890" s="3" t="s">
        <v>1459</v>
      </c>
      <c r="C890" s="3" t="s">
        <v>1460</v>
      </c>
      <c r="D890" s="3" t="s">
        <v>1460</v>
      </c>
      <c r="E890" s="1"/>
      <c r="F890" s="8" t="s">
        <v>66</v>
      </c>
    </row>
    <row r="891" spans="1:6" x14ac:dyDescent="0.2">
      <c r="A891" s="3">
        <v>889</v>
      </c>
      <c r="B891" s="3" t="s">
        <v>1461</v>
      </c>
      <c r="C891" s="3" t="s">
        <v>1460</v>
      </c>
      <c r="D891" s="3" t="s">
        <v>1460</v>
      </c>
      <c r="E891" s="1"/>
      <c r="F891" s="8" t="s">
        <v>66</v>
      </c>
    </row>
    <row r="892" spans="1:6" x14ac:dyDescent="0.2">
      <c r="A892" s="3">
        <v>890</v>
      </c>
      <c r="B892" s="3" t="s">
        <v>1462</v>
      </c>
      <c r="C892" s="3" t="s">
        <v>1463</v>
      </c>
      <c r="D892" s="3" t="s">
        <v>1463</v>
      </c>
      <c r="E892" s="1"/>
      <c r="F892" s="8" t="s">
        <v>66</v>
      </c>
    </row>
    <row r="893" spans="1:6" x14ac:dyDescent="0.2">
      <c r="A893" s="3">
        <v>891</v>
      </c>
      <c r="B893" s="3" t="s">
        <v>1464</v>
      </c>
      <c r="C893" s="3" t="s">
        <v>1465</v>
      </c>
      <c r="D893" s="3" t="s">
        <v>1465</v>
      </c>
      <c r="E893" s="1"/>
      <c r="F893" s="8" t="s">
        <v>66</v>
      </c>
    </row>
    <row r="894" spans="1:6" x14ac:dyDescent="0.2">
      <c r="A894" s="3">
        <v>892</v>
      </c>
      <c r="B894" s="3" t="s">
        <v>1466</v>
      </c>
      <c r="C894" s="3" t="s">
        <v>1467</v>
      </c>
      <c r="D894" s="3" t="s">
        <v>1467</v>
      </c>
      <c r="E894" s="1"/>
      <c r="F894" s="8" t="s">
        <v>66</v>
      </c>
    </row>
    <row r="895" spans="1:6" x14ac:dyDescent="0.2">
      <c r="A895" s="3">
        <v>2610</v>
      </c>
      <c r="B895" s="3" t="s">
        <v>1466</v>
      </c>
      <c r="C895" s="3" t="s">
        <v>1467</v>
      </c>
      <c r="D895" s="3" t="s">
        <v>1467</v>
      </c>
      <c r="E895" s="1"/>
      <c r="F895" s="8" t="s">
        <v>66</v>
      </c>
    </row>
    <row r="896" spans="1:6" x14ac:dyDescent="0.2">
      <c r="A896" s="3">
        <v>893</v>
      </c>
      <c r="B896" s="3" t="s">
        <v>1468</v>
      </c>
      <c r="C896" s="3" t="s">
        <v>1469</v>
      </c>
      <c r="D896" s="3" t="s">
        <v>1469</v>
      </c>
      <c r="E896" s="1"/>
      <c r="F896" s="8" t="s">
        <v>66</v>
      </c>
    </row>
    <row r="897" spans="1:6" x14ac:dyDescent="0.2">
      <c r="A897" s="3">
        <v>894</v>
      </c>
      <c r="B897" s="3" t="s">
        <v>1470</v>
      </c>
      <c r="C897" s="3" t="s">
        <v>1469</v>
      </c>
      <c r="D897" s="3" t="s">
        <v>1469</v>
      </c>
      <c r="E897" s="1"/>
      <c r="F897" s="8" t="s">
        <v>66</v>
      </c>
    </row>
    <row r="898" spans="1:6" x14ac:dyDescent="0.2">
      <c r="A898" s="3">
        <v>895</v>
      </c>
      <c r="B898" s="3" t="s">
        <v>1471</v>
      </c>
      <c r="C898" s="3" t="s">
        <v>1471</v>
      </c>
      <c r="D898" s="3" t="s">
        <v>1471</v>
      </c>
      <c r="E898" s="1" t="s">
        <v>1472</v>
      </c>
      <c r="F898" s="8" t="s">
        <v>66</v>
      </c>
    </row>
    <row r="899" spans="1:6" x14ac:dyDescent="0.2">
      <c r="A899" s="3">
        <v>896</v>
      </c>
      <c r="B899" s="3" t="s">
        <v>1473</v>
      </c>
      <c r="C899" s="3" t="s">
        <v>1474</v>
      </c>
      <c r="D899" s="3" t="s">
        <v>1474</v>
      </c>
      <c r="E899" s="1"/>
      <c r="F899" s="8" t="s">
        <v>66</v>
      </c>
    </row>
    <row r="900" spans="1:6" x14ac:dyDescent="0.2">
      <c r="A900" s="3">
        <v>897</v>
      </c>
      <c r="B900" s="3" t="s">
        <v>1475</v>
      </c>
      <c r="C900" s="3" t="s">
        <v>1476</v>
      </c>
      <c r="D900" s="3" t="s">
        <v>1476</v>
      </c>
      <c r="E900" s="1"/>
      <c r="F900" s="8" t="s">
        <v>66</v>
      </c>
    </row>
    <row r="901" spans="1:6" x14ac:dyDescent="0.2">
      <c r="A901" s="3">
        <v>898</v>
      </c>
      <c r="B901" s="3" t="s">
        <v>1477</v>
      </c>
      <c r="C901" s="3" t="s">
        <v>1476</v>
      </c>
      <c r="D901" s="3" t="s">
        <v>1476</v>
      </c>
      <c r="E901" s="1"/>
      <c r="F901" s="8" t="s">
        <v>66</v>
      </c>
    </row>
    <row r="902" spans="1:6" x14ac:dyDescent="0.2">
      <c r="A902" s="3">
        <v>899</v>
      </c>
      <c r="B902" s="3" t="s">
        <v>1478</v>
      </c>
      <c r="C902" s="3" t="s">
        <v>1476</v>
      </c>
      <c r="D902" s="3" t="s">
        <v>1476</v>
      </c>
      <c r="E902" s="1"/>
      <c r="F902" s="8" t="s">
        <v>66</v>
      </c>
    </row>
    <row r="903" spans="1:6" x14ac:dyDescent="0.2">
      <c r="A903" s="3">
        <v>900</v>
      </c>
      <c r="B903" s="3" t="s">
        <v>1479</v>
      </c>
      <c r="C903" s="3" t="s">
        <v>1476</v>
      </c>
      <c r="D903" s="3" t="s">
        <v>1476</v>
      </c>
      <c r="E903" s="1"/>
      <c r="F903" s="8" t="s">
        <v>66</v>
      </c>
    </row>
    <row r="904" spans="1:6" x14ac:dyDescent="0.2">
      <c r="A904" s="3">
        <v>901</v>
      </c>
      <c r="B904" s="3" t="s">
        <v>1480</v>
      </c>
      <c r="C904" s="3" t="s">
        <v>1476</v>
      </c>
      <c r="D904" s="3" t="s">
        <v>1476</v>
      </c>
      <c r="E904" s="1"/>
      <c r="F904" s="8" t="s">
        <v>66</v>
      </c>
    </row>
    <row r="905" spans="1:6" x14ac:dyDescent="0.2">
      <c r="A905" s="3">
        <v>902</v>
      </c>
      <c r="B905" s="3" t="s">
        <v>1481</v>
      </c>
      <c r="C905" s="3" t="s">
        <v>1482</v>
      </c>
      <c r="D905" s="3" t="s">
        <v>1482</v>
      </c>
      <c r="E905" s="1"/>
      <c r="F905" s="8" t="s">
        <v>66</v>
      </c>
    </row>
    <row r="906" spans="1:6" x14ac:dyDescent="0.2">
      <c r="A906" s="3">
        <v>903</v>
      </c>
      <c r="B906" s="3" t="s">
        <v>1483</v>
      </c>
      <c r="C906" s="3" t="s">
        <v>1484</v>
      </c>
      <c r="D906" s="3" t="s">
        <v>1484</v>
      </c>
      <c r="E906" s="1"/>
      <c r="F906" s="8" t="s">
        <v>66</v>
      </c>
    </row>
    <row r="907" spans="1:6" x14ac:dyDescent="0.2">
      <c r="A907" s="3">
        <v>904</v>
      </c>
      <c r="B907" s="3" t="s">
        <v>1485</v>
      </c>
      <c r="C907" s="3" t="s">
        <v>1486</v>
      </c>
      <c r="D907" s="3" t="s">
        <v>1486</v>
      </c>
      <c r="E907" s="1"/>
      <c r="F907" s="8" t="s">
        <v>66</v>
      </c>
    </row>
    <row r="908" spans="1:6" x14ac:dyDescent="0.2">
      <c r="A908" s="3">
        <v>905</v>
      </c>
      <c r="B908" s="3" t="s">
        <v>1487</v>
      </c>
      <c r="C908" s="3" t="s">
        <v>1488</v>
      </c>
      <c r="D908" s="3" t="s">
        <v>1488</v>
      </c>
      <c r="E908" s="1"/>
      <c r="F908" s="8" t="s">
        <v>66</v>
      </c>
    </row>
    <row r="909" spans="1:6" x14ac:dyDescent="0.2">
      <c r="A909" s="3">
        <v>906</v>
      </c>
      <c r="B909" s="3" t="s">
        <v>1489</v>
      </c>
      <c r="C909" s="3" t="s">
        <v>1490</v>
      </c>
      <c r="D909" s="3" t="s">
        <v>1490</v>
      </c>
      <c r="E909" s="1"/>
      <c r="F909" s="8" t="s">
        <v>66</v>
      </c>
    </row>
    <row r="910" spans="1:6" x14ac:dyDescent="0.2">
      <c r="A910" s="3">
        <v>907</v>
      </c>
      <c r="B910" s="3" t="s">
        <v>1491</v>
      </c>
      <c r="C910" s="3" t="s">
        <v>1492</v>
      </c>
      <c r="D910" s="3" t="s">
        <v>1492</v>
      </c>
      <c r="E910" s="1"/>
      <c r="F910" s="8" t="s">
        <v>66</v>
      </c>
    </row>
    <row r="911" spans="1:6" x14ac:dyDescent="0.2">
      <c r="A911" s="3">
        <v>908</v>
      </c>
      <c r="B911" s="3" t="s">
        <v>1493</v>
      </c>
      <c r="C911" s="3" t="s">
        <v>1494</v>
      </c>
      <c r="D911" s="3" t="s">
        <v>1494</v>
      </c>
      <c r="E911" s="1"/>
      <c r="F911" s="8" t="s">
        <v>66</v>
      </c>
    </row>
    <row r="912" spans="1:6" x14ac:dyDescent="0.2">
      <c r="A912" s="3">
        <v>909</v>
      </c>
      <c r="B912" s="3" t="s">
        <v>1495</v>
      </c>
      <c r="C912" s="3" t="s">
        <v>1495</v>
      </c>
      <c r="D912" s="3" t="s">
        <v>1495</v>
      </c>
      <c r="E912" s="1" t="s">
        <v>1496</v>
      </c>
      <c r="F912" s="8" t="s">
        <v>66</v>
      </c>
    </row>
    <row r="913" spans="1:6" x14ac:dyDescent="0.2">
      <c r="A913" s="3">
        <v>910</v>
      </c>
      <c r="B913" s="3" t="s">
        <v>1497</v>
      </c>
      <c r="C913" s="3" t="s">
        <v>1498</v>
      </c>
      <c r="D913" s="3" t="s">
        <v>1498</v>
      </c>
      <c r="E913" s="1"/>
      <c r="F913" s="8" t="s">
        <v>66</v>
      </c>
    </row>
    <row r="914" spans="1:6" x14ac:dyDescent="0.2">
      <c r="A914" s="3">
        <v>911</v>
      </c>
      <c r="B914" s="3" t="s">
        <v>1499</v>
      </c>
      <c r="C914" s="3" t="s">
        <v>1499</v>
      </c>
      <c r="D914" s="3" t="s">
        <v>1499</v>
      </c>
      <c r="E914" s="1" t="s">
        <v>1500</v>
      </c>
      <c r="F914" s="8" t="s">
        <v>66</v>
      </c>
    </row>
    <row r="915" spans="1:6" x14ac:dyDescent="0.2">
      <c r="A915" s="3">
        <v>912</v>
      </c>
      <c r="B915" s="3" t="s">
        <v>1501</v>
      </c>
      <c r="C915" s="3" t="s">
        <v>1502</v>
      </c>
      <c r="D915" s="3" t="s">
        <v>1502</v>
      </c>
      <c r="E915" s="1"/>
      <c r="F915" s="8" t="s">
        <v>66</v>
      </c>
    </row>
    <row r="916" spans="1:6" x14ac:dyDescent="0.2">
      <c r="A916" s="3">
        <v>913</v>
      </c>
      <c r="B916" s="3" t="s">
        <v>1503</v>
      </c>
      <c r="C916" s="3" t="s">
        <v>1504</v>
      </c>
      <c r="D916" s="3" t="s">
        <v>1504</v>
      </c>
      <c r="E916" s="1"/>
      <c r="F916" s="8" t="s">
        <v>66</v>
      </c>
    </row>
    <row r="917" spans="1:6" x14ac:dyDescent="0.2">
      <c r="A917" s="3">
        <v>914</v>
      </c>
      <c r="B917" s="3" t="s">
        <v>1505</v>
      </c>
      <c r="C917" s="3" t="s">
        <v>1506</v>
      </c>
      <c r="D917" s="3" t="s">
        <v>1506</v>
      </c>
      <c r="E917" s="1"/>
      <c r="F917" s="8" t="s">
        <v>66</v>
      </c>
    </row>
    <row r="918" spans="1:6" x14ac:dyDescent="0.2">
      <c r="A918" s="3">
        <v>915</v>
      </c>
      <c r="B918" s="3" t="s">
        <v>1507</v>
      </c>
      <c r="C918" s="3" t="s">
        <v>1508</v>
      </c>
      <c r="D918" s="3" t="s">
        <v>1508</v>
      </c>
      <c r="E918" s="1"/>
      <c r="F918" s="8" t="s">
        <v>66</v>
      </c>
    </row>
    <row r="919" spans="1:6" x14ac:dyDescent="0.2">
      <c r="A919" s="3">
        <v>916</v>
      </c>
      <c r="B919" s="3" t="s">
        <v>1509</v>
      </c>
      <c r="C919" s="3" t="s">
        <v>1510</v>
      </c>
      <c r="D919" s="3" t="s">
        <v>1510</v>
      </c>
      <c r="E919" s="1"/>
      <c r="F919" s="8" t="s">
        <v>66</v>
      </c>
    </row>
    <row r="920" spans="1:6" x14ac:dyDescent="0.2">
      <c r="A920" s="3">
        <v>917</v>
      </c>
      <c r="B920" s="3" t="s">
        <v>1511</v>
      </c>
      <c r="C920" s="3" t="s">
        <v>1510</v>
      </c>
      <c r="D920" s="3" t="s">
        <v>1510</v>
      </c>
      <c r="E920" s="1"/>
      <c r="F920" s="8" t="s">
        <v>66</v>
      </c>
    </row>
    <row r="921" spans="1:6" x14ac:dyDescent="0.2">
      <c r="A921" s="3">
        <v>918</v>
      </c>
      <c r="B921" s="3" t="s">
        <v>1512</v>
      </c>
      <c r="C921" s="3" t="s">
        <v>1510</v>
      </c>
      <c r="D921" s="3" t="s">
        <v>1510</v>
      </c>
      <c r="E921" s="1"/>
      <c r="F921" s="8" t="s">
        <v>66</v>
      </c>
    </row>
    <row r="922" spans="1:6" x14ac:dyDescent="0.2">
      <c r="A922" s="3">
        <v>919</v>
      </c>
      <c r="B922" s="3" t="s">
        <v>1513</v>
      </c>
      <c r="C922" s="3" t="s">
        <v>1514</v>
      </c>
      <c r="D922" s="3" t="s">
        <v>1514</v>
      </c>
      <c r="E922" s="1"/>
      <c r="F922" s="8" t="s">
        <v>66</v>
      </c>
    </row>
    <row r="923" spans="1:6" x14ac:dyDescent="0.2">
      <c r="A923" s="3">
        <v>920</v>
      </c>
      <c r="B923" s="3" t="s">
        <v>1515</v>
      </c>
      <c r="C923" s="3" t="s">
        <v>1516</v>
      </c>
      <c r="D923" s="3" t="s">
        <v>1516</v>
      </c>
      <c r="E923" s="1"/>
      <c r="F923" s="8" t="s">
        <v>66</v>
      </c>
    </row>
    <row r="924" spans="1:6" x14ac:dyDescent="0.2">
      <c r="A924" s="3">
        <v>921</v>
      </c>
      <c r="B924" s="3" t="s">
        <v>1517</v>
      </c>
      <c r="C924" s="3" t="s">
        <v>1516</v>
      </c>
      <c r="D924" s="3" t="s">
        <v>1516</v>
      </c>
      <c r="E924" s="1"/>
      <c r="F924" s="8" t="s">
        <v>66</v>
      </c>
    </row>
    <row r="925" spans="1:6" x14ac:dyDescent="0.2">
      <c r="A925" s="3">
        <v>922</v>
      </c>
      <c r="B925" s="3" t="s">
        <v>1518</v>
      </c>
      <c r="C925" s="3" t="s">
        <v>1516</v>
      </c>
      <c r="D925" s="3" t="s">
        <v>1516</v>
      </c>
      <c r="E925" s="1"/>
      <c r="F925" s="8" t="s">
        <v>66</v>
      </c>
    </row>
    <row r="926" spans="1:6" x14ac:dyDescent="0.2">
      <c r="A926" s="3">
        <v>923</v>
      </c>
      <c r="B926" s="3" t="s">
        <v>1519</v>
      </c>
      <c r="C926" s="3" t="s">
        <v>1520</v>
      </c>
      <c r="D926" s="3" t="s">
        <v>1520</v>
      </c>
      <c r="E926" s="1"/>
      <c r="F926" s="8" t="s">
        <v>66</v>
      </c>
    </row>
    <row r="927" spans="1:6" x14ac:dyDescent="0.2">
      <c r="A927" s="3">
        <v>924</v>
      </c>
      <c r="B927" s="3" t="s">
        <v>1521</v>
      </c>
      <c r="C927" s="3" t="s">
        <v>1522</v>
      </c>
      <c r="D927" s="3" t="s">
        <v>1522</v>
      </c>
      <c r="E927" s="1"/>
      <c r="F927" s="8" t="s">
        <v>66</v>
      </c>
    </row>
    <row r="928" spans="1:6" x14ac:dyDescent="0.2">
      <c r="A928" s="3">
        <v>925</v>
      </c>
      <c r="B928" s="3" t="s">
        <v>1523</v>
      </c>
      <c r="C928" s="3" t="s">
        <v>1522</v>
      </c>
      <c r="D928" s="3" t="s">
        <v>1522</v>
      </c>
      <c r="E928" s="1"/>
      <c r="F928" s="8" t="s">
        <v>66</v>
      </c>
    </row>
    <row r="929" spans="1:6" x14ac:dyDescent="0.2">
      <c r="A929" s="3">
        <v>926</v>
      </c>
      <c r="B929" s="3" t="s">
        <v>1524</v>
      </c>
      <c r="C929" s="3" t="s">
        <v>1522</v>
      </c>
      <c r="D929" s="3" t="s">
        <v>1522</v>
      </c>
      <c r="E929" s="1"/>
      <c r="F929" s="8" t="s">
        <v>66</v>
      </c>
    </row>
    <row r="930" spans="1:6" x14ac:dyDescent="0.2">
      <c r="A930" s="3">
        <v>927</v>
      </c>
      <c r="B930" s="3" t="s">
        <v>1525</v>
      </c>
      <c r="C930" s="3" t="s">
        <v>1522</v>
      </c>
      <c r="D930" s="3" t="s">
        <v>1522</v>
      </c>
      <c r="E930" s="1"/>
      <c r="F930" s="8" t="s">
        <v>66</v>
      </c>
    </row>
    <row r="931" spans="1:6" x14ac:dyDescent="0.2">
      <c r="A931" s="3">
        <v>928</v>
      </c>
      <c r="B931" s="3" t="s">
        <v>1526</v>
      </c>
      <c r="C931" s="3" t="s">
        <v>1522</v>
      </c>
      <c r="D931" s="3" t="s">
        <v>1522</v>
      </c>
      <c r="E931" s="1"/>
      <c r="F931" s="8" t="s">
        <v>66</v>
      </c>
    </row>
    <row r="932" spans="1:6" x14ac:dyDescent="0.2">
      <c r="A932" s="3">
        <v>929</v>
      </c>
      <c r="B932" s="3" t="s">
        <v>1527</v>
      </c>
      <c r="C932" s="3" t="s">
        <v>1522</v>
      </c>
      <c r="D932" s="3" t="s">
        <v>1522</v>
      </c>
      <c r="E932" s="1"/>
      <c r="F932" s="8" t="s">
        <v>66</v>
      </c>
    </row>
    <row r="933" spans="1:6" x14ac:dyDescent="0.2">
      <c r="A933" s="3">
        <v>930</v>
      </c>
      <c r="B933" s="3" t="s">
        <v>1528</v>
      </c>
      <c r="C933" s="3" t="s">
        <v>1522</v>
      </c>
      <c r="D933" s="3" t="s">
        <v>1522</v>
      </c>
      <c r="E933" s="1"/>
      <c r="F933" s="8" t="s">
        <v>66</v>
      </c>
    </row>
    <row r="934" spans="1:6" x14ac:dyDescent="0.2">
      <c r="A934" s="3">
        <v>931</v>
      </c>
      <c r="B934" s="3" t="s">
        <v>1529</v>
      </c>
      <c r="C934" s="3" t="s">
        <v>1530</v>
      </c>
      <c r="D934" s="3" t="s">
        <v>1530</v>
      </c>
      <c r="E934" s="1"/>
      <c r="F934" s="8" t="s">
        <v>66</v>
      </c>
    </row>
    <row r="935" spans="1:6" x14ac:dyDescent="0.2">
      <c r="A935" s="3">
        <v>932</v>
      </c>
      <c r="B935" s="3" t="s">
        <v>1531</v>
      </c>
      <c r="C935" s="3" t="s">
        <v>1530</v>
      </c>
      <c r="D935" s="3" t="s">
        <v>1530</v>
      </c>
      <c r="E935" s="1"/>
      <c r="F935" s="8" t="s">
        <v>66</v>
      </c>
    </row>
    <row r="936" spans="1:6" x14ac:dyDescent="0.2">
      <c r="A936" s="3">
        <v>933</v>
      </c>
      <c r="B936" s="3" t="s">
        <v>1532</v>
      </c>
      <c r="C936" s="3" t="s">
        <v>1533</v>
      </c>
      <c r="D936" s="3" t="s">
        <v>1533</v>
      </c>
      <c r="E936" s="1"/>
      <c r="F936" s="8" t="s">
        <v>66</v>
      </c>
    </row>
    <row r="937" spans="1:6" x14ac:dyDescent="0.2">
      <c r="A937" s="3">
        <v>934</v>
      </c>
      <c r="B937" s="3" t="s">
        <v>1534</v>
      </c>
      <c r="C937" s="3" t="s">
        <v>1535</v>
      </c>
      <c r="D937" s="3" t="s">
        <v>1535</v>
      </c>
      <c r="E937" s="1"/>
      <c r="F937" s="8" t="s">
        <v>66</v>
      </c>
    </row>
    <row r="938" spans="1:6" x14ac:dyDescent="0.2">
      <c r="A938" s="3">
        <v>935</v>
      </c>
      <c r="B938" s="3" t="s">
        <v>1536</v>
      </c>
      <c r="C938" s="3" t="s">
        <v>1537</v>
      </c>
      <c r="D938" s="3" t="s">
        <v>1537</v>
      </c>
      <c r="E938" s="1"/>
      <c r="F938" s="8" t="s">
        <v>66</v>
      </c>
    </row>
    <row r="939" spans="1:6" x14ac:dyDescent="0.2">
      <c r="A939" s="3">
        <v>936</v>
      </c>
      <c r="B939" s="3" t="s">
        <v>1538</v>
      </c>
      <c r="C939" s="3" t="s">
        <v>1539</v>
      </c>
      <c r="D939" s="3" t="s">
        <v>1539</v>
      </c>
      <c r="E939" s="1"/>
      <c r="F939" s="8" t="s">
        <v>66</v>
      </c>
    </row>
    <row r="940" spans="1:6" x14ac:dyDescent="0.2">
      <c r="A940" s="3">
        <v>937</v>
      </c>
      <c r="B940" s="3" t="s">
        <v>1540</v>
      </c>
      <c r="C940" s="3" t="s">
        <v>1541</v>
      </c>
      <c r="D940" s="3" t="s">
        <v>1541</v>
      </c>
      <c r="E940" s="1"/>
      <c r="F940" s="8" t="s">
        <v>66</v>
      </c>
    </row>
    <row r="941" spans="1:6" x14ac:dyDescent="0.2">
      <c r="A941" s="3">
        <v>938</v>
      </c>
      <c r="B941" s="3" t="s">
        <v>1542</v>
      </c>
      <c r="C941" s="3" t="s">
        <v>1543</v>
      </c>
      <c r="D941" s="3" t="s">
        <v>1543</v>
      </c>
      <c r="E941" s="1"/>
      <c r="F941" s="8" t="s">
        <v>66</v>
      </c>
    </row>
    <row r="942" spans="1:6" x14ac:dyDescent="0.2">
      <c r="A942" s="3">
        <v>939</v>
      </c>
      <c r="B942" s="3" t="s">
        <v>1544</v>
      </c>
      <c r="C942" s="3" t="s">
        <v>1543</v>
      </c>
      <c r="D942" s="3" t="s">
        <v>1543</v>
      </c>
      <c r="E942" s="1"/>
      <c r="F942" s="8" t="s">
        <v>66</v>
      </c>
    </row>
    <row r="943" spans="1:6" x14ac:dyDescent="0.2">
      <c r="A943" s="3">
        <v>940</v>
      </c>
      <c r="B943" s="3" t="s">
        <v>1545</v>
      </c>
      <c r="C943" s="3" t="s">
        <v>1546</v>
      </c>
      <c r="D943" s="3" t="s">
        <v>1546</v>
      </c>
      <c r="E943" s="1"/>
      <c r="F943" s="8" t="s">
        <v>66</v>
      </c>
    </row>
    <row r="944" spans="1:6" x14ac:dyDescent="0.2">
      <c r="A944" s="3">
        <v>941</v>
      </c>
      <c r="B944" s="3" t="s">
        <v>1547</v>
      </c>
      <c r="C944" s="3" t="s">
        <v>1546</v>
      </c>
      <c r="D944" s="3" t="s">
        <v>1546</v>
      </c>
      <c r="E944" s="1"/>
      <c r="F944" s="8" t="s">
        <v>66</v>
      </c>
    </row>
    <row r="945" spans="1:6" x14ac:dyDescent="0.2">
      <c r="A945" s="3">
        <v>942</v>
      </c>
      <c r="B945" s="3" t="s">
        <v>1548</v>
      </c>
      <c r="C945" s="3" t="s">
        <v>1549</v>
      </c>
      <c r="D945" s="3" t="s">
        <v>1549</v>
      </c>
      <c r="E945" s="1"/>
      <c r="F945" s="8" t="s">
        <v>66</v>
      </c>
    </row>
    <row r="946" spans="1:6" x14ac:dyDescent="0.2">
      <c r="A946" s="3">
        <v>943</v>
      </c>
      <c r="B946" s="3" t="s">
        <v>1550</v>
      </c>
      <c r="C946" s="3" t="s">
        <v>1549</v>
      </c>
      <c r="D946" s="3" t="s">
        <v>1549</v>
      </c>
      <c r="E946" s="1"/>
      <c r="F946" s="8" t="s">
        <v>66</v>
      </c>
    </row>
    <row r="947" spans="1:6" x14ac:dyDescent="0.2">
      <c r="A947" s="3">
        <v>944</v>
      </c>
      <c r="B947" s="3" t="s">
        <v>1551</v>
      </c>
      <c r="C947" s="3" t="s">
        <v>1549</v>
      </c>
      <c r="D947" s="3" t="s">
        <v>1549</v>
      </c>
      <c r="E947" s="1"/>
      <c r="F947" s="8" t="s">
        <v>66</v>
      </c>
    </row>
    <row r="948" spans="1:6" x14ac:dyDescent="0.2">
      <c r="A948" s="3">
        <v>945</v>
      </c>
      <c r="B948" s="3" t="s">
        <v>1552</v>
      </c>
      <c r="C948" s="3" t="s">
        <v>1553</v>
      </c>
      <c r="D948" s="3" t="s">
        <v>1553</v>
      </c>
      <c r="E948" s="1"/>
      <c r="F948" s="8" t="s">
        <v>66</v>
      </c>
    </row>
    <row r="949" spans="1:6" x14ac:dyDescent="0.2">
      <c r="A949" s="3">
        <v>946</v>
      </c>
      <c r="B949" s="3" t="s">
        <v>1554</v>
      </c>
      <c r="C949" s="3" t="s">
        <v>1555</v>
      </c>
      <c r="D949" s="3" t="s">
        <v>1555</v>
      </c>
      <c r="E949" s="1"/>
      <c r="F949" s="8" t="s">
        <v>66</v>
      </c>
    </row>
    <row r="950" spans="1:6" x14ac:dyDescent="0.2">
      <c r="A950" s="3">
        <v>947</v>
      </c>
      <c r="B950" s="3" t="s">
        <v>1556</v>
      </c>
      <c r="C950" s="3" t="s">
        <v>1557</v>
      </c>
      <c r="D950" s="3" t="s">
        <v>1557</v>
      </c>
      <c r="E950" s="1"/>
      <c r="F950" s="8" t="s">
        <v>66</v>
      </c>
    </row>
    <row r="951" spans="1:6" x14ac:dyDescent="0.2">
      <c r="A951" s="3">
        <v>948</v>
      </c>
      <c r="B951" s="3" t="s">
        <v>1558</v>
      </c>
      <c r="C951" s="3" t="s">
        <v>1559</v>
      </c>
      <c r="D951" s="3" t="s">
        <v>1559</v>
      </c>
      <c r="E951" s="1"/>
      <c r="F951" s="8" t="s">
        <v>66</v>
      </c>
    </row>
    <row r="952" spans="1:6" x14ac:dyDescent="0.2">
      <c r="A952" s="3">
        <v>949</v>
      </c>
      <c r="B952" s="3" t="s">
        <v>1560</v>
      </c>
      <c r="C952" s="3" t="s">
        <v>1559</v>
      </c>
      <c r="D952" s="3" t="s">
        <v>1559</v>
      </c>
      <c r="E952" s="1"/>
      <c r="F952" s="8" t="s">
        <v>66</v>
      </c>
    </row>
    <row r="953" spans="1:6" x14ac:dyDescent="0.2">
      <c r="A953" s="3">
        <v>950</v>
      </c>
      <c r="B953" s="3" t="s">
        <v>1561</v>
      </c>
      <c r="C953" s="3" t="s">
        <v>1562</v>
      </c>
      <c r="D953" s="3" t="s">
        <v>1562</v>
      </c>
      <c r="E953" s="1"/>
      <c r="F953" s="8" t="s">
        <v>66</v>
      </c>
    </row>
    <row r="954" spans="1:6" x14ac:dyDescent="0.2">
      <c r="A954" s="3">
        <v>951</v>
      </c>
      <c r="B954" s="3" t="s">
        <v>1563</v>
      </c>
      <c r="C954" s="3" t="s">
        <v>1562</v>
      </c>
      <c r="D954" s="3" t="s">
        <v>1562</v>
      </c>
      <c r="E954" s="1"/>
      <c r="F954" s="8" t="s">
        <v>66</v>
      </c>
    </row>
    <row r="955" spans="1:6" x14ac:dyDescent="0.2">
      <c r="A955" s="3">
        <v>952</v>
      </c>
      <c r="B955" s="3" t="s">
        <v>1564</v>
      </c>
      <c r="C955" s="3" t="s">
        <v>1565</v>
      </c>
      <c r="D955" s="3" t="s">
        <v>1565</v>
      </c>
      <c r="E955" s="1"/>
      <c r="F955" s="8" t="s">
        <v>66</v>
      </c>
    </row>
    <row r="956" spans="1:6" x14ac:dyDescent="0.2">
      <c r="A956" s="3">
        <v>953</v>
      </c>
      <c r="B956" s="3" t="s">
        <v>1566</v>
      </c>
      <c r="C956" s="3" t="s">
        <v>1565</v>
      </c>
      <c r="D956" s="3" t="s">
        <v>1565</v>
      </c>
      <c r="E956" s="1"/>
      <c r="F956" s="8" t="s">
        <v>66</v>
      </c>
    </row>
    <row r="957" spans="1:6" x14ac:dyDescent="0.2">
      <c r="A957" s="3">
        <v>954</v>
      </c>
      <c r="B957" s="3" t="s">
        <v>1567</v>
      </c>
      <c r="C957" s="3" t="s">
        <v>1565</v>
      </c>
      <c r="D957" s="3" t="s">
        <v>1565</v>
      </c>
      <c r="E957" s="1"/>
      <c r="F957" s="8" t="s">
        <v>66</v>
      </c>
    </row>
    <row r="958" spans="1:6" x14ac:dyDescent="0.2">
      <c r="A958" s="3">
        <v>955</v>
      </c>
      <c r="B958" s="3" t="s">
        <v>1568</v>
      </c>
      <c r="C958" s="3" t="s">
        <v>1569</v>
      </c>
      <c r="D958" s="3" t="s">
        <v>1569</v>
      </c>
      <c r="E958" s="1"/>
      <c r="F958" s="8" t="s">
        <v>66</v>
      </c>
    </row>
    <row r="959" spans="1:6" x14ac:dyDescent="0.2">
      <c r="A959" s="3">
        <v>956</v>
      </c>
      <c r="B959" s="3" t="s">
        <v>1570</v>
      </c>
      <c r="C959" s="3" t="s">
        <v>1569</v>
      </c>
      <c r="D959" s="3" t="s">
        <v>1569</v>
      </c>
      <c r="E959" s="1"/>
      <c r="F959" s="8" t="s">
        <v>66</v>
      </c>
    </row>
    <row r="960" spans="1:6" x14ac:dyDescent="0.2">
      <c r="A960" s="3">
        <v>957</v>
      </c>
      <c r="B960" s="3" t="s">
        <v>1571</v>
      </c>
      <c r="C960" s="3" t="s">
        <v>1569</v>
      </c>
      <c r="D960" s="3" t="s">
        <v>1569</v>
      </c>
      <c r="E960" s="1"/>
      <c r="F960" s="8" t="s">
        <v>66</v>
      </c>
    </row>
    <row r="961" spans="1:6" x14ac:dyDescent="0.2">
      <c r="A961" s="3">
        <v>958</v>
      </c>
      <c r="B961" s="3" t="s">
        <v>1572</v>
      </c>
      <c r="C961" s="3" t="s">
        <v>1573</v>
      </c>
      <c r="D961" s="3" t="s">
        <v>1573</v>
      </c>
      <c r="E961" s="1"/>
      <c r="F961" s="8" t="s">
        <v>66</v>
      </c>
    </row>
    <row r="962" spans="1:6" x14ac:dyDescent="0.2">
      <c r="A962" s="3">
        <v>959</v>
      </c>
      <c r="B962" s="3" t="s">
        <v>1574</v>
      </c>
      <c r="C962" s="3" t="s">
        <v>1575</v>
      </c>
      <c r="D962" s="3" t="s">
        <v>1575</v>
      </c>
      <c r="E962" s="1"/>
      <c r="F962" s="8" t="s">
        <v>66</v>
      </c>
    </row>
    <row r="963" spans="1:6" x14ac:dyDescent="0.2">
      <c r="A963" s="3">
        <v>960</v>
      </c>
      <c r="B963" s="3" t="s">
        <v>1576</v>
      </c>
      <c r="C963" s="3" t="s">
        <v>1577</v>
      </c>
      <c r="D963" s="3" t="s">
        <v>1577</v>
      </c>
      <c r="E963" s="1"/>
      <c r="F963" s="8" t="s">
        <v>66</v>
      </c>
    </row>
    <row r="964" spans="1:6" x14ac:dyDescent="0.2">
      <c r="A964" s="3">
        <v>961</v>
      </c>
      <c r="B964" s="3" t="s">
        <v>1578</v>
      </c>
      <c r="C964" s="3" t="s">
        <v>1579</v>
      </c>
      <c r="D964" s="3" t="s">
        <v>1579</v>
      </c>
      <c r="E964" s="1"/>
      <c r="F964" s="8" t="s">
        <v>66</v>
      </c>
    </row>
    <row r="965" spans="1:6" x14ac:dyDescent="0.2">
      <c r="A965" s="3">
        <v>962</v>
      </c>
      <c r="B965" s="3" t="s">
        <v>1580</v>
      </c>
      <c r="C965" s="3" t="s">
        <v>1581</v>
      </c>
      <c r="D965" s="3" t="s">
        <v>1581</v>
      </c>
      <c r="E965" s="1"/>
      <c r="F965" s="8" t="s">
        <v>66</v>
      </c>
    </row>
    <row r="966" spans="1:6" x14ac:dyDescent="0.2">
      <c r="A966" s="3">
        <v>963</v>
      </c>
      <c r="B966" s="3" t="s">
        <v>1582</v>
      </c>
      <c r="C966" s="3" t="s">
        <v>1583</v>
      </c>
      <c r="D966" s="3" t="s">
        <v>1583</v>
      </c>
      <c r="E966" s="1"/>
      <c r="F966" s="8" t="s">
        <v>66</v>
      </c>
    </row>
    <row r="967" spans="1:6" x14ac:dyDescent="0.2">
      <c r="A967" s="3">
        <v>964</v>
      </c>
      <c r="B967" s="3" t="s">
        <v>1584</v>
      </c>
      <c r="C967" s="3" t="s">
        <v>1583</v>
      </c>
      <c r="D967" s="3" t="s">
        <v>1583</v>
      </c>
      <c r="E967" s="1"/>
      <c r="F967" s="8" t="s">
        <v>66</v>
      </c>
    </row>
    <row r="968" spans="1:6" x14ac:dyDescent="0.2">
      <c r="A968" s="3">
        <v>965</v>
      </c>
      <c r="B968" s="3" t="s">
        <v>1585</v>
      </c>
      <c r="C968" s="3" t="s">
        <v>1586</v>
      </c>
      <c r="D968" s="3" t="s">
        <v>1586</v>
      </c>
      <c r="E968" s="1"/>
      <c r="F968" s="8" t="s">
        <v>66</v>
      </c>
    </row>
    <row r="969" spans="1:6" x14ac:dyDescent="0.2">
      <c r="A969" s="3">
        <v>966</v>
      </c>
      <c r="B969" s="3" t="s">
        <v>1587</v>
      </c>
      <c r="C969" s="3" t="s">
        <v>1586</v>
      </c>
      <c r="D969" s="3" t="s">
        <v>1586</v>
      </c>
      <c r="E969" s="1"/>
      <c r="F969" s="8" t="s">
        <v>66</v>
      </c>
    </row>
    <row r="970" spans="1:6" x14ac:dyDescent="0.2">
      <c r="A970" s="3">
        <v>967</v>
      </c>
      <c r="B970" s="3" t="s">
        <v>1588</v>
      </c>
      <c r="C970" s="3" t="s">
        <v>1589</v>
      </c>
      <c r="D970" s="3" t="s">
        <v>1589</v>
      </c>
      <c r="E970" s="1"/>
      <c r="F970" s="8" t="s">
        <v>66</v>
      </c>
    </row>
    <row r="971" spans="1:6" x14ac:dyDescent="0.2">
      <c r="A971" s="3">
        <v>968</v>
      </c>
      <c r="B971" s="3" t="s">
        <v>1590</v>
      </c>
      <c r="C971" s="3" t="s">
        <v>1589</v>
      </c>
      <c r="D971" s="3" t="s">
        <v>1589</v>
      </c>
      <c r="E971" s="1"/>
      <c r="F971" s="8" t="s">
        <v>66</v>
      </c>
    </row>
    <row r="972" spans="1:6" x14ac:dyDescent="0.2">
      <c r="A972" s="3">
        <v>969</v>
      </c>
      <c r="B972" s="3" t="s">
        <v>1591</v>
      </c>
      <c r="C972" s="3" t="s">
        <v>1589</v>
      </c>
      <c r="D972" s="3" t="s">
        <v>1589</v>
      </c>
      <c r="E972" s="1"/>
      <c r="F972" s="8" t="s">
        <v>66</v>
      </c>
    </row>
    <row r="973" spans="1:6" x14ac:dyDescent="0.2">
      <c r="A973" s="3">
        <v>970</v>
      </c>
      <c r="B973" s="3" t="s">
        <v>1592</v>
      </c>
      <c r="C973" s="3" t="s">
        <v>1593</v>
      </c>
      <c r="D973" s="3" t="s">
        <v>1593</v>
      </c>
      <c r="E973" s="1"/>
      <c r="F973" s="8" t="s">
        <v>66</v>
      </c>
    </row>
    <row r="974" spans="1:6" x14ac:dyDescent="0.2">
      <c r="A974" s="3">
        <v>971</v>
      </c>
      <c r="B974" s="3" t="s">
        <v>1594</v>
      </c>
      <c r="C974" s="3" t="s">
        <v>1593</v>
      </c>
      <c r="D974" s="3" t="s">
        <v>1593</v>
      </c>
      <c r="E974" s="1"/>
      <c r="F974" s="8" t="s">
        <v>66</v>
      </c>
    </row>
    <row r="975" spans="1:6" x14ac:dyDescent="0.2">
      <c r="A975" s="3">
        <v>972</v>
      </c>
      <c r="B975" s="3" t="s">
        <v>1595</v>
      </c>
      <c r="C975" s="3" t="s">
        <v>1593</v>
      </c>
      <c r="D975" s="3" t="s">
        <v>1593</v>
      </c>
      <c r="E975" s="1"/>
      <c r="F975" s="8" t="s">
        <v>66</v>
      </c>
    </row>
    <row r="976" spans="1:6" x14ac:dyDescent="0.2">
      <c r="A976" s="3">
        <v>973</v>
      </c>
      <c r="B976" s="3" t="s">
        <v>1596</v>
      </c>
      <c r="C976" s="3" t="s">
        <v>1597</v>
      </c>
      <c r="D976" s="3" t="s">
        <v>1597</v>
      </c>
      <c r="E976" s="1"/>
      <c r="F976" s="8" t="s">
        <v>66</v>
      </c>
    </row>
    <row r="977" spans="1:6" x14ac:dyDescent="0.2">
      <c r="A977" s="3">
        <v>974</v>
      </c>
      <c r="B977" s="3" t="s">
        <v>1598</v>
      </c>
      <c r="C977" s="3" t="s">
        <v>1599</v>
      </c>
      <c r="D977" s="3" t="s">
        <v>1599</v>
      </c>
      <c r="E977" s="1"/>
      <c r="F977" s="8" t="s">
        <v>66</v>
      </c>
    </row>
    <row r="978" spans="1:6" x14ac:dyDescent="0.2">
      <c r="A978" s="3">
        <v>975</v>
      </c>
      <c r="B978" s="3" t="s">
        <v>1600</v>
      </c>
      <c r="C978" s="3" t="s">
        <v>1601</v>
      </c>
      <c r="D978" s="3" t="s">
        <v>1601</v>
      </c>
      <c r="E978" s="1"/>
      <c r="F978" s="8" t="s">
        <v>66</v>
      </c>
    </row>
    <row r="979" spans="1:6" x14ac:dyDescent="0.2">
      <c r="A979" s="3">
        <v>976</v>
      </c>
      <c r="B979" s="3" t="s">
        <v>1602</v>
      </c>
      <c r="C979" s="3" t="s">
        <v>1603</v>
      </c>
      <c r="D979" s="3" t="s">
        <v>1603</v>
      </c>
      <c r="E979" s="1"/>
      <c r="F979" s="8" t="s">
        <v>66</v>
      </c>
    </row>
    <row r="980" spans="1:6" x14ac:dyDescent="0.2">
      <c r="A980" s="3">
        <v>977</v>
      </c>
      <c r="B980" s="3" t="s">
        <v>1604</v>
      </c>
      <c r="C980" s="3" t="s">
        <v>1603</v>
      </c>
      <c r="D980" s="3" t="s">
        <v>1603</v>
      </c>
      <c r="E980" s="1"/>
      <c r="F980" s="8" t="s">
        <v>66</v>
      </c>
    </row>
    <row r="981" spans="1:6" x14ac:dyDescent="0.2">
      <c r="A981" s="3">
        <v>978</v>
      </c>
      <c r="B981" s="3" t="s">
        <v>1605</v>
      </c>
      <c r="C981" s="3" t="s">
        <v>1606</v>
      </c>
      <c r="D981" s="3" t="s">
        <v>1606</v>
      </c>
      <c r="E981" s="1"/>
      <c r="F981" s="8" t="s">
        <v>66</v>
      </c>
    </row>
    <row r="982" spans="1:6" x14ac:dyDescent="0.2">
      <c r="A982" s="3">
        <v>979</v>
      </c>
      <c r="B982" s="3" t="s">
        <v>1607</v>
      </c>
      <c r="C982" s="3" t="s">
        <v>1608</v>
      </c>
      <c r="D982" s="3" t="s">
        <v>1608</v>
      </c>
      <c r="E982" s="1"/>
      <c r="F982" s="8" t="s">
        <v>66</v>
      </c>
    </row>
    <row r="983" spans="1:6" x14ac:dyDescent="0.2">
      <c r="A983" s="3">
        <v>980</v>
      </c>
      <c r="B983" s="3" t="s">
        <v>1609</v>
      </c>
      <c r="C983" s="3" t="s">
        <v>1608</v>
      </c>
      <c r="D983" s="3" t="s">
        <v>1608</v>
      </c>
      <c r="E983" s="1"/>
      <c r="F983" s="8" t="s">
        <v>66</v>
      </c>
    </row>
    <row r="984" spans="1:6" x14ac:dyDescent="0.2">
      <c r="A984" s="3">
        <v>981</v>
      </c>
      <c r="B984" s="3" t="s">
        <v>1610</v>
      </c>
      <c r="C984" s="3" t="s">
        <v>1611</v>
      </c>
      <c r="D984" s="3" t="s">
        <v>1611</v>
      </c>
      <c r="E984" s="1"/>
      <c r="F984" s="8" t="s">
        <v>66</v>
      </c>
    </row>
    <row r="985" spans="1:6" x14ac:dyDescent="0.2">
      <c r="A985" s="3">
        <v>982</v>
      </c>
      <c r="B985" s="3" t="s">
        <v>1612</v>
      </c>
      <c r="C985" s="3" t="s">
        <v>1613</v>
      </c>
      <c r="D985" s="3" t="s">
        <v>1613</v>
      </c>
      <c r="E985" s="1"/>
      <c r="F985" s="8" t="s">
        <v>66</v>
      </c>
    </row>
    <row r="986" spans="1:6" x14ac:dyDescent="0.2">
      <c r="A986" s="3">
        <v>983</v>
      </c>
      <c r="B986" s="3" t="s">
        <v>1614</v>
      </c>
      <c r="C986" s="3" t="s">
        <v>1615</v>
      </c>
      <c r="D986" s="3" t="s">
        <v>1615</v>
      </c>
      <c r="E986" s="1"/>
      <c r="F986" s="8" t="s">
        <v>66</v>
      </c>
    </row>
    <row r="987" spans="1:6" x14ac:dyDescent="0.2">
      <c r="A987" s="3">
        <v>984</v>
      </c>
      <c r="B987" s="3" t="s">
        <v>1616</v>
      </c>
      <c r="C987" s="3" t="s">
        <v>1615</v>
      </c>
      <c r="D987" s="3" t="s">
        <v>1615</v>
      </c>
      <c r="E987" s="1"/>
      <c r="F987" s="8" t="s">
        <v>66</v>
      </c>
    </row>
    <row r="988" spans="1:6" x14ac:dyDescent="0.2">
      <c r="A988" s="3">
        <v>985</v>
      </c>
      <c r="B988" s="3" t="s">
        <v>1617</v>
      </c>
      <c r="C988" s="3" t="s">
        <v>1618</v>
      </c>
      <c r="D988" s="3" t="s">
        <v>1618</v>
      </c>
      <c r="E988" s="1"/>
      <c r="F988" s="8" t="s">
        <v>66</v>
      </c>
    </row>
    <row r="989" spans="1:6" x14ac:dyDescent="0.2">
      <c r="A989" s="3">
        <v>986</v>
      </c>
      <c r="B989" s="3" t="s">
        <v>1619</v>
      </c>
      <c r="C989" s="3" t="s">
        <v>1618</v>
      </c>
      <c r="D989" s="3" t="s">
        <v>1618</v>
      </c>
      <c r="E989" s="1"/>
      <c r="F989" s="8" t="s">
        <v>66</v>
      </c>
    </row>
    <row r="990" spans="1:6" x14ac:dyDescent="0.2">
      <c r="A990" s="3">
        <v>987</v>
      </c>
      <c r="B990" s="3" t="s">
        <v>1620</v>
      </c>
      <c r="C990" s="3" t="s">
        <v>1621</v>
      </c>
      <c r="D990" s="3" t="s">
        <v>1621</v>
      </c>
      <c r="E990" s="1"/>
      <c r="F990" s="8" t="s">
        <v>66</v>
      </c>
    </row>
    <row r="991" spans="1:6" x14ac:dyDescent="0.2">
      <c r="A991" s="3">
        <v>988</v>
      </c>
      <c r="B991" s="3" t="s">
        <v>1622</v>
      </c>
      <c r="C991" s="3" t="s">
        <v>1621</v>
      </c>
      <c r="D991" s="3" t="s">
        <v>1621</v>
      </c>
      <c r="E991" s="1"/>
      <c r="F991" s="8" t="s">
        <v>66</v>
      </c>
    </row>
    <row r="992" spans="1:6" x14ac:dyDescent="0.2">
      <c r="A992" s="3">
        <v>989</v>
      </c>
      <c r="B992" s="3" t="s">
        <v>1623</v>
      </c>
      <c r="C992" s="3" t="s">
        <v>1624</v>
      </c>
      <c r="D992" s="3" t="s">
        <v>1624</v>
      </c>
      <c r="E992" s="1"/>
      <c r="F992" s="8" t="s">
        <v>66</v>
      </c>
    </row>
    <row r="993" spans="1:6" x14ac:dyDescent="0.2">
      <c r="A993" s="3">
        <v>990</v>
      </c>
      <c r="B993" s="3" t="s">
        <v>1625</v>
      </c>
      <c r="C993" s="3" t="s">
        <v>1626</v>
      </c>
      <c r="D993" s="3" t="s">
        <v>1626</v>
      </c>
      <c r="E993" s="1"/>
      <c r="F993" s="8" t="s">
        <v>66</v>
      </c>
    </row>
    <row r="994" spans="1:6" x14ac:dyDescent="0.2">
      <c r="A994" s="3">
        <v>991</v>
      </c>
      <c r="B994" s="3" t="s">
        <v>1627</v>
      </c>
      <c r="C994" s="3" t="s">
        <v>1626</v>
      </c>
      <c r="D994" s="3" t="s">
        <v>1626</v>
      </c>
      <c r="E994" s="1"/>
      <c r="F994" s="8" t="s">
        <v>66</v>
      </c>
    </row>
    <row r="995" spans="1:6" x14ac:dyDescent="0.2">
      <c r="A995" s="3">
        <v>992</v>
      </c>
      <c r="B995" s="3" t="s">
        <v>1628</v>
      </c>
      <c r="C995" s="3" t="s">
        <v>1629</v>
      </c>
      <c r="D995" s="3" t="s">
        <v>1629</v>
      </c>
      <c r="E995" s="1"/>
      <c r="F995" s="8" t="s">
        <v>66</v>
      </c>
    </row>
    <row r="996" spans="1:6" x14ac:dyDescent="0.2">
      <c r="A996" s="3">
        <v>993</v>
      </c>
      <c r="B996" s="3" t="s">
        <v>1630</v>
      </c>
      <c r="C996" s="3" t="s">
        <v>1629</v>
      </c>
      <c r="D996" s="3" t="s">
        <v>1629</v>
      </c>
      <c r="E996" s="1"/>
      <c r="F996" s="8" t="s">
        <v>66</v>
      </c>
    </row>
    <row r="997" spans="1:6" x14ac:dyDescent="0.2">
      <c r="A997" s="3">
        <v>994</v>
      </c>
      <c r="B997" s="3" t="s">
        <v>1631</v>
      </c>
      <c r="C997" s="3" t="s">
        <v>1632</v>
      </c>
      <c r="D997" s="3" t="s">
        <v>1632</v>
      </c>
      <c r="E997" s="1"/>
      <c r="F997" s="8" t="s">
        <v>66</v>
      </c>
    </row>
    <row r="998" spans="1:6" x14ac:dyDescent="0.2">
      <c r="A998" s="3">
        <v>995</v>
      </c>
      <c r="B998" s="3" t="s">
        <v>1633</v>
      </c>
      <c r="C998" s="3" t="s">
        <v>1634</v>
      </c>
      <c r="D998" s="3" t="s">
        <v>1634</v>
      </c>
      <c r="E998" s="1"/>
      <c r="F998" s="8" t="s">
        <v>66</v>
      </c>
    </row>
    <row r="999" spans="1:6" x14ac:dyDescent="0.2">
      <c r="A999" s="3">
        <v>996</v>
      </c>
      <c r="B999" s="3" t="s">
        <v>1635</v>
      </c>
      <c r="C999" s="3" t="s">
        <v>1636</v>
      </c>
      <c r="D999" s="3" t="s">
        <v>1636</v>
      </c>
      <c r="E999" s="3"/>
      <c r="F999" s="8" t="s">
        <v>66</v>
      </c>
    </row>
    <row r="1000" spans="1:6" x14ac:dyDescent="0.2">
      <c r="A1000" s="3">
        <v>997</v>
      </c>
      <c r="B1000" s="3" t="s">
        <v>1637</v>
      </c>
      <c r="C1000" s="3" t="s">
        <v>1638</v>
      </c>
      <c r="D1000" s="3" t="s">
        <v>1638</v>
      </c>
      <c r="E1000" s="1"/>
      <c r="F1000" s="8" t="s">
        <v>66</v>
      </c>
    </row>
    <row r="1001" spans="1:6" x14ac:dyDescent="0.2">
      <c r="A1001" s="3">
        <v>998</v>
      </c>
      <c r="B1001" s="3" t="s">
        <v>1639</v>
      </c>
      <c r="C1001" s="3" t="s">
        <v>1640</v>
      </c>
      <c r="D1001" s="3" t="s">
        <v>1640</v>
      </c>
      <c r="E1001" s="1"/>
      <c r="F1001" s="8" t="s">
        <v>66</v>
      </c>
    </row>
    <row r="1002" spans="1:6" x14ac:dyDescent="0.2">
      <c r="A1002" s="3">
        <v>999</v>
      </c>
      <c r="B1002" s="3" t="s">
        <v>1641</v>
      </c>
      <c r="C1002" s="3" t="s">
        <v>1642</v>
      </c>
      <c r="D1002" s="3" t="s">
        <v>1642</v>
      </c>
      <c r="E1002" s="1"/>
      <c r="F1002" s="8" t="s">
        <v>66</v>
      </c>
    </row>
    <row r="1003" spans="1:6" x14ac:dyDescent="0.2">
      <c r="A1003" s="3">
        <v>1000</v>
      </c>
      <c r="B1003" s="3" t="s">
        <v>1643</v>
      </c>
      <c r="C1003" s="3" t="s">
        <v>1640</v>
      </c>
      <c r="D1003" s="3" t="s">
        <v>1640</v>
      </c>
      <c r="E1003" s="1"/>
      <c r="F1003" s="8" t="s">
        <v>66</v>
      </c>
    </row>
    <row r="1004" spans="1:6" x14ac:dyDescent="0.2">
      <c r="A1004" s="3">
        <v>1001</v>
      </c>
      <c r="B1004" s="3" t="s">
        <v>1644</v>
      </c>
      <c r="C1004" s="3" t="s">
        <v>1640</v>
      </c>
      <c r="D1004" s="3" t="s">
        <v>1640</v>
      </c>
      <c r="E1004" s="1"/>
      <c r="F1004" s="8" t="s">
        <v>66</v>
      </c>
    </row>
    <row r="1005" spans="1:6" x14ac:dyDescent="0.2">
      <c r="A1005" s="3">
        <v>1002</v>
      </c>
      <c r="B1005" s="3" t="s">
        <v>1645</v>
      </c>
      <c r="C1005" s="3" t="s">
        <v>1646</v>
      </c>
      <c r="D1005" s="3" t="s">
        <v>1646</v>
      </c>
      <c r="E1005" s="1"/>
      <c r="F1005" s="8" t="s">
        <v>66</v>
      </c>
    </row>
    <row r="1006" spans="1:6" x14ac:dyDescent="0.2">
      <c r="A1006" s="3">
        <v>1003</v>
      </c>
      <c r="B1006" s="3" t="s">
        <v>1647</v>
      </c>
      <c r="C1006" s="3" t="s">
        <v>1648</v>
      </c>
      <c r="D1006" s="3" t="s">
        <v>1648</v>
      </c>
      <c r="E1006" s="1"/>
      <c r="F1006" s="8" t="s">
        <v>66</v>
      </c>
    </row>
    <row r="1007" spans="1:6" x14ac:dyDescent="0.2">
      <c r="A1007" s="3">
        <v>1004</v>
      </c>
      <c r="B1007" s="3" t="s">
        <v>1649</v>
      </c>
      <c r="C1007" s="3" t="s">
        <v>1650</v>
      </c>
      <c r="D1007" s="3" t="s">
        <v>1650</v>
      </c>
      <c r="E1007" s="1"/>
      <c r="F1007" s="8" t="s">
        <v>66</v>
      </c>
    </row>
    <row r="1008" spans="1:6" x14ac:dyDescent="0.2">
      <c r="A1008" s="3">
        <v>1005</v>
      </c>
      <c r="B1008" s="3" t="s">
        <v>1651</v>
      </c>
      <c r="C1008" s="3" t="s">
        <v>1652</v>
      </c>
      <c r="D1008" s="3" t="s">
        <v>1652</v>
      </c>
      <c r="E1008" s="1"/>
      <c r="F1008" s="8" t="s">
        <v>66</v>
      </c>
    </row>
    <row r="1009" spans="1:6" x14ac:dyDescent="0.2">
      <c r="A1009" s="3">
        <v>1006</v>
      </c>
      <c r="B1009" s="3" t="s">
        <v>1653</v>
      </c>
      <c r="C1009" s="3" t="s">
        <v>1654</v>
      </c>
      <c r="D1009" s="3" t="s">
        <v>1654</v>
      </c>
      <c r="E1009" s="1"/>
      <c r="F1009" s="8" t="s">
        <v>66</v>
      </c>
    </row>
    <row r="1010" spans="1:6" x14ac:dyDescent="0.2">
      <c r="A1010" s="3">
        <v>1007</v>
      </c>
      <c r="B1010" s="3" t="s">
        <v>1655</v>
      </c>
      <c r="C1010" s="3" t="s">
        <v>1652</v>
      </c>
      <c r="D1010" s="3" t="s">
        <v>1652</v>
      </c>
      <c r="E1010" s="1"/>
      <c r="F1010" s="8" t="s">
        <v>66</v>
      </c>
    </row>
    <row r="1011" spans="1:6" x14ac:dyDescent="0.2">
      <c r="A1011" s="3">
        <v>1008</v>
      </c>
      <c r="B1011" s="3" t="s">
        <v>1656</v>
      </c>
      <c r="C1011" s="3" t="s">
        <v>1652</v>
      </c>
      <c r="D1011" s="3" t="s">
        <v>1652</v>
      </c>
      <c r="E1011" s="1"/>
      <c r="F1011" s="8" t="s">
        <v>66</v>
      </c>
    </row>
    <row r="1012" spans="1:6" x14ac:dyDescent="0.2">
      <c r="A1012" s="3">
        <v>1009</v>
      </c>
      <c r="B1012" s="3" t="s">
        <v>1657</v>
      </c>
      <c r="C1012" s="3" t="s">
        <v>1658</v>
      </c>
      <c r="D1012" s="3" t="s">
        <v>1658</v>
      </c>
      <c r="E1012" s="1"/>
      <c r="F1012" s="8" t="s">
        <v>66</v>
      </c>
    </row>
    <row r="1013" spans="1:6" x14ac:dyDescent="0.2">
      <c r="A1013" s="3">
        <v>1010</v>
      </c>
      <c r="B1013" s="3" t="s">
        <v>1659</v>
      </c>
      <c r="C1013" s="3" t="s">
        <v>1658</v>
      </c>
      <c r="D1013" s="3" t="s">
        <v>1658</v>
      </c>
      <c r="E1013" s="1"/>
      <c r="F1013" s="8" t="s">
        <v>66</v>
      </c>
    </row>
    <row r="1014" spans="1:6" x14ac:dyDescent="0.2">
      <c r="A1014" s="3">
        <v>1011</v>
      </c>
      <c r="B1014" s="3" t="s">
        <v>1660</v>
      </c>
      <c r="C1014" s="3" t="s">
        <v>1658</v>
      </c>
      <c r="D1014" s="3" t="s">
        <v>1658</v>
      </c>
      <c r="E1014" s="1"/>
      <c r="F1014" s="8" t="s">
        <v>66</v>
      </c>
    </row>
    <row r="1015" spans="1:6" x14ac:dyDescent="0.2">
      <c r="A1015" s="3">
        <v>1012</v>
      </c>
      <c r="B1015" s="3" t="s">
        <v>1661</v>
      </c>
      <c r="C1015" s="3" t="s">
        <v>1662</v>
      </c>
      <c r="D1015" s="3" t="s">
        <v>1662</v>
      </c>
      <c r="E1015" s="1"/>
      <c r="F1015" s="8" t="s">
        <v>66</v>
      </c>
    </row>
    <row r="1016" spans="1:6" x14ac:dyDescent="0.2">
      <c r="A1016" s="3">
        <v>1013</v>
      </c>
      <c r="B1016" s="3" t="s">
        <v>1663</v>
      </c>
      <c r="C1016" s="3" t="s">
        <v>1664</v>
      </c>
      <c r="D1016" s="3" t="s">
        <v>1664</v>
      </c>
      <c r="E1016" s="1"/>
      <c r="F1016" s="8" t="s">
        <v>66</v>
      </c>
    </row>
    <row r="1017" spans="1:6" x14ac:dyDescent="0.2">
      <c r="A1017" s="3">
        <v>1014</v>
      </c>
      <c r="B1017" s="3" t="s">
        <v>1665</v>
      </c>
      <c r="C1017" s="3" t="s">
        <v>1666</v>
      </c>
      <c r="D1017" s="3" t="s">
        <v>1666</v>
      </c>
      <c r="E1017" s="1"/>
      <c r="F1017" s="8" t="s">
        <v>66</v>
      </c>
    </row>
    <row r="1018" spans="1:6" x14ac:dyDescent="0.2">
      <c r="A1018" s="3">
        <v>1015</v>
      </c>
      <c r="B1018" s="3" t="s">
        <v>1667</v>
      </c>
      <c r="C1018" s="3" t="s">
        <v>1668</v>
      </c>
      <c r="D1018" s="3" t="s">
        <v>1668</v>
      </c>
      <c r="E1018" s="1"/>
      <c r="F1018" s="8" t="s">
        <v>66</v>
      </c>
    </row>
    <row r="1019" spans="1:6" x14ac:dyDescent="0.2">
      <c r="A1019" s="3">
        <v>1016</v>
      </c>
      <c r="B1019" s="3" t="s">
        <v>1669</v>
      </c>
      <c r="C1019" s="3" t="s">
        <v>1670</v>
      </c>
      <c r="D1019" s="3" t="s">
        <v>1670</v>
      </c>
      <c r="E1019" s="1"/>
      <c r="F1019" s="8" t="s">
        <v>66</v>
      </c>
    </row>
    <row r="1020" spans="1:6" x14ac:dyDescent="0.2">
      <c r="A1020" s="3">
        <v>1017</v>
      </c>
      <c r="B1020" s="3" t="s">
        <v>1671</v>
      </c>
      <c r="C1020" s="3" t="s">
        <v>1670</v>
      </c>
      <c r="D1020" s="3" t="s">
        <v>1670</v>
      </c>
      <c r="E1020" s="1"/>
      <c r="F1020" s="8" t="s">
        <v>66</v>
      </c>
    </row>
    <row r="1021" spans="1:6" x14ac:dyDescent="0.2">
      <c r="A1021" s="3">
        <v>1018</v>
      </c>
      <c r="B1021" s="3" t="s">
        <v>1672</v>
      </c>
      <c r="C1021" s="3" t="s">
        <v>1673</v>
      </c>
      <c r="D1021" s="3" t="s">
        <v>1673</v>
      </c>
      <c r="E1021" s="1"/>
      <c r="F1021" s="8" t="s">
        <v>66</v>
      </c>
    </row>
    <row r="1022" spans="1:6" x14ac:dyDescent="0.2">
      <c r="A1022" s="3">
        <v>1019</v>
      </c>
      <c r="B1022" s="3" t="s">
        <v>1674</v>
      </c>
      <c r="C1022" s="3" t="s">
        <v>1673</v>
      </c>
      <c r="D1022" s="3" t="s">
        <v>1673</v>
      </c>
      <c r="E1022" s="1"/>
      <c r="F1022" s="8" t="s">
        <v>66</v>
      </c>
    </row>
    <row r="1023" spans="1:6" x14ac:dyDescent="0.2">
      <c r="A1023" s="3">
        <v>1020</v>
      </c>
      <c r="B1023" s="3" t="s">
        <v>1675</v>
      </c>
      <c r="C1023" s="3" t="s">
        <v>1676</v>
      </c>
      <c r="D1023" s="3" t="s">
        <v>1676</v>
      </c>
      <c r="E1023" s="1"/>
      <c r="F1023" s="8" t="s">
        <v>66</v>
      </c>
    </row>
    <row r="1024" spans="1:6" x14ac:dyDescent="0.2">
      <c r="A1024" s="3">
        <v>1021</v>
      </c>
      <c r="B1024" s="3" t="s">
        <v>1677</v>
      </c>
      <c r="C1024" s="3" t="s">
        <v>1678</v>
      </c>
      <c r="D1024" s="3" t="s">
        <v>1678</v>
      </c>
      <c r="E1024" s="1"/>
      <c r="F1024" s="8" t="s">
        <v>66</v>
      </c>
    </row>
    <row r="1025" spans="1:6" x14ac:dyDescent="0.2">
      <c r="A1025" s="3">
        <v>1022</v>
      </c>
      <c r="B1025" s="3" t="s">
        <v>1679</v>
      </c>
      <c r="C1025" s="3" t="s">
        <v>1680</v>
      </c>
      <c r="D1025" s="3" t="s">
        <v>1680</v>
      </c>
      <c r="E1025" s="1"/>
      <c r="F1025" s="8" t="s">
        <v>66</v>
      </c>
    </row>
    <row r="1026" spans="1:6" x14ac:dyDescent="0.2">
      <c r="A1026" s="3">
        <v>1023</v>
      </c>
      <c r="B1026" s="3" t="s">
        <v>1681</v>
      </c>
      <c r="C1026" s="3" t="s">
        <v>1680</v>
      </c>
      <c r="D1026" s="3" t="s">
        <v>1680</v>
      </c>
      <c r="E1026" s="1"/>
      <c r="F1026" s="8" t="s">
        <v>66</v>
      </c>
    </row>
    <row r="1027" spans="1:6" x14ac:dyDescent="0.2">
      <c r="A1027" s="3">
        <v>1024</v>
      </c>
      <c r="B1027" s="3" t="s">
        <v>1682</v>
      </c>
      <c r="C1027" s="3" t="s">
        <v>1683</v>
      </c>
      <c r="D1027" s="3" t="s">
        <v>1683</v>
      </c>
      <c r="E1027" s="1"/>
      <c r="F1027" s="8" t="s">
        <v>66</v>
      </c>
    </row>
    <row r="1028" spans="1:6" x14ac:dyDescent="0.2">
      <c r="A1028" s="3">
        <v>1025</v>
      </c>
      <c r="B1028" s="3" t="s">
        <v>1684</v>
      </c>
      <c r="C1028" s="3" t="s">
        <v>1685</v>
      </c>
      <c r="D1028" s="3" t="s">
        <v>1685</v>
      </c>
      <c r="E1028" s="1"/>
      <c r="F1028" s="8" t="s">
        <v>66</v>
      </c>
    </row>
    <row r="1029" spans="1:6" x14ac:dyDescent="0.2">
      <c r="A1029" s="3">
        <v>1026</v>
      </c>
      <c r="B1029" s="3" t="s">
        <v>1686</v>
      </c>
      <c r="C1029" s="3" t="s">
        <v>1687</v>
      </c>
      <c r="D1029" s="3" t="s">
        <v>1687</v>
      </c>
      <c r="E1029" s="1"/>
      <c r="F1029" s="8" t="s">
        <v>66</v>
      </c>
    </row>
    <row r="1030" spans="1:6" x14ac:dyDescent="0.2">
      <c r="A1030" s="3">
        <v>1027</v>
      </c>
      <c r="B1030" s="3" t="s">
        <v>1688</v>
      </c>
      <c r="C1030" s="3" t="s">
        <v>1687</v>
      </c>
      <c r="D1030" s="3" t="s">
        <v>1687</v>
      </c>
      <c r="E1030" s="1"/>
      <c r="F1030" s="8" t="s">
        <v>66</v>
      </c>
    </row>
    <row r="1031" spans="1:6" x14ac:dyDescent="0.2">
      <c r="A1031" s="3">
        <v>1028</v>
      </c>
      <c r="B1031" s="3" t="s">
        <v>1689</v>
      </c>
      <c r="C1031" s="3" t="s">
        <v>1687</v>
      </c>
      <c r="D1031" s="3" t="s">
        <v>1687</v>
      </c>
      <c r="E1031" s="1"/>
      <c r="F1031" s="8" t="s">
        <v>66</v>
      </c>
    </row>
    <row r="1032" spans="1:6" x14ac:dyDescent="0.2">
      <c r="A1032" s="3">
        <v>1029</v>
      </c>
      <c r="B1032" s="3" t="s">
        <v>1690</v>
      </c>
      <c r="C1032" s="3" t="s">
        <v>1691</v>
      </c>
      <c r="D1032" s="3" t="s">
        <v>1691</v>
      </c>
      <c r="E1032" s="1"/>
      <c r="F1032" s="8" t="s">
        <v>66</v>
      </c>
    </row>
    <row r="1033" spans="1:6" x14ac:dyDescent="0.2">
      <c r="A1033" s="3">
        <v>1030</v>
      </c>
      <c r="B1033" s="3" t="s">
        <v>1692</v>
      </c>
      <c r="C1033" s="3" t="s">
        <v>1693</v>
      </c>
      <c r="D1033" s="3" t="s">
        <v>1693</v>
      </c>
      <c r="E1033" s="1"/>
      <c r="F1033" s="8" t="s">
        <v>66</v>
      </c>
    </row>
    <row r="1034" spans="1:6" x14ac:dyDescent="0.2">
      <c r="A1034" s="3">
        <v>1031</v>
      </c>
      <c r="B1034" s="3" t="s">
        <v>1694</v>
      </c>
      <c r="C1034" s="3" t="s">
        <v>1693</v>
      </c>
      <c r="D1034" s="3" t="s">
        <v>1693</v>
      </c>
      <c r="E1034" s="1"/>
      <c r="F1034" s="8" t="s">
        <v>66</v>
      </c>
    </row>
    <row r="1035" spans="1:6" x14ac:dyDescent="0.2">
      <c r="A1035" s="3">
        <v>1032</v>
      </c>
      <c r="B1035" s="3" t="s">
        <v>1695</v>
      </c>
      <c r="C1035" s="3" t="s">
        <v>1693</v>
      </c>
      <c r="D1035" s="3" t="s">
        <v>1693</v>
      </c>
      <c r="E1035" s="1"/>
      <c r="F1035" s="8" t="s">
        <v>66</v>
      </c>
    </row>
    <row r="1036" spans="1:6" x14ac:dyDescent="0.2">
      <c r="A1036" s="3">
        <v>1033</v>
      </c>
      <c r="B1036" s="3" t="s">
        <v>1696</v>
      </c>
      <c r="C1036" s="3" t="s">
        <v>1697</v>
      </c>
      <c r="D1036" s="3" t="s">
        <v>1697</v>
      </c>
      <c r="E1036" s="1"/>
      <c r="F1036" s="8" t="s">
        <v>66</v>
      </c>
    </row>
    <row r="1037" spans="1:6" x14ac:dyDescent="0.2">
      <c r="A1037" s="3">
        <v>1034</v>
      </c>
      <c r="B1037" s="3" t="s">
        <v>1698</v>
      </c>
      <c r="C1037" s="3" t="s">
        <v>1697</v>
      </c>
      <c r="D1037" s="3" t="s">
        <v>1697</v>
      </c>
      <c r="E1037" s="1"/>
      <c r="F1037" s="8" t="s">
        <v>66</v>
      </c>
    </row>
    <row r="1038" spans="1:6" x14ac:dyDescent="0.2">
      <c r="A1038" s="3">
        <v>1035</v>
      </c>
      <c r="B1038" s="3" t="s">
        <v>1699</v>
      </c>
      <c r="C1038" s="3" t="s">
        <v>1697</v>
      </c>
      <c r="D1038" s="3" t="s">
        <v>1697</v>
      </c>
      <c r="E1038" s="1"/>
      <c r="F1038" s="8" t="s">
        <v>66</v>
      </c>
    </row>
    <row r="1039" spans="1:6" x14ac:dyDescent="0.2">
      <c r="A1039" s="3">
        <v>1036</v>
      </c>
      <c r="B1039" s="3" t="s">
        <v>1700</v>
      </c>
      <c r="C1039" s="3" t="s">
        <v>1701</v>
      </c>
      <c r="D1039" s="3" t="s">
        <v>1701</v>
      </c>
      <c r="E1039" s="1"/>
      <c r="F1039" s="8" t="s">
        <v>66</v>
      </c>
    </row>
    <row r="1040" spans="1:6" x14ac:dyDescent="0.2">
      <c r="A1040" s="3">
        <v>1037</v>
      </c>
      <c r="B1040" s="3" t="s">
        <v>1702</v>
      </c>
      <c r="C1040" s="3" t="s">
        <v>1703</v>
      </c>
      <c r="D1040" s="3" t="s">
        <v>1703</v>
      </c>
      <c r="E1040" s="1"/>
      <c r="F1040" s="8" t="s">
        <v>66</v>
      </c>
    </row>
    <row r="1041" spans="1:6" x14ac:dyDescent="0.2">
      <c r="A1041" s="3">
        <v>1038</v>
      </c>
      <c r="B1041" s="3" t="s">
        <v>1704</v>
      </c>
      <c r="C1041" s="3" t="s">
        <v>1703</v>
      </c>
      <c r="D1041" s="3" t="s">
        <v>1703</v>
      </c>
      <c r="E1041" s="1"/>
      <c r="F1041" s="8" t="s">
        <v>66</v>
      </c>
    </row>
    <row r="1042" spans="1:6" x14ac:dyDescent="0.2">
      <c r="A1042" s="3">
        <v>1039</v>
      </c>
      <c r="B1042" s="3" t="s">
        <v>1705</v>
      </c>
      <c r="C1042" s="3" t="s">
        <v>1706</v>
      </c>
      <c r="D1042" s="3" t="s">
        <v>1706</v>
      </c>
      <c r="E1042" s="1"/>
      <c r="F1042" s="8" t="s">
        <v>66</v>
      </c>
    </row>
    <row r="1043" spans="1:6" x14ac:dyDescent="0.2">
      <c r="A1043" s="3">
        <v>1040</v>
      </c>
      <c r="B1043" s="3" t="s">
        <v>1707</v>
      </c>
      <c r="C1043" s="3" t="s">
        <v>1708</v>
      </c>
      <c r="D1043" s="3" t="s">
        <v>1708</v>
      </c>
      <c r="E1043" s="1"/>
      <c r="F1043" s="8" t="s">
        <v>66</v>
      </c>
    </row>
    <row r="1044" spans="1:6" x14ac:dyDescent="0.2">
      <c r="A1044" s="3">
        <v>1041</v>
      </c>
      <c r="B1044" s="3" t="s">
        <v>1709</v>
      </c>
      <c r="C1044" s="3" t="s">
        <v>1710</v>
      </c>
      <c r="D1044" s="3" t="s">
        <v>1710</v>
      </c>
      <c r="E1044" s="1"/>
      <c r="F1044" s="8" t="s">
        <v>66</v>
      </c>
    </row>
    <row r="1045" spans="1:6" x14ac:dyDescent="0.2">
      <c r="A1045" s="3">
        <v>1042</v>
      </c>
      <c r="B1045" s="3" t="s">
        <v>1711</v>
      </c>
      <c r="C1045" s="3" t="s">
        <v>1712</v>
      </c>
      <c r="D1045" s="3" t="s">
        <v>1712</v>
      </c>
      <c r="E1045" s="1"/>
      <c r="F1045" s="8" t="s">
        <v>66</v>
      </c>
    </row>
    <row r="1046" spans="1:6" x14ac:dyDescent="0.2">
      <c r="A1046" s="3">
        <v>1043</v>
      </c>
      <c r="B1046" s="3" t="s">
        <v>1713</v>
      </c>
      <c r="C1046" s="3" t="s">
        <v>1712</v>
      </c>
      <c r="D1046" s="3" t="s">
        <v>1712</v>
      </c>
      <c r="E1046" s="1"/>
      <c r="F1046" s="8" t="s">
        <v>66</v>
      </c>
    </row>
    <row r="1047" spans="1:6" x14ac:dyDescent="0.2">
      <c r="A1047" s="3">
        <v>1044</v>
      </c>
      <c r="B1047" s="3" t="s">
        <v>1714</v>
      </c>
      <c r="C1047" s="3" t="s">
        <v>1715</v>
      </c>
      <c r="D1047" s="3" t="s">
        <v>1715</v>
      </c>
      <c r="E1047" s="1"/>
      <c r="F1047" s="8" t="s">
        <v>66</v>
      </c>
    </row>
    <row r="1048" spans="1:6" x14ac:dyDescent="0.2">
      <c r="A1048" s="3">
        <v>1045</v>
      </c>
      <c r="B1048" s="3" t="s">
        <v>1716</v>
      </c>
      <c r="C1048" s="3" t="s">
        <v>1717</v>
      </c>
      <c r="D1048" s="3" t="s">
        <v>1717</v>
      </c>
      <c r="E1048" s="1"/>
      <c r="F1048" s="8" t="s">
        <v>66</v>
      </c>
    </row>
    <row r="1049" spans="1:6" x14ac:dyDescent="0.2">
      <c r="A1049" s="3">
        <v>1046</v>
      </c>
      <c r="B1049" s="3" t="s">
        <v>1718</v>
      </c>
      <c r="C1049" s="3" t="s">
        <v>1719</v>
      </c>
      <c r="D1049" s="3" t="s">
        <v>1719</v>
      </c>
      <c r="E1049" s="1"/>
      <c r="F1049" s="8" t="s">
        <v>66</v>
      </c>
    </row>
    <row r="1050" spans="1:6" x14ac:dyDescent="0.2">
      <c r="A1050" s="3">
        <v>1047</v>
      </c>
      <c r="B1050" s="3" t="s">
        <v>1720</v>
      </c>
      <c r="C1050" s="3" t="s">
        <v>1719</v>
      </c>
      <c r="D1050" s="3" t="s">
        <v>1719</v>
      </c>
      <c r="E1050" s="1"/>
      <c r="F1050" s="8" t="s">
        <v>66</v>
      </c>
    </row>
    <row r="1051" spans="1:6" x14ac:dyDescent="0.2">
      <c r="A1051" s="3">
        <v>1048</v>
      </c>
      <c r="B1051" s="3" t="s">
        <v>1721</v>
      </c>
      <c r="C1051" s="3" t="s">
        <v>1722</v>
      </c>
      <c r="D1051" s="3" t="s">
        <v>1722</v>
      </c>
      <c r="E1051" s="1"/>
      <c r="F1051" s="8" t="s">
        <v>66</v>
      </c>
    </row>
    <row r="1052" spans="1:6" x14ac:dyDescent="0.2">
      <c r="A1052" s="3">
        <v>1049</v>
      </c>
      <c r="B1052" s="3" t="s">
        <v>1723</v>
      </c>
      <c r="C1052" s="3" t="s">
        <v>1722</v>
      </c>
      <c r="D1052" s="3" t="s">
        <v>1722</v>
      </c>
      <c r="E1052" s="1"/>
      <c r="F1052" s="8" t="s">
        <v>66</v>
      </c>
    </row>
    <row r="1053" spans="1:6" x14ac:dyDescent="0.2">
      <c r="A1053" s="3">
        <v>1050</v>
      </c>
      <c r="B1053" s="3" t="s">
        <v>1724</v>
      </c>
      <c r="C1053" s="3" t="s">
        <v>1725</v>
      </c>
      <c r="D1053" s="3" t="s">
        <v>1725</v>
      </c>
      <c r="E1053" s="1"/>
      <c r="F1053" s="8" t="s">
        <v>66</v>
      </c>
    </row>
    <row r="1054" spans="1:6" x14ac:dyDescent="0.2">
      <c r="A1054" s="3">
        <v>1051</v>
      </c>
      <c r="B1054" s="3" t="s">
        <v>1726</v>
      </c>
      <c r="C1054" s="3" t="s">
        <v>1725</v>
      </c>
      <c r="D1054" s="3" t="s">
        <v>1725</v>
      </c>
      <c r="E1054" s="1"/>
      <c r="F1054" s="8" t="s">
        <v>66</v>
      </c>
    </row>
    <row r="1055" spans="1:6" x14ac:dyDescent="0.2">
      <c r="A1055" s="3">
        <v>1052</v>
      </c>
      <c r="B1055" s="3" t="s">
        <v>1727</v>
      </c>
      <c r="C1055" s="3" t="s">
        <v>1728</v>
      </c>
      <c r="D1055" s="3" t="s">
        <v>1728</v>
      </c>
      <c r="E1055" s="1"/>
      <c r="F1055" s="8" t="s">
        <v>66</v>
      </c>
    </row>
    <row r="1056" spans="1:6" x14ac:dyDescent="0.2">
      <c r="A1056" s="3">
        <v>1053</v>
      </c>
      <c r="B1056" s="3" t="s">
        <v>1729</v>
      </c>
      <c r="C1056" s="3" t="s">
        <v>1730</v>
      </c>
      <c r="D1056" s="3" t="s">
        <v>1730</v>
      </c>
      <c r="E1056" s="1"/>
      <c r="F1056" s="8" t="s">
        <v>66</v>
      </c>
    </row>
    <row r="1057" spans="1:6" x14ac:dyDescent="0.2">
      <c r="A1057" s="3">
        <v>1054</v>
      </c>
      <c r="B1057" s="3" t="s">
        <v>1731</v>
      </c>
      <c r="C1057" s="3" t="s">
        <v>1732</v>
      </c>
      <c r="D1057" s="3" t="s">
        <v>1732</v>
      </c>
      <c r="E1057" s="1"/>
      <c r="F1057" s="8" t="s">
        <v>66</v>
      </c>
    </row>
    <row r="1058" spans="1:6" x14ac:dyDescent="0.2">
      <c r="A1058" s="3">
        <v>1055</v>
      </c>
      <c r="B1058" s="3" t="s">
        <v>1733</v>
      </c>
      <c r="C1058" s="3" t="s">
        <v>1732</v>
      </c>
      <c r="D1058" s="3" t="s">
        <v>1732</v>
      </c>
      <c r="E1058" s="1"/>
      <c r="F1058" s="8" t="s">
        <v>66</v>
      </c>
    </row>
    <row r="1059" spans="1:6" x14ac:dyDescent="0.2">
      <c r="A1059" s="3">
        <v>1056</v>
      </c>
      <c r="B1059" s="3" t="s">
        <v>1734</v>
      </c>
      <c r="C1059" s="3" t="s">
        <v>1735</v>
      </c>
      <c r="D1059" s="3" t="s">
        <v>1735</v>
      </c>
      <c r="E1059" s="1"/>
      <c r="F1059" s="8" t="s">
        <v>66</v>
      </c>
    </row>
    <row r="1060" spans="1:6" x14ac:dyDescent="0.2">
      <c r="A1060" s="3">
        <v>1057</v>
      </c>
      <c r="B1060" s="3" t="s">
        <v>1736</v>
      </c>
      <c r="C1060" s="3" t="s">
        <v>1737</v>
      </c>
      <c r="D1060" s="3" t="s">
        <v>1737</v>
      </c>
      <c r="E1060" s="1"/>
      <c r="F1060" s="8" t="s">
        <v>66</v>
      </c>
    </row>
    <row r="1061" spans="1:6" x14ac:dyDescent="0.2">
      <c r="A1061" s="3">
        <v>1058</v>
      </c>
      <c r="B1061" s="3" t="s">
        <v>1738</v>
      </c>
      <c r="C1061" s="3" t="s">
        <v>1739</v>
      </c>
      <c r="D1061" s="3" t="s">
        <v>1739</v>
      </c>
      <c r="E1061" s="1"/>
      <c r="F1061" s="8" t="s">
        <v>66</v>
      </c>
    </row>
    <row r="1062" spans="1:6" x14ac:dyDescent="0.2">
      <c r="A1062" s="3">
        <v>1059</v>
      </c>
      <c r="B1062" s="3" t="s">
        <v>1740</v>
      </c>
      <c r="C1062" s="3" t="s">
        <v>1741</v>
      </c>
      <c r="D1062" s="3" t="s">
        <v>1741</v>
      </c>
      <c r="E1062" s="1"/>
      <c r="F1062" s="8" t="s">
        <v>66</v>
      </c>
    </row>
    <row r="1063" spans="1:6" x14ac:dyDescent="0.2">
      <c r="A1063" s="3">
        <v>1060</v>
      </c>
      <c r="B1063" s="3" t="s">
        <v>1742</v>
      </c>
      <c r="C1063" s="3" t="s">
        <v>1741</v>
      </c>
      <c r="D1063" s="3" t="s">
        <v>1741</v>
      </c>
      <c r="E1063" s="1"/>
      <c r="F1063" s="8" t="s">
        <v>66</v>
      </c>
    </row>
    <row r="1064" spans="1:6" x14ac:dyDescent="0.2">
      <c r="A1064" s="3">
        <v>1061</v>
      </c>
      <c r="B1064" s="3" t="s">
        <v>1743</v>
      </c>
      <c r="C1064" s="3" t="s">
        <v>1744</v>
      </c>
      <c r="D1064" s="3" t="s">
        <v>1744</v>
      </c>
      <c r="E1064" s="1"/>
      <c r="F1064" s="8" t="s">
        <v>66</v>
      </c>
    </row>
    <row r="1065" spans="1:6" x14ac:dyDescent="0.2">
      <c r="A1065" s="3">
        <v>1062</v>
      </c>
      <c r="B1065" s="3" t="s">
        <v>1745</v>
      </c>
      <c r="C1065" s="3" t="s">
        <v>1746</v>
      </c>
      <c r="D1065" s="3" t="s">
        <v>1746</v>
      </c>
      <c r="E1065" s="1"/>
      <c r="F1065" s="8" t="s">
        <v>66</v>
      </c>
    </row>
    <row r="1066" spans="1:6" x14ac:dyDescent="0.2">
      <c r="A1066" s="3">
        <v>1063</v>
      </c>
      <c r="B1066" s="3" t="s">
        <v>1747</v>
      </c>
      <c r="C1066" s="3" t="s">
        <v>1746</v>
      </c>
      <c r="D1066" s="3" t="s">
        <v>1746</v>
      </c>
      <c r="E1066" s="1"/>
      <c r="F1066" s="8" t="s">
        <v>66</v>
      </c>
    </row>
    <row r="1067" spans="1:6" x14ac:dyDescent="0.2">
      <c r="A1067" s="3">
        <v>1064</v>
      </c>
      <c r="B1067" s="3" t="s">
        <v>1748</v>
      </c>
      <c r="C1067" s="3" t="s">
        <v>1749</v>
      </c>
      <c r="D1067" s="3" t="s">
        <v>1749</v>
      </c>
      <c r="E1067" s="1"/>
      <c r="F1067" s="8" t="s">
        <v>66</v>
      </c>
    </row>
    <row r="1068" spans="1:6" x14ac:dyDescent="0.2">
      <c r="A1068" s="3">
        <v>1065</v>
      </c>
      <c r="B1068" s="3" t="s">
        <v>1750</v>
      </c>
      <c r="C1068" s="3" t="s">
        <v>1749</v>
      </c>
      <c r="D1068" s="3" t="s">
        <v>1749</v>
      </c>
      <c r="E1068" s="1"/>
      <c r="F1068" s="8" t="s">
        <v>66</v>
      </c>
    </row>
    <row r="1069" spans="1:6" x14ac:dyDescent="0.2">
      <c r="A1069" s="3">
        <v>1066</v>
      </c>
      <c r="B1069" s="3" t="s">
        <v>1751</v>
      </c>
      <c r="C1069" s="3" t="s">
        <v>1752</v>
      </c>
      <c r="D1069" s="3" t="s">
        <v>1752</v>
      </c>
      <c r="E1069" s="1"/>
      <c r="F1069" s="8" t="s">
        <v>66</v>
      </c>
    </row>
    <row r="1070" spans="1:6" x14ac:dyDescent="0.2">
      <c r="A1070" s="3">
        <v>1067</v>
      </c>
      <c r="B1070" s="3" t="s">
        <v>1753</v>
      </c>
      <c r="C1070" s="3" t="s">
        <v>1754</v>
      </c>
      <c r="D1070" s="3" t="s">
        <v>1754</v>
      </c>
      <c r="E1070" s="1"/>
      <c r="F1070" s="8" t="s">
        <v>66</v>
      </c>
    </row>
    <row r="1071" spans="1:6" x14ac:dyDescent="0.2">
      <c r="A1071" s="3">
        <v>1068</v>
      </c>
      <c r="B1071" s="3" t="s">
        <v>1755</v>
      </c>
      <c r="C1071" s="3" t="s">
        <v>1754</v>
      </c>
      <c r="D1071" s="3" t="s">
        <v>1754</v>
      </c>
      <c r="E1071" s="1"/>
      <c r="F1071" s="8" t="s">
        <v>66</v>
      </c>
    </row>
    <row r="1072" spans="1:6" x14ac:dyDescent="0.2">
      <c r="A1072" s="3">
        <v>1069</v>
      </c>
      <c r="B1072" s="3" t="s">
        <v>1756</v>
      </c>
      <c r="C1072" s="3" t="s">
        <v>1757</v>
      </c>
      <c r="D1072" s="3" t="s">
        <v>1757</v>
      </c>
      <c r="E1072" s="1"/>
      <c r="F1072" s="8" t="s">
        <v>66</v>
      </c>
    </row>
    <row r="1073" spans="1:6" x14ac:dyDescent="0.2">
      <c r="A1073" s="3">
        <v>1070</v>
      </c>
      <c r="B1073" s="3" t="s">
        <v>1758</v>
      </c>
      <c r="C1073" s="3" t="s">
        <v>1757</v>
      </c>
      <c r="D1073" s="3" t="s">
        <v>1757</v>
      </c>
      <c r="E1073" s="1"/>
      <c r="F1073" s="8" t="s">
        <v>66</v>
      </c>
    </row>
    <row r="1074" spans="1:6" x14ac:dyDescent="0.2">
      <c r="A1074" s="3">
        <v>1071</v>
      </c>
      <c r="B1074" s="3" t="s">
        <v>1759</v>
      </c>
      <c r="C1074" s="3" t="s">
        <v>1760</v>
      </c>
      <c r="D1074" s="3" t="s">
        <v>1760</v>
      </c>
      <c r="E1074" s="1"/>
      <c r="F1074" s="8" t="s">
        <v>66</v>
      </c>
    </row>
    <row r="1075" spans="1:6" x14ac:dyDescent="0.2">
      <c r="A1075" s="3">
        <v>1072</v>
      </c>
      <c r="B1075" s="3" t="s">
        <v>1761</v>
      </c>
      <c r="C1075" s="3" t="s">
        <v>1760</v>
      </c>
      <c r="D1075" s="3" t="s">
        <v>1760</v>
      </c>
      <c r="E1075" s="1"/>
      <c r="F1075" s="8" t="s">
        <v>66</v>
      </c>
    </row>
    <row r="1076" spans="1:6" x14ac:dyDescent="0.2">
      <c r="A1076" s="3">
        <v>1073</v>
      </c>
      <c r="B1076" s="3" t="s">
        <v>1762</v>
      </c>
      <c r="C1076" s="3" t="s">
        <v>1763</v>
      </c>
      <c r="D1076" s="3" t="s">
        <v>1763</v>
      </c>
      <c r="E1076" s="1"/>
      <c r="F1076" s="8" t="s">
        <v>66</v>
      </c>
    </row>
    <row r="1077" spans="1:6" x14ac:dyDescent="0.2">
      <c r="A1077" s="3">
        <v>1074</v>
      </c>
      <c r="B1077" s="3" t="s">
        <v>1764</v>
      </c>
      <c r="C1077" s="3" t="s">
        <v>1765</v>
      </c>
      <c r="D1077" s="3" t="s">
        <v>1765</v>
      </c>
      <c r="E1077" s="1"/>
      <c r="F1077" s="8" t="s">
        <v>66</v>
      </c>
    </row>
    <row r="1078" spans="1:6" x14ac:dyDescent="0.2">
      <c r="A1078" s="3">
        <v>1075</v>
      </c>
      <c r="B1078" s="3" t="s">
        <v>1766</v>
      </c>
      <c r="C1078" s="3" t="s">
        <v>1767</v>
      </c>
      <c r="D1078" s="3" t="s">
        <v>1767</v>
      </c>
      <c r="E1078" s="1"/>
      <c r="F1078" s="8" t="s">
        <v>66</v>
      </c>
    </row>
    <row r="1079" spans="1:6" x14ac:dyDescent="0.2">
      <c r="A1079" s="3">
        <v>1076</v>
      </c>
      <c r="B1079" s="3" t="s">
        <v>1768</v>
      </c>
      <c r="C1079" s="3" t="s">
        <v>1769</v>
      </c>
      <c r="D1079" s="3" t="s">
        <v>1769</v>
      </c>
      <c r="E1079" s="1"/>
      <c r="F1079" s="8" t="s">
        <v>66</v>
      </c>
    </row>
    <row r="1080" spans="1:6" x14ac:dyDescent="0.2">
      <c r="A1080" s="3">
        <v>1077</v>
      </c>
      <c r="B1080" s="3" t="s">
        <v>1770</v>
      </c>
      <c r="C1080" s="3" t="s">
        <v>1771</v>
      </c>
      <c r="D1080" s="3" t="s">
        <v>1771</v>
      </c>
      <c r="E1080" s="1"/>
      <c r="F1080" s="8" t="s">
        <v>66</v>
      </c>
    </row>
    <row r="1081" spans="1:6" x14ac:dyDescent="0.2">
      <c r="A1081" s="3">
        <v>1078</v>
      </c>
      <c r="B1081" s="3" t="s">
        <v>1772</v>
      </c>
      <c r="C1081" s="3" t="s">
        <v>1771</v>
      </c>
      <c r="D1081" s="3" t="s">
        <v>1771</v>
      </c>
      <c r="E1081" s="1"/>
      <c r="F1081" s="8" t="s">
        <v>66</v>
      </c>
    </row>
    <row r="1082" spans="1:6" x14ac:dyDescent="0.2">
      <c r="A1082" s="3">
        <v>1079</v>
      </c>
      <c r="B1082" s="3" t="s">
        <v>1773</v>
      </c>
      <c r="C1082" s="3" t="s">
        <v>1771</v>
      </c>
      <c r="D1082" s="3" t="s">
        <v>1771</v>
      </c>
      <c r="E1082" s="1"/>
      <c r="F1082" s="8" t="s">
        <v>66</v>
      </c>
    </row>
    <row r="1083" spans="1:6" x14ac:dyDescent="0.2">
      <c r="A1083" s="3">
        <v>1080</v>
      </c>
      <c r="B1083" s="3" t="s">
        <v>1774</v>
      </c>
      <c r="C1083" s="3" t="s">
        <v>1775</v>
      </c>
      <c r="D1083" s="3" t="s">
        <v>1775</v>
      </c>
      <c r="E1083" s="1"/>
      <c r="F1083" s="8" t="s">
        <v>66</v>
      </c>
    </row>
    <row r="1084" spans="1:6" x14ac:dyDescent="0.2">
      <c r="A1084" s="3">
        <v>1081</v>
      </c>
      <c r="B1084" s="3" t="s">
        <v>1776</v>
      </c>
      <c r="C1084" s="3" t="s">
        <v>1777</v>
      </c>
      <c r="D1084" s="3" t="s">
        <v>1777</v>
      </c>
      <c r="E1084" s="1"/>
      <c r="F1084" s="8" t="s">
        <v>66</v>
      </c>
    </row>
    <row r="1085" spans="1:6" x14ac:dyDescent="0.2">
      <c r="A1085" s="3">
        <v>1082</v>
      </c>
      <c r="B1085" s="3" t="s">
        <v>1778</v>
      </c>
      <c r="C1085" s="3" t="s">
        <v>1777</v>
      </c>
      <c r="D1085" s="3" t="s">
        <v>1777</v>
      </c>
      <c r="E1085" s="1"/>
      <c r="F1085" s="8" t="s">
        <v>66</v>
      </c>
    </row>
    <row r="1086" spans="1:6" x14ac:dyDescent="0.2">
      <c r="A1086" s="3">
        <v>1083</v>
      </c>
      <c r="B1086" s="3" t="s">
        <v>1779</v>
      </c>
      <c r="C1086" s="3" t="s">
        <v>1780</v>
      </c>
      <c r="D1086" s="3" t="s">
        <v>1780</v>
      </c>
      <c r="E1086" s="1"/>
      <c r="F1086" s="8" t="s">
        <v>66</v>
      </c>
    </row>
    <row r="1087" spans="1:6" x14ac:dyDescent="0.2">
      <c r="A1087" s="3">
        <v>1084</v>
      </c>
      <c r="B1087" s="3" t="s">
        <v>1781</v>
      </c>
      <c r="C1087" s="3" t="s">
        <v>1782</v>
      </c>
      <c r="D1087" s="3" t="s">
        <v>1782</v>
      </c>
      <c r="E1087" s="1"/>
      <c r="F1087" s="8" t="s">
        <v>66</v>
      </c>
    </row>
    <row r="1088" spans="1:6" x14ac:dyDescent="0.2">
      <c r="A1088" s="3">
        <v>1085</v>
      </c>
      <c r="B1088" s="3" t="s">
        <v>1783</v>
      </c>
      <c r="C1088" s="3" t="s">
        <v>1784</v>
      </c>
      <c r="D1088" s="3" t="s">
        <v>1784</v>
      </c>
      <c r="E1088" s="1"/>
      <c r="F1088" s="8" t="s">
        <v>66</v>
      </c>
    </row>
    <row r="1089" spans="1:6" x14ac:dyDescent="0.2">
      <c r="A1089" s="3">
        <v>1086</v>
      </c>
      <c r="B1089" s="3" t="s">
        <v>1785</v>
      </c>
      <c r="C1089" s="3" t="s">
        <v>1784</v>
      </c>
      <c r="D1089" s="3" t="s">
        <v>1784</v>
      </c>
      <c r="E1089" s="1"/>
      <c r="F1089" s="8" t="s">
        <v>66</v>
      </c>
    </row>
    <row r="1090" spans="1:6" x14ac:dyDescent="0.2">
      <c r="A1090" s="3">
        <v>1087</v>
      </c>
      <c r="B1090" s="3" t="s">
        <v>1786</v>
      </c>
      <c r="C1090" s="3" t="s">
        <v>1784</v>
      </c>
      <c r="D1090" s="3" t="s">
        <v>1784</v>
      </c>
      <c r="E1090" s="1"/>
      <c r="F1090" s="8" t="s">
        <v>66</v>
      </c>
    </row>
    <row r="1091" spans="1:6" x14ac:dyDescent="0.2">
      <c r="A1091" s="3">
        <v>1088</v>
      </c>
      <c r="B1091" s="3" t="s">
        <v>1787</v>
      </c>
      <c r="C1091" s="3" t="s">
        <v>1784</v>
      </c>
      <c r="D1091" s="3" t="s">
        <v>1784</v>
      </c>
      <c r="E1091" s="1"/>
      <c r="F1091" s="8" t="s">
        <v>66</v>
      </c>
    </row>
    <row r="1092" spans="1:6" x14ac:dyDescent="0.2">
      <c r="A1092" s="3">
        <v>1089</v>
      </c>
      <c r="B1092" s="3" t="s">
        <v>1788</v>
      </c>
      <c r="C1092" s="3" t="s">
        <v>1789</v>
      </c>
      <c r="D1092" s="3" t="s">
        <v>1789</v>
      </c>
      <c r="E1092" s="1"/>
      <c r="F1092" s="8" t="s">
        <v>66</v>
      </c>
    </row>
    <row r="1093" spans="1:6" x14ac:dyDescent="0.2">
      <c r="A1093" s="3">
        <v>1090</v>
      </c>
      <c r="B1093" s="3" t="s">
        <v>1790</v>
      </c>
      <c r="C1093" s="3" t="s">
        <v>1789</v>
      </c>
      <c r="D1093" s="3" t="s">
        <v>1789</v>
      </c>
      <c r="E1093" s="1"/>
      <c r="F1093" s="8" t="s">
        <v>66</v>
      </c>
    </row>
    <row r="1094" spans="1:6" x14ac:dyDescent="0.2">
      <c r="A1094" s="3">
        <v>1091</v>
      </c>
      <c r="B1094" s="3" t="s">
        <v>1791</v>
      </c>
      <c r="C1094" s="3" t="s">
        <v>1789</v>
      </c>
      <c r="D1094" s="3" t="s">
        <v>1789</v>
      </c>
      <c r="E1094" s="1"/>
      <c r="F1094" s="8" t="s">
        <v>66</v>
      </c>
    </row>
    <row r="1095" spans="1:6" x14ac:dyDescent="0.2">
      <c r="A1095" s="3">
        <v>1092</v>
      </c>
      <c r="B1095" s="3" t="s">
        <v>1792</v>
      </c>
      <c r="C1095" s="3" t="s">
        <v>1793</v>
      </c>
      <c r="D1095" s="3" t="s">
        <v>1793</v>
      </c>
      <c r="E1095" s="1"/>
      <c r="F1095" s="8" t="s">
        <v>66</v>
      </c>
    </row>
    <row r="1096" spans="1:6" x14ac:dyDescent="0.2">
      <c r="A1096" s="3">
        <v>1093</v>
      </c>
      <c r="B1096" s="3" t="s">
        <v>1794</v>
      </c>
      <c r="C1096" s="3" t="s">
        <v>1793</v>
      </c>
      <c r="D1096" s="3" t="s">
        <v>1793</v>
      </c>
      <c r="E1096" s="1"/>
      <c r="F1096" s="8" t="s">
        <v>66</v>
      </c>
    </row>
    <row r="1097" spans="1:6" x14ac:dyDescent="0.2">
      <c r="A1097" s="3">
        <v>1094</v>
      </c>
      <c r="B1097" s="3" t="s">
        <v>1795</v>
      </c>
      <c r="C1097" s="3" t="s">
        <v>1793</v>
      </c>
      <c r="D1097" s="3" t="s">
        <v>1793</v>
      </c>
      <c r="E1097" s="1"/>
      <c r="F1097" s="8" t="s">
        <v>66</v>
      </c>
    </row>
    <row r="1098" spans="1:6" x14ac:dyDescent="0.2">
      <c r="A1098" s="3">
        <v>1095</v>
      </c>
      <c r="B1098" s="3" t="s">
        <v>1796</v>
      </c>
      <c r="C1098" s="3" t="s">
        <v>1793</v>
      </c>
      <c r="D1098" s="3" t="s">
        <v>1793</v>
      </c>
      <c r="E1098" s="1"/>
      <c r="F1098" s="8" t="s">
        <v>66</v>
      </c>
    </row>
    <row r="1099" spans="1:6" x14ac:dyDescent="0.2">
      <c r="A1099" s="3">
        <v>1096</v>
      </c>
      <c r="B1099" s="3" t="s">
        <v>1797</v>
      </c>
      <c r="C1099" s="3" t="s">
        <v>1793</v>
      </c>
      <c r="D1099" s="3" t="s">
        <v>1793</v>
      </c>
      <c r="E1099" s="1"/>
      <c r="F1099" s="8" t="s">
        <v>66</v>
      </c>
    </row>
    <row r="1100" spans="1:6" x14ac:dyDescent="0.2">
      <c r="A1100" s="3">
        <v>1097</v>
      </c>
      <c r="B1100" s="3" t="s">
        <v>1798</v>
      </c>
      <c r="C1100" s="3" t="s">
        <v>1793</v>
      </c>
      <c r="D1100" s="3" t="s">
        <v>1793</v>
      </c>
      <c r="E1100" s="1"/>
      <c r="F1100" s="8" t="s">
        <v>66</v>
      </c>
    </row>
    <row r="1101" spans="1:6" x14ac:dyDescent="0.2">
      <c r="A1101" s="3">
        <v>1098</v>
      </c>
      <c r="B1101" s="3" t="s">
        <v>1799</v>
      </c>
      <c r="C1101" s="3" t="s">
        <v>1800</v>
      </c>
      <c r="D1101" s="3" t="s">
        <v>1800</v>
      </c>
      <c r="E1101" s="1"/>
      <c r="F1101" s="8" t="s">
        <v>66</v>
      </c>
    </row>
    <row r="1102" spans="1:6" x14ac:dyDescent="0.2">
      <c r="A1102" s="3">
        <v>1099</v>
      </c>
      <c r="B1102" s="3" t="s">
        <v>1801</v>
      </c>
      <c r="C1102" s="3" t="s">
        <v>1802</v>
      </c>
      <c r="D1102" s="3" t="s">
        <v>1802</v>
      </c>
      <c r="E1102" s="1"/>
      <c r="F1102" s="8" t="s">
        <v>66</v>
      </c>
    </row>
    <row r="1103" spans="1:6" x14ac:dyDescent="0.2">
      <c r="A1103" s="3">
        <v>1100</v>
      </c>
      <c r="B1103" s="3" t="s">
        <v>1803</v>
      </c>
      <c r="C1103" s="3" t="s">
        <v>1804</v>
      </c>
      <c r="D1103" s="3" t="s">
        <v>1804</v>
      </c>
      <c r="E1103" s="1"/>
      <c r="F1103" s="8" t="s">
        <v>66</v>
      </c>
    </row>
    <row r="1104" spans="1:6" x14ac:dyDescent="0.2">
      <c r="A1104" s="3">
        <v>1101</v>
      </c>
      <c r="B1104" s="3" t="s">
        <v>1805</v>
      </c>
      <c r="C1104" s="3" t="s">
        <v>1806</v>
      </c>
      <c r="D1104" s="3" t="s">
        <v>1806</v>
      </c>
      <c r="E1104" s="1"/>
      <c r="F1104" s="8" t="s">
        <v>66</v>
      </c>
    </row>
    <row r="1105" spans="1:6" x14ac:dyDescent="0.2">
      <c r="A1105" s="3">
        <v>1102</v>
      </c>
      <c r="B1105" s="3" t="s">
        <v>1807</v>
      </c>
      <c r="C1105" s="3" t="s">
        <v>1808</v>
      </c>
      <c r="D1105" s="3" t="s">
        <v>1808</v>
      </c>
      <c r="E1105" s="1"/>
      <c r="F1105" s="8" t="s">
        <v>66</v>
      </c>
    </row>
    <row r="1106" spans="1:6" x14ac:dyDescent="0.2">
      <c r="A1106" s="3">
        <v>1103</v>
      </c>
      <c r="B1106" s="3" t="s">
        <v>1809</v>
      </c>
      <c r="C1106" s="3" t="s">
        <v>1810</v>
      </c>
      <c r="D1106" s="3" t="s">
        <v>1810</v>
      </c>
      <c r="E1106" s="1"/>
      <c r="F1106" s="8" t="s">
        <v>66</v>
      </c>
    </row>
    <row r="1107" spans="1:6" x14ac:dyDescent="0.2">
      <c r="A1107" s="3">
        <v>1104</v>
      </c>
      <c r="B1107" s="3" t="s">
        <v>1811</v>
      </c>
      <c r="C1107" s="3" t="s">
        <v>1812</v>
      </c>
      <c r="D1107" s="3" t="s">
        <v>1812</v>
      </c>
      <c r="E1107" s="1"/>
      <c r="F1107" s="8" t="s">
        <v>66</v>
      </c>
    </row>
    <row r="1108" spans="1:6" x14ac:dyDescent="0.2">
      <c r="A1108" s="3">
        <v>1105</v>
      </c>
      <c r="B1108" s="3" t="s">
        <v>1813</v>
      </c>
      <c r="C1108" s="3" t="s">
        <v>1812</v>
      </c>
      <c r="D1108" s="3" t="s">
        <v>1812</v>
      </c>
      <c r="E1108" s="1"/>
      <c r="F1108" s="8" t="s">
        <v>66</v>
      </c>
    </row>
    <row r="1109" spans="1:6" x14ac:dyDescent="0.2">
      <c r="A1109" s="3">
        <v>1106</v>
      </c>
      <c r="B1109" s="3" t="s">
        <v>1814</v>
      </c>
      <c r="C1109" s="3" t="s">
        <v>1815</v>
      </c>
      <c r="D1109" s="3" t="s">
        <v>1815</v>
      </c>
      <c r="E1109" s="1"/>
      <c r="F1109" s="8" t="s">
        <v>66</v>
      </c>
    </row>
    <row r="1110" spans="1:6" x14ac:dyDescent="0.2">
      <c r="A1110" s="3">
        <v>1107</v>
      </c>
      <c r="B1110" s="3" t="s">
        <v>1816</v>
      </c>
      <c r="C1110" s="3" t="s">
        <v>1817</v>
      </c>
      <c r="D1110" s="3" t="s">
        <v>1817</v>
      </c>
      <c r="E1110" s="1"/>
      <c r="F1110" s="8" t="s">
        <v>66</v>
      </c>
    </row>
    <row r="1111" spans="1:6" x14ac:dyDescent="0.2">
      <c r="A1111" s="3">
        <v>1108</v>
      </c>
      <c r="B1111" s="3" t="s">
        <v>1818</v>
      </c>
      <c r="C1111" s="3" t="s">
        <v>1819</v>
      </c>
      <c r="D1111" s="3" t="s">
        <v>1819</v>
      </c>
      <c r="E1111" s="1"/>
      <c r="F1111" s="8" t="s">
        <v>66</v>
      </c>
    </row>
    <row r="1112" spans="1:6" x14ac:dyDescent="0.2">
      <c r="A1112" s="3">
        <v>1109</v>
      </c>
      <c r="B1112" s="3" t="s">
        <v>1820</v>
      </c>
      <c r="C1112" s="3" t="s">
        <v>1819</v>
      </c>
      <c r="D1112" s="3" t="s">
        <v>1819</v>
      </c>
      <c r="E1112" s="1"/>
      <c r="F1112" s="8" t="s">
        <v>66</v>
      </c>
    </row>
    <row r="1113" spans="1:6" x14ac:dyDescent="0.2">
      <c r="A1113" s="3">
        <v>1110</v>
      </c>
      <c r="B1113" s="3" t="s">
        <v>1821</v>
      </c>
      <c r="C1113" s="3" t="s">
        <v>1822</v>
      </c>
      <c r="D1113" s="3" t="s">
        <v>1822</v>
      </c>
      <c r="E1113" s="1"/>
      <c r="F1113" s="8" t="s">
        <v>66</v>
      </c>
    </row>
    <row r="1114" spans="1:6" x14ac:dyDescent="0.2">
      <c r="A1114" s="3">
        <v>1111</v>
      </c>
      <c r="B1114" s="3" t="s">
        <v>1823</v>
      </c>
      <c r="C1114" s="3" t="s">
        <v>1824</v>
      </c>
      <c r="D1114" s="3" t="s">
        <v>1824</v>
      </c>
      <c r="E1114" s="1"/>
      <c r="F1114" s="8" t="s">
        <v>66</v>
      </c>
    </row>
    <row r="1115" spans="1:6" x14ac:dyDescent="0.2">
      <c r="A1115" s="3">
        <v>1112</v>
      </c>
      <c r="B1115" s="3" t="s">
        <v>1825</v>
      </c>
      <c r="C1115" s="3" t="s">
        <v>1826</v>
      </c>
      <c r="D1115" s="3" t="s">
        <v>1826</v>
      </c>
      <c r="E1115" s="1"/>
      <c r="F1115" s="8" t="s">
        <v>66</v>
      </c>
    </row>
    <row r="1116" spans="1:6" x14ac:dyDescent="0.2">
      <c r="A1116" s="3">
        <v>1113</v>
      </c>
      <c r="B1116" s="3" t="s">
        <v>1827</v>
      </c>
      <c r="C1116" s="3" t="s">
        <v>1828</v>
      </c>
      <c r="D1116" s="3" t="s">
        <v>1828</v>
      </c>
      <c r="E1116" s="1"/>
      <c r="F1116" s="8" t="s">
        <v>66</v>
      </c>
    </row>
    <row r="1117" spans="1:6" x14ac:dyDescent="0.2">
      <c r="A1117" s="3">
        <v>1114</v>
      </c>
      <c r="B1117" s="3" t="s">
        <v>1829</v>
      </c>
      <c r="C1117" s="3" t="s">
        <v>1828</v>
      </c>
      <c r="D1117" s="3" t="s">
        <v>1828</v>
      </c>
      <c r="E1117" s="1"/>
      <c r="F1117" s="8" t="s">
        <v>66</v>
      </c>
    </row>
    <row r="1118" spans="1:6" x14ac:dyDescent="0.2">
      <c r="A1118" s="3">
        <v>1115</v>
      </c>
      <c r="B1118" s="3" t="s">
        <v>1830</v>
      </c>
      <c r="C1118" s="3" t="s">
        <v>1831</v>
      </c>
      <c r="D1118" s="3" t="s">
        <v>1831</v>
      </c>
      <c r="E1118" s="1"/>
      <c r="F1118" s="8" t="s">
        <v>66</v>
      </c>
    </row>
    <row r="1119" spans="1:6" x14ac:dyDescent="0.2">
      <c r="A1119" s="3">
        <v>1116</v>
      </c>
      <c r="B1119" s="3" t="s">
        <v>1832</v>
      </c>
      <c r="C1119" s="3" t="s">
        <v>1833</v>
      </c>
      <c r="D1119" s="3" t="s">
        <v>1833</v>
      </c>
      <c r="E1119" s="1"/>
      <c r="F1119" s="8" t="s">
        <v>66</v>
      </c>
    </row>
    <row r="1120" spans="1:6" x14ac:dyDescent="0.2">
      <c r="A1120" s="3">
        <v>1117</v>
      </c>
      <c r="B1120" s="3" t="s">
        <v>1834</v>
      </c>
      <c r="C1120" s="3" t="s">
        <v>1835</v>
      </c>
      <c r="D1120" s="3" t="s">
        <v>1835</v>
      </c>
      <c r="E1120" s="1"/>
      <c r="F1120" s="8" t="s">
        <v>66</v>
      </c>
    </row>
    <row r="1121" spans="1:6" x14ac:dyDescent="0.2">
      <c r="A1121" s="3">
        <v>1118</v>
      </c>
      <c r="B1121" s="3" t="s">
        <v>1836</v>
      </c>
      <c r="C1121" s="3" t="s">
        <v>1837</v>
      </c>
      <c r="D1121" s="3" t="s">
        <v>1837</v>
      </c>
      <c r="E1121" s="1"/>
      <c r="F1121" s="8" t="s">
        <v>66</v>
      </c>
    </row>
    <row r="1122" spans="1:6" x14ac:dyDescent="0.2">
      <c r="A1122" s="3">
        <v>1119</v>
      </c>
      <c r="B1122" s="3" t="s">
        <v>1838</v>
      </c>
      <c r="C1122" s="3" t="s">
        <v>1837</v>
      </c>
      <c r="D1122" s="3" t="s">
        <v>1837</v>
      </c>
      <c r="E1122" s="1"/>
      <c r="F1122" s="8" t="s">
        <v>66</v>
      </c>
    </row>
    <row r="1123" spans="1:6" x14ac:dyDescent="0.2">
      <c r="A1123" s="3">
        <v>1120</v>
      </c>
      <c r="B1123" s="3" t="s">
        <v>1839</v>
      </c>
      <c r="C1123" s="3" t="s">
        <v>1840</v>
      </c>
      <c r="D1123" s="3" t="s">
        <v>1840</v>
      </c>
      <c r="E1123" s="1"/>
      <c r="F1123" s="8" t="s">
        <v>66</v>
      </c>
    </row>
    <row r="1124" spans="1:6" x14ac:dyDescent="0.2">
      <c r="A1124" s="3">
        <v>1121</v>
      </c>
      <c r="B1124" s="3" t="s">
        <v>1841</v>
      </c>
      <c r="C1124" s="3" t="s">
        <v>1840</v>
      </c>
      <c r="D1124" s="3" t="s">
        <v>1840</v>
      </c>
      <c r="E1124" s="1"/>
      <c r="F1124" s="8" t="s">
        <v>66</v>
      </c>
    </row>
    <row r="1125" spans="1:6" x14ac:dyDescent="0.2">
      <c r="A1125" s="3">
        <v>1122</v>
      </c>
      <c r="B1125" s="3" t="s">
        <v>1842</v>
      </c>
      <c r="C1125" s="3" t="s">
        <v>1840</v>
      </c>
      <c r="D1125" s="3" t="s">
        <v>1840</v>
      </c>
      <c r="E1125" s="1"/>
      <c r="F1125" s="8" t="s">
        <v>66</v>
      </c>
    </row>
    <row r="1126" spans="1:6" x14ac:dyDescent="0.2">
      <c r="A1126" s="3">
        <v>1123</v>
      </c>
      <c r="B1126" s="3" t="s">
        <v>1843</v>
      </c>
      <c r="C1126" s="3" t="s">
        <v>1844</v>
      </c>
      <c r="D1126" s="3" t="s">
        <v>1844</v>
      </c>
      <c r="E1126" s="1"/>
      <c r="F1126" s="8" t="s">
        <v>66</v>
      </c>
    </row>
    <row r="1127" spans="1:6" x14ac:dyDescent="0.2">
      <c r="A1127" s="3">
        <v>1124</v>
      </c>
      <c r="B1127" s="3" t="s">
        <v>1845</v>
      </c>
      <c r="C1127" s="3" t="s">
        <v>1844</v>
      </c>
      <c r="D1127" s="3" t="s">
        <v>1844</v>
      </c>
      <c r="E1127" s="1"/>
      <c r="F1127" s="8" t="s">
        <v>66</v>
      </c>
    </row>
    <row r="1128" spans="1:6" x14ac:dyDescent="0.2">
      <c r="A1128" s="3">
        <v>1125</v>
      </c>
      <c r="B1128" s="3" t="s">
        <v>1846</v>
      </c>
      <c r="C1128" s="3" t="s">
        <v>1847</v>
      </c>
      <c r="D1128" s="3" t="s">
        <v>1847</v>
      </c>
      <c r="E1128" s="1"/>
      <c r="F1128" s="8" t="s">
        <v>66</v>
      </c>
    </row>
    <row r="1129" spans="1:6" x14ac:dyDescent="0.2">
      <c r="A1129" s="3">
        <v>1126</v>
      </c>
      <c r="B1129" s="3" t="s">
        <v>1848</v>
      </c>
      <c r="C1129" s="3" t="s">
        <v>1847</v>
      </c>
      <c r="D1129" s="3" t="s">
        <v>1847</v>
      </c>
      <c r="E1129" s="1"/>
      <c r="F1129" s="8" t="s">
        <v>66</v>
      </c>
    </row>
    <row r="1130" spans="1:6" x14ac:dyDescent="0.2">
      <c r="A1130" s="3">
        <v>1127</v>
      </c>
      <c r="B1130" s="3" t="s">
        <v>1849</v>
      </c>
      <c r="C1130" s="3" t="s">
        <v>1847</v>
      </c>
      <c r="D1130" s="3" t="s">
        <v>1847</v>
      </c>
      <c r="E1130" s="1"/>
      <c r="F1130" s="8" t="s">
        <v>66</v>
      </c>
    </row>
    <row r="1131" spans="1:6" x14ac:dyDescent="0.2">
      <c r="A1131" s="3">
        <v>1128</v>
      </c>
      <c r="B1131" s="3" t="s">
        <v>1850</v>
      </c>
      <c r="C1131" s="3" t="s">
        <v>1851</v>
      </c>
      <c r="D1131" s="3" t="s">
        <v>1851</v>
      </c>
      <c r="E1131" s="1"/>
      <c r="F1131" s="8" t="s">
        <v>66</v>
      </c>
    </row>
    <row r="1132" spans="1:6" x14ac:dyDescent="0.2">
      <c r="A1132" s="3">
        <v>1129</v>
      </c>
      <c r="B1132" s="3" t="s">
        <v>1852</v>
      </c>
      <c r="C1132" s="3" t="s">
        <v>1851</v>
      </c>
      <c r="D1132" s="3" t="s">
        <v>1851</v>
      </c>
      <c r="E1132" s="1"/>
      <c r="F1132" s="8" t="s">
        <v>66</v>
      </c>
    </row>
    <row r="1133" spans="1:6" x14ac:dyDescent="0.2">
      <c r="A1133" s="3">
        <v>1130</v>
      </c>
      <c r="B1133" s="3" t="s">
        <v>1853</v>
      </c>
      <c r="C1133" s="3" t="s">
        <v>1851</v>
      </c>
      <c r="D1133" s="3" t="s">
        <v>1851</v>
      </c>
      <c r="E1133" s="1"/>
      <c r="F1133" s="8" t="s">
        <v>66</v>
      </c>
    </row>
    <row r="1134" spans="1:6" x14ac:dyDescent="0.2">
      <c r="A1134" s="3">
        <v>1131</v>
      </c>
      <c r="B1134" s="3" t="s">
        <v>1854</v>
      </c>
      <c r="C1134" s="3" t="s">
        <v>1855</v>
      </c>
      <c r="D1134" s="3" t="s">
        <v>1855</v>
      </c>
      <c r="E1134" s="1"/>
      <c r="F1134" s="8" t="s">
        <v>66</v>
      </c>
    </row>
    <row r="1135" spans="1:6" x14ac:dyDescent="0.2">
      <c r="A1135" s="3">
        <v>1132</v>
      </c>
      <c r="B1135" s="3" t="s">
        <v>1856</v>
      </c>
      <c r="C1135" s="3" t="s">
        <v>1857</v>
      </c>
      <c r="D1135" s="3" t="s">
        <v>1857</v>
      </c>
      <c r="E1135" s="1"/>
      <c r="F1135" s="8" t="s">
        <v>66</v>
      </c>
    </row>
    <row r="1136" spans="1:6" x14ac:dyDescent="0.2">
      <c r="A1136" s="3">
        <v>1133</v>
      </c>
      <c r="B1136" s="3" t="s">
        <v>1858</v>
      </c>
      <c r="C1136" s="3" t="s">
        <v>1857</v>
      </c>
      <c r="D1136" s="3" t="s">
        <v>1857</v>
      </c>
      <c r="E1136" s="1"/>
      <c r="F1136" s="8" t="s">
        <v>66</v>
      </c>
    </row>
    <row r="1137" spans="1:6" x14ac:dyDescent="0.2">
      <c r="A1137" s="3">
        <v>1134</v>
      </c>
      <c r="B1137" s="3" t="s">
        <v>1859</v>
      </c>
      <c r="C1137" s="3" t="s">
        <v>1857</v>
      </c>
      <c r="D1137" s="3" t="s">
        <v>1857</v>
      </c>
      <c r="E1137" s="1"/>
      <c r="F1137" s="8" t="s">
        <v>66</v>
      </c>
    </row>
    <row r="1138" spans="1:6" x14ac:dyDescent="0.2">
      <c r="A1138" s="3">
        <v>1135</v>
      </c>
      <c r="B1138" s="3" t="s">
        <v>1860</v>
      </c>
      <c r="C1138" s="3" t="s">
        <v>1861</v>
      </c>
      <c r="D1138" s="3" t="s">
        <v>1861</v>
      </c>
      <c r="E1138" s="1"/>
      <c r="F1138" s="8" t="s">
        <v>66</v>
      </c>
    </row>
    <row r="1139" spans="1:6" x14ac:dyDescent="0.2">
      <c r="A1139" s="3">
        <v>1136</v>
      </c>
      <c r="B1139" s="3" t="s">
        <v>1862</v>
      </c>
      <c r="C1139" s="3" t="s">
        <v>1863</v>
      </c>
      <c r="D1139" s="3" t="s">
        <v>1863</v>
      </c>
      <c r="E1139" s="1"/>
      <c r="F1139" s="8" t="s">
        <v>66</v>
      </c>
    </row>
    <row r="1140" spans="1:6" x14ac:dyDescent="0.2">
      <c r="A1140" s="3">
        <v>1137</v>
      </c>
      <c r="B1140" s="3" t="s">
        <v>1864</v>
      </c>
      <c r="C1140" s="3" t="s">
        <v>1865</v>
      </c>
      <c r="D1140" s="3" t="s">
        <v>1865</v>
      </c>
      <c r="E1140" s="1"/>
      <c r="F1140" s="8" t="s">
        <v>66</v>
      </c>
    </row>
    <row r="1141" spans="1:6" x14ac:dyDescent="0.2">
      <c r="A1141" s="3">
        <v>1138</v>
      </c>
      <c r="B1141" s="3" t="s">
        <v>1866</v>
      </c>
      <c r="C1141" s="3" t="s">
        <v>1865</v>
      </c>
      <c r="D1141" s="3" t="s">
        <v>1865</v>
      </c>
      <c r="E1141" s="1"/>
      <c r="F1141" s="8" t="s">
        <v>66</v>
      </c>
    </row>
    <row r="1142" spans="1:6" x14ac:dyDescent="0.2">
      <c r="A1142" s="3">
        <v>1139</v>
      </c>
      <c r="B1142" s="3" t="s">
        <v>1867</v>
      </c>
      <c r="C1142" s="3" t="s">
        <v>1868</v>
      </c>
      <c r="D1142" s="3" t="s">
        <v>1868</v>
      </c>
      <c r="E1142" s="1"/>
      <c r="F1142" s="8" t="s">
        <v>66</v>
      </c>
    </row>
    <row r="1143" spans="1:6" x14ac:dyDescent="0.2">
      <c r="A1143" s="3">
        <v>1140</v>
      </c>
      <c r="B1143" s="3" t="s">
        <v>1869</v>
      </c>
      <c r="C1143" s="3" t="s">
        <v>1868</v>
      </c>
      <c r="D1143" s="3" t="s">
        <v>1868</v>
      </c>
      <c r="E1143" s="1"/>
      <c r="F1143" s="8" t="s">
        <v>66</v>
      </c>
    </row>
    <row r="1144" spans="1:6" x14ac:dyDescent="0.2">
      <c r="A1144" s="3">
        <v>1141</v>
      </c>
      <c r="B1144" s="3" t="s">
        <v>1870</v>
      </c>
      <c r="C1144" s="3" t="s">
        <v>1871</v>
      </c>
      <c r="D1144" s="3" t="s">
        <v>1871</v>
      </c>
      <c r="E1144" s="1"/>
      <c r="F1144" s="8" t="s">
        <v>66</v>
      </c>
    </row>
    <row r="1145" spans="1:6" x14ac:dyDescent="0.2">
      <c r="A1145" s="3">
        <v>1142</v>
      </c>
      <c r="B1145" s="3" t="s">
        <v>1872</v>
      </c>
      <c r="C1145" s="3" t="s">
        <v>1871</v>
      </c>
      <c r="D1145" s="3" t="s">
        <v>1871</v>
      </c>
      <c r="E1145" s="1"/>
      <c r="F1145" s="8" t="s">
        <v>66</v>
      </c>
    </row>
    <row r="1146" spans="1:6" x14ac:dyDescent="0.2">
      <c r="A1146" s="3">
        <v>1143</v>
      </c>
      <c r="B1146" s="3" t="s">
        <v>1873</v>
      </c>
      <c r="C1146" s="3" t="s">
        <v>1871</v>
      </c>
      <c r="D1146" s="3" t="s">
        <v>1871</v>
      </c>
      <c r="E1146" s="1"/>
      <c r="F1146" s="8" t="s">
        <v>66</v>
      </c>
    </row>
    <row r="1147" spans="1:6" x14ac:dyDescent="0.2">
      <c r="A1147" s="3">
        <v>1144</v>
      </c>
      <c r="B1147" s="3" t="s">
        <v>1874</v>
      </c>
      <c r="C1147" s="3" t="s">
        <v>1871</v>
      </c>
      <c r="D1147" s="3" t="s">
        <v>1871</v>
      </c>
      <c r="E1147" s="1"/>
      <c r="F1147" s="8" t="s">
        <v>66</v>
      </c>
    </row>
    <row r="1148" spans="1:6" x14ac:dyDescent="0.2">
      <c r="A1148" s="3">
        <v>1145</v>
      </c>
      <c r="B1148" s="3" t="s">
        <v>1875</v>
      </c>
      <c r="C1148" s="3" t="s">
        <v>1876</v>
      </c>
      <c r="D1148" s="3" t="s">
        <v>1876</v>
      </c>
      <c r="E1148" s="1"/>
      <c r="F1148" s="8" t="s">
        <v>66</v>
      </c>
    </row>
    <row r="1149" spans="1:6" x14ac:dyDescent="0.2">
      <c r="A1149" s="3">
        <v>1146</v>
      </c>
      <c r="B1149" s="3" t="s">
        <v>1877</v>
      </c>
      <c r="C1149" s="3" t="s">
        <v>1878</v>
      </c>
      <c r="D1149" s="3" t="s">
        <v>1878</v>
      </c>
      <c r="E1149" s="1"/>
      <c r="F1149" s="8" t="s">
        <v>66</v>
      </c>
    </row>
    <row r="1150" spans="1:6" x14ac:dyDescent="0.2">
      <c r="A1150" s="3">
        <v>1147</v>
      </c>
      <c r="B1150" s="3" t="s">
        <v>1879</v>
      </c>
      <c r="C1150" s="3" t="s">
        <v>1880</v>
      </c>
      <c r="D1150" s="3" t="s">
        <v>1880</v>
      </c>
      <c r="E1150" s="1"/>
      <c r="F1150" s="8" t="s">
        <v>66</v>
      </c>
    </row>
    <row r="1151" spans="1:6" x14ac:dyDescent="0.2">
      <c r="A1151" s="3">
        <v>1148</v>
      </c>
      <c r="B1151" s="3" t="s">
        <v>1881</v>
      </c>
      <c r="C1151" s="3" t="s">
        <v>1882</v>
      </c>
      <c r="D1151" s="3" t="s">
        <v>1882</v>
      </c>
      <c r="E1151" s="1"/>
      <c r="F1151" s="8" t="s">
        <v>66</v>
      </c>
    </row>
    <row r="1152" spans="1:6" x14ac:dyDescent="0.2">
      <c r="A1152" s="3">
        <v>1149</v>
      </c>
      <c r="B1152" s="3" t="s">
        <v>1883</v>
      </c>
      <c r="C1152" s="3" t="s">
        <v>1882</v>
      </c>
      <c r="D1152" s="3" t="s">
        <v>1882</v>
      </c>
      <c r="E1152" s="1"/>
      <c r="F1152" s="8" t="s">
        <v>66</v>
      </c>
    </row>
    <row r="1153" spans="1:8" x14ac:dyDescent="0.2">
      <c r="A1153" s="3">
        <v>1150</v>
      </c>
      <c r="B1153" s="3" t="s">
        <v>1884</v>
      </c>
      <c r="C1153" s="3" t="s">
        <v>1885</v>
      </c>
      <c r="D1153" s="3" t="s">
        <v>1885</v>
      </c>
      <c r="E1153" s="1"/>
      <c r="F1153" s="8" t="s">
        <v>66</v>
      </c>
    </row>
    <row r="1154" spans="1:8" x14ac:dyDescent="0.2">
      <c r="A1154" s="3">
        <v>1151</v>
      </c>
      <c r="B1154" s="3" t="s">
        <v>1886</v>
      </c>
      <c r="C1154" s="3" t="s">
        <v>1887</v>
      </c>
      <c r="D1154" s="3" t="s">
        <v>1887</v>
      </c>
      <c r="E1154" s="1"/>
      <c r="F1154" s="8" t="s">
        <v>66</v>
      </c>
    </row>
    <row r="1155" spans="1:8" x14ac:dyDescent="0.2">
      <c r="A1155" s="3">
        <v>1152</v>
      </c>
      <c r="B1155" s="3" t="s">
        <v>1888</v>
      </c>
      <c r="C1155" s="3" t="s">
        <v>1889</v>
      </c>
      <c r="D1155" s="3" t="s">
        <v>1889</v>
      </c>
      <c r="E1155" s="1"/>
      <c r="F1155" s="8" t="s">
        <v>66</v>
      </c>
    </row>
    <row r="1156" spans="1:8" x14ac:dyDescent="0.2">
      <c r="A1156" s="3">
        <v>1153</v>
      </c>
      <c r="B1156" s="3" t="s">
        <v>1890</v>
      </c>
      <c r="C1156" s="3" t="s">
        <v>1889</v>
      </c>
      <c r="D1156" s="3" t="s">
        <v>1889</v>
      </c>
      <c r="E1156" s="1"/>
      <c r="F1156" s="8" t="s">
        <v>66</v>
      </c>
    </row>
    <row r="1157" spans="1:8" x14ac:dyDescent="0.2">
      <c r="A1157" s="3">
        <v>1154</v>
      </c>
      <c r="B1157" s="3" t="s">
        <v>1891</v>
      </c>
      <c r="C1157" s="3" t="s">
        <v>1892</v>
      </c>
      <c r="D1157" s="3" t="s">
        <v>1892</v>
      </c>
      <c r="E1157" s="1"/>
      <c r="F1157" s="8" t="s">
        <v>66</v>
      </c>
    </row>
    <row r="1158" spans="1:8" x14ac:dyDescent="0.2">
      <c r="A1158" s="3">
        <v>1155</v>
      </c>
      <c r="B1158" s="3" t="s">
        <v>1893</v>
      </c>
      <c r="C1158" s="3" t="s">
        <v>1498</v>
      </c>
      <c r="D1158" s="3" t="s">
        <v>1498</v>
      </c>
      <c r="E1158" s="1"/>
      <c r="F1158" s="8" t="s">
        <v>66</v>
      </c>
      <c r="H1158" s="35"/>
    </row>
    <row r="1159" spans="1:8" x14ac:dyDescent="0.2">
      <c r="A1159" s="3">
        <v>1156</v>
      </c>
      <c r="B1159" s="3" t="s">
        <v>1894</v>
      </c>
      <c r="C1159" s="3" t="s">
        <v>1895</v>
      </c>
      <c r="D1159" s="3" t="s">
        <v>1895</v>
      </c>
      <c r="E1159" s="1"/>
      <c r="F1159" s="8" t="s">
        <v>66</v>
      </c>
    </row>
    <row r="1160" spans="1:8" x14ac:dyDescent="0.2">
      <c r="A1160" s="3">
        <v>1157</v>
      </c>
      <c r="B1160" s="3" t="s">
        <v>1896</v>
      </c>
      <c r="C1160" s="3" t="s">
        <v>1895</v>
      </c>
      <c r="D1160" s="3" t="s">
        <v>1895</v>
      </c>
      <c r="E1160" s="1"/>
      <c r="F1160" s="8" t="s">
        <v>66</v>
      </c>
    </row>
    <row r="1161" spans="1:8" x14ac:dyDescent="0.2">
      <c r="A1161" s="3">
        <v>1158</v>
      </c>
      <c r="B1161" s="3" t="s">
        <v>1897</v>
      </c>
      <c r="C1161" s="3" t="s">
        <v>1895</v>
      </c>
      <c r="D1161" s="3" t="s">
        <v>1895</v>
      </c>
      <c r="E1161" s="1"/>
      <c r="F1161" s="8" t="s">
        <v>66</v>
      </c>
    </row>
    <row r="1162" spans="1:8" x14ac:dyDescent="0.2">
      <c r="A1162" s="3">
        <v>1159</v>
      </c>
      <c r="B1162" s="3" t="s">
        <v>1898</v>
      </c>
      <c r="C1162" s="3" t="s">
        <v>1899</v>
      </c>
      <c r="D1162" s="3" t="s">
        <v>1899</v>
      </c>
      <c r="E1162" s="1"/>
      <c r="F1162" s="8" t="s">
        <v>66</v>
      </c>
    </row>
    <row r="1163" spans="1:8" x14ac:dyDescent="0.2">
      <c r="A1163" s="3">
        <v>1160</v>
      </c>
      <c r="B1163" s="3" t="s">
        <v>1900</v>
      </c>
      <c r="C1163" s="3" t="s">
        <v>1900</v>
      </c>
      <c r="D1163" s="3" t="s">
        <v>1900</v>
      </c>
      <c r="E1163" s="1" t="s">
        <v>1901</v>
      </c>
      <c r="F1163" s="8" t="s">
        <v>66</v>
      </c>
    </row>
    <row r="1164" spans="1:8" x14ac:dyDescent="0.2">
      <c r="A1164" s="3">
        <v>1161</v>
      </c>
      <c r="B1164" s="3" t="s">
        <v>1902</v>
      </c>
      <c r="C1164" s="3" t="s">
        <v>1902</v>
      </c>
      <c r="D1164" s="3" t="s">
        <v>1902</v>
      </c>
      <c r="E1164" s="1" t="s">
        <v>1903</v>
      </c>
      <c r="F1164" s="8" t="s">
        <v>66</v>
      </c>
    </row>
    <row r="1165" spans="1:8" x14ac:dyDescent="0.2">
      <c r="A1165" s="3">
        <v>1162</v>
      </c>
      <c r="B1165" s="3" t="s">
        <v>1904</v>
      </c>
      <c r="C1165" s="3" t="s">
        <v>1905</v>
      </c>
      <c r="D1165" s="3" t="s">
        <v>1905</v>
      </c>
      <c r="E1165" s="1"/>
      <c r="F1165" s="8" t="s">
        <v>66</v>
      </c>
    </row>
    <row r="1166" spans="1:8" x14ac:dyDescent="0.2">
      <c r="A1166" s="3">
        <v>1163</v>
      </c>
      <c r="B1166" s="3" t="s">
        <v>1906</v>
      </c>
      <c r="C1166" s="3" t="s">
        <v>1905</v>
      </c>
      <c r="D1166" s="3" t="s">
        <v>1905</v>
      </c>
      <c r="E1166" s="1"/>
      <c r="F1166" s="8" t="s">
        <v>66</v>
      </c>
    </row>
    <row r="1167" spans="1:8" x14ac:dyDescent="0.2">
      <c r="A1167" s="3">
        <v>1164</v>
      </c>
      <c r="B1167" s="3" t="s">
        <v>1907</v>
      </c>
      <c r="C1167" s="3" t="s">
        <v>1905</v>
      </c>
      <c r="D1167" s="3" t="s">
        <v>1905</v>
      </c>
      <c r="E1167" s="1"/>
      <c r="F1167" s="8" t="s">
        <v>66</v>
      </c>
    </row>
    <row r="1168" spans="1:8" x14ac:dyDescent="0.2">
      <c r="A1168" s="3">
        <v>1165</v>
      </c>
      <c r="B1168" s="3" t="s">
        <v>1908</v>
      </c>
      <c r="C1168" s="3" t="s">
        <v>1909</v>
      </c>
      <c r="D1168" s="3" t="s">
        <v>1909</v>
      </c>
      <c r="E1168" s="1"/>
      <c r="F1168" s="8" t="s">
        <v>66</v>
      </c>
    </row>
    <row r="1169" spans="1:6" x14ac:dyDescent="0.2">
      <c r="A1169" s="3">
        <v>1166</v>
      </c>
      <c r="B1169" s="3" t="s">
        <v>1910</v>
      </c>
      <c r="C1169" s="3" t="s">
        <v>1909</v>
      </c>
      <c r="D1169" s="3" t="s">
        <v>1909</v>
      </c>
      <c r="E1169" s="1"/>
      <c r="F1169" s="8" t="s">
        <v>66</v>
      </c>
    </row>
    <row r="1170" spans="1:6" x14ac:dyDescent="0.2">
      <c r="A1170" s="3">
        <v>1167</v>
      </c>
      <c r="B1170" s="3" t="s">
        <v>1911</v>
      </c>
      <c r="C1170" s="3" t="s">
        <v>1909</v>
      </c>
      <c r="D1170" s="3" t="s">
        <v>1909</v>
      </c>
      <c r="E1170" s="1"/>
      <c r="F1170" s="8" t="s">
        <v>66</v>
      </c>
    </row>
    <row r="1171" spans="1:6" x14ac:dyDescent="0.2">
      <c r="A1171" s="3">
        <v>1168</v>
      </c>
      <c r="B1171" s="3" t="s">
        <v>1912</v>
      </c>
      <c r="C1171" s="3" t="s">
        <v>1913</v>
      </c>
      <c r="D1171" s="3" t="s">
        <v>1913</v>
      </c>
      <c r="E1171" s="1"/>
      <c r="F1171" s="8" t="s">
        <v>66</v>
      </c>
    </row>
    <row r="1172" spans="1:6" x14ac:dyDescent="0.2">
      <c r="A1172" s="3">
        <v>1169</v>
      </c>
      <c r="B1172" s="3" t="s">
        <v>1914</v>
      </c>
      <c r="C1172" s="3" t="s">
        <v>1915</v>
      </c>
      <c r="D1172" s="3" t="s">
        <v>1915</v>
      </c>
      <c r="E1172" s="1"/>
      <c r="F1172" s="8" t="s">
        <v>66</v>
      </c>
    </row>
    <row r="1173" spans="1:6" x14ac:dyDescent="0.2">
      <c r="A1173" s="3">
        <v>1170</v>
      </c>
      <c r="B1173" s="3" t="s">
        <v>1916</v>
      </c>
      <c r="C1173" s="3" t="s">
        <v>1917</v>
      </c>
      <c r="D1173" s="3" t="s">
        <v>1917</v>
      </c>
      <c r="E1173" s="1"/>
      <c r="F1173" s="8" t="s">
        <v>66</v>
      </c>
    </row>
    <row r="1174" spans="1:6" x14ac:dyDescent="0.2">
      <c r="A1174" s="3">
        <v>1171</v>
      </c>
      <c r="B1174" s="3" t="s">
        <v>1918</v>
      </c>
      <c r="C1174" s="3" t="s">
        <v>1918</v>
      </c>
      <c r="D1174" s="3" t="s">
        <v>1918</v>
      </c>
      <c r="E1174" s="1" t="s">
        <v>1919</v>
      </c>
      <c r="F1174" s="8" t="s">
        <v>66</v>
      </c>
    </row>
    <row r="1175" spans="1:6" x14ac:dyDescent="0.2">
      <c r="A1175" s="3">
        <v>1172</v>
      </c>
      <c r="B1175" s="3" t="s">
        <v>1920</v>
      </c>
      <c r="C1175" s="3" t="s">
        <v>1921</v>
      </c>
      <c r="D1175" s="3" t="s">
        <v>1921</v>
      </c>
      <c r="E1175" s="1"/>
      <c r="F1175" s="8" t="s">
        <v>66</v>
      </c>
    </row>
    <row r="1176" spans="1:6" x14ac:dyDescent="0.2">
      <c r="A1176" s="3">
        <v>1173</v>
      </c>
      <c r="B1176" s="3" t="s">
        <v>1922</v>
      </c>
      <c r="C1176" s="3" t="s">
        <v>1921</v>
      </c>
      <c r="D1176" s="3" t="s">
        <v>1921</v>
      </c>
      <c r="E1176" s="1"/>
      <c r="F1176" s="8" t="s">
        <v>66</v>
      </c>
    </row>
    <row r="1177" spans="1:6" x14ac:dyDescent="0.2">
      <c r="A1177" s="3">
        <v>1174</v>
      </c>
      <c r="B1177" s="3" t="s">
        <v>1923</v>
      </c>
      <c r="C1177" s="3" t="s">
        <v>1924</v>
      </c>
      <c r="D1177" s="3" t="s">
        <v>1924</v>
      </c>
      <c r="E1177" s="1"/>
      <c r="F1177" s="8" t="s">
        <v>66</v>
      </c>
    </row>
    <row r="1178" spans="1:6" x14ac:dyDescent="0.2">
      <c r="A1178" s="3">
        <v>1175</v>
      </c>
      <c r="B1178" s="3" t="s">
        <v>1925</v>
      </c>
      <c r="C1178" s="3" t="s">
        <v>1926</v>
      </c>
      <c r="D1178" s="3" t="s">
        <v>1926</v>
      </c>
      <c r="E1178" s="1"/>
      <c r="F1178" s="8" t="s">
        <v>66</v>
      </c>
    </row>
    <row r="1179" spans="1:6" x14ac:dyDescent="0.2">
      <c r="A1179" s="3">
        <v>1176</v>
      </c>
      <c r="B1179" s="3" t="s">
        <v>1927</v>
      </c>
      <c r="C1179" s="3" t="s">
        <v>1928</v>
      </c>
      <c r="D1179" s="3" t="s">
        <v>1928</v>
      </c>
      <c r="E1179" s="1"/>
      <c r="F1179" s="8" t="s">
        <v>66</v>
      </c>
    </row>
    <row r="1180" spans="1:6" x14ac:dyDescent="0.2">
      <c r="A1180" s="3">
        <v>1177</v>
      </c>
      <c r="B1180" s="3" t="s">
        <v>1929</v>
      </c>
      <c r="C1180" s="3" t="s">
        <v>1930</v>
      </c>
      <c r="D1180" s="3" t="s">
        <v>1930</v>
      </c>
      <c r="E1180" s="1"/>
      <c r="F1180" s="8" t="s">
        <v>66</v>
      </c>
    </row>
    <row r="1181" spans="1:6" x14ac:dyDescent="0.2">
      <c r="A1181" s="3">
        <v>1178</v>
      </c>
      <c r="B1181" s="3" t="s">
        <v>1931</v>
      </c>
      <c r="C1181" s="3" t="s">
        <v>1929</v>
      </c>
      <c r="D1181" s="3" t="s">
        <v>1929</v>
      </c>
      <c r="E1181" s="1"/>
      <c r="F1181" s="8" t="s">
        <v>66</v>
      </c>
    </row>
    <row r="1182" spans="1:6" x14ac:dyDescent="0.2">
      <c r="A1182" s="3">
        <v>1179</v>
      </c>
      <c r="B1182" s="3" t="s">
        <v>1932</v>
      </c>
      <c r="C1182" s="3" t="s">
        <v>1933</v>
      </c>
      <c r="D1182" s="3" t="s">
        <v>1933</v>
      </c>
      <c r="E1182" s="1"/>
      <c r="F1182" s="8" t="s">
        <v>66</v>
      </c>
    </row>
    <row r="1183" spans="1:6" x14ac:dyDescent="0.2">
      <c r="A1183" s="3">
        <v>1180</v>
      </c>
      <c r="B1183" s="3" t="s">
        <v>1934</v>
      </c>
      <c r="C1183" s="3" t="s">
        <v>1933</v>
      </c>
      <c r="D1183" s="3" t="s">
        <v>1933</v>
      </c>
      <c r="E1183" s="1"/>
      <c r="F1183" s="8" t="s">
        <v>66</v>
      </c>
    </row>
    <row r="1184" spans="1:6" x14ac:dyDescent="0.2">
      <c r="A1184" s="3">
        <v>1181</v>
      </c>
      <c r="B1184" s="3" t="s">
        <v>1935</v>
      </c>
      <c r="C1184" s="3" t="s">
        <v>1933</v>
      </c>
      <c r="D1184" s="3" t="s">
        <v>1933</v>
      </c>
      <c r="E1184" s="1"/>
      <c r="F1184" s="8" t="s">
        <v>66</v>
      </c>
    </row>
    <row r="1185" spans="1:6" x14ac:dyDescent="0.2">
      <c r="A1185" s="3">
        <v>1182</v>
      </c>
      <c r="B1185" s="3" t="s">
        <v>1936</v>
      </c>
      <c r="C1185" s="3" t="s">
        <v>1933</v>
      </c>
      <c r="D1185" s="3" t="s">
        <v>1933</v>
      </c>
      <c r="E1185" s="1"/>
      <c r="F1185" s="8" t="s">
        <v>66</v>
      </c>
    </row>
    <row r="1186" spans="1:6" x14ac:dyDescent="0.2">
      <c r="A1186" s="3">
        <v>1183</v>
      </c>
      <c r="B1186" s="3" t="s">
        <v>1937</v>
      </c>
      <c r="C1186" s="3" t="s">
        <v>1933</v>
      </c>
      <c r="D1186" s="3" t="s">
        <v>1933</v>
      </c>
      <c r="E1186" s="1"/>
      <c r="F1186" s="8" t="s">
        <v>66</v>
      </c>
    </row>
    <row r="1187" spans="1:6" x14ac:dyDescent="0.2">
      <c r="A1187" s="3">
        <v>1184</v>
      </c>
      <c r="B1187" s="3" t="s">
        <v>1938</v>
      </c>
      <c r="C1187" s="3" t="s">
        <v>1933</v>
      </c>
      <c r="D1187" s="3" t="s">
        <v>1933</v>
      </c>
      <c r="E1187" s="1"/>
      <c r="F1187" s="8" t="s">
        <v>66</v>
      </c>
    </row>
    <row r="1188" spans="1:6" x14ac:dyDescent="0.2">
      <c r="A1188" s="3">
        <v>1185</v>
      </c>
      <c r="B1188" s="3" t="s">
        <v>1939</v>
      </c>
      <c r="C1188" s="3" t="s">
        <v>1940</v>
      </c>
      <c r="D1188" s="3" t="s">
        <v>1940</v>
      </c>
      <c r="E1188" s="1"/>
      <c r="F1188" s="8" t="s">
        <v>66</v>
      </c>
    </row>
    <row r="1189" spans="1:6" x14ac:dyDescent="0.2">
      <c r="A1189" s="3">
        <v>1186</v>
      </c>
      <c r="B1189" s="3" t="s">
        <v>1941</v>
      </c>
      <c r="C1189" s="3" t="s">
        <v>1942</v>
      </c>
      <c r="D1189" s="3" t="s">
        <v>1942</v>
      </c>
      <c r="E1189" s="1"/>
      <c r="F1189" s="8" t="s">
        <v>66</v>
      </c>
    </row>
    <row r="1190" spans="1:6" x14ac:dyDescent="0.2">
      <c r="A1190" s="3">
        <v>1187</v>
      </c>
      <c r="B1190" s="3" t="s">
        <v>1943</v>
      </c>
      <c r="C1190" s="3" t="s">
        <v>1942</v>
      </c>
      <c r="D1190" s="3" t="s">
        <v>1942</v>
      </c>
      <c r="E1190" s="1"/>
      <c r="F1190" s="8" t="s">
        <v>66</v>
      </c>
    </row>
    <row r="1191" spans="1:6" x14ac:dyDescent="0.2">
      <c r="A1191" s="3">
        <v>1188</v>
      </c>
      <c r="B1191" s="3" t="s">
        <v>1944</v>
      </c>
      <c r="C1191" s="3" t="s">
        <v>1945</v>
      </c>
      <c r="D1191" s="3" t="s">
        <v>1945</v>
      </c>
      <c r="E1191" s="1"/>
      <c r="F1191" s="8" t="s">
        <v>66</v>
      </c>
    </row>
    <row r="1192" spans="1:6" x14ac:dyDescent="0.2">
      <c r="A1192" s="3">
        <v>1189</v>
      </c>
      <c r="B1192" s="3" t="s">
        <v>1946</v>
      </c>
      <c r="C1192" s="3" t="s">
        <v>1947</v>
      </c>
      <c r="D1192" s="3" t="s">
        <v>1947</v>
      </c>
      <c r="E1192" s="1"/>
      <c r="F1192" s="8" t="s">
        <v>66</v>
      </c>
    </row>
    <row r="1193" spans="1:6" x14ac:dyDescent="0.2">
      <c r="A1193" s="3">
        <v>1190</v>
      </c>
      <c r="B1193" s="3" t="s">
        <v>1948</v>
      </c>
      <c r="C1193" s="3" t="s">
        <v>1947</v>
      </c>
      <c r="D1193" s="3" t="s">
        <v>1947</v>
      </c>
      <c r="E1193" s="1"/>
      <c r="F1193" s="8" t="s">
        <v>66</v>
      </c>
    </row>
    <row r="1194" spans="1:6" x14ac:dyDescent="0.2">
      <c r="A1194" s="3">
        <v>1191</v>
      </c>
      <c r="B1194" s="3" t="s">
        <v>1949</v>
      </c>
      <c r="C1194" s="3" t="s">
        <v>1950</v>
      </c>
      <c r="D1194" s="3" t="s">
        <v>1950</v>
      </c>
      <c r="E1194" s="1"/>
      <c r="F1194" s="8" t="s">
        <v>66</v>
      </c>
    </row>
    <row r="1195" spans="1:6" x14ac:dyDescent="0.2">
      <c r="A1195" s="3">
        <v>1192</v>
      </c>
      <c r="B1195" s="3" t="s">
        <v>1951</v>
      </c>
      <c r="C1195" s="3" t="s">
        <v>1952</v>
      </c>
      <c r="D1195" s="3" t="s">
        <v>1952</v>
      </c>
      <c r="E1195" s="1"/>
      <c r="F1195" s="8" t="s">
        <v>66</v>
      </c>
    </row>
    <row r="1196" spans="1:6" x14ac:dyDescent="0.2">
      <c r="A1196" s="3">
        <v>1193</v>
      </c>
      <c r="B1196" s="3" t="s">
        <v>1953</v>
      </c>
      <c r="C1196" s="3" t="s">
        <v>1954</v>
      </c>
      <c r="D1196" s="3" t="s">
        <v>1954</v>
      </c>
      <c r="E1196" s="1"/>
      <c r="F1196" s="8" t="s">
        <v>66</v>
      </c>
    </row>
    <row r="1197" spans="1:6" x14ac:dyDescent="0.2">
      <c r="A1197" s="3">
        <v>1194</v>
      </c>
      <c r="B1197" s="3" t="s">
        <v>1955</v>
      </c>
      <c r="C1197" s="3" t="s">
        <v>1956</v>
      </c>
      <c r="D1197" s="3" t="s">
        <v>1956</v>
      </c>
      <c r="E1197" s="1"/>
      <c r="F1197" s="8" t="s">
        <v>66</v>
      </c>
    </row>
    <row r="1198" spans="1:6" x14ac:dyDescent="0.2">
      <c r="A1198" s="3">
        <v>1195</v>
      </c>
      <c r="B1198" s="3" t="s">
        <v>1957</v>
      </c>
      <c r="C1198" s="3" t="s">
        <v>1956</v>
      </c>
      <c r="D1198" s="3" t="s">
        <v>1956</v>
      </c>
      <c r="E1198" s="1"/>
      <c r="F1198" s="8" t="s">
        <v>66</v>
      </c>
    </row>
    <row r="1199" spans="1:6" x14ac:dyDescent="0.2">
      <c r="A1199" s="3">
        <v>1196</v>
      </c>
      <c r="B1199" s="3" t="s">
        <v>1958</v>
      </c>
      <c r="C1199" s="3" t="s">
        <v>1958</v>
      </c>
      <c r="D1199" s="3" t="s">
        <v>1958</v>
      </c>
      <c r="E1199" s="1" t="s">
        <v>1959</v>
      </c>
      <c r="F1199" s="8" t="s">
        <v>66</v>
      </c>
    </row>
    <row r="1200" spans="1:6" x14ac:dyDescent="0.2">
      <c r="A1200" s="3">
        <v>1197</v>
      </c>
      <c r="B1200" s="3" t="s">
        <v>1960</v>
      </c>
      <c r="C1200" s="3" t="s">
        <v>1960</v>
      </c>
      <c r="D1200" s="3" t="s">
        <v>1960</v>
      </c>
      <c r="E1200" s="1" t="s">
        <v>1961</v>
      </c>
      <c r="F1200" s="8" t="s">
        <v>66</v>
      </c>
    </row>
    <row r="1201" spans="1:6" x14ac:dyDescent="0.2">
      <c r="A1201" s="3">
        <v>1198</v>
      </c>
      <c r="B1201" s="3" t="s">
        <v>1962</v>
      </c>
      <c r="C1201" s="3" t="s">
        <v>1963</v>
      </c>
      <c r="D1201" s="3" t="s">
        <v>1963</v>
      </c>
      <c r="E1201" s="1"/>
      <c r="F1201" s="8" t="s">
        <v>66</v>
      </c>
    </row>
    <row r="1202" spans="1:6" x14ac:dyDescent="0.2">
      <c r="A1202" s="3">
        <v>1199</v>
      </c>
      <c r="B1202" s="3" t="s">
        <v>1964</v>
      </c>
      <c r="C1202" s="3" t="s">
        <v>1963</v>
      </c>
      <c r="D1202" s="3" t="s">
        <v>1963</v>
      </c>
      <c r="E1202" s="1"/>
      <c r="F1202" s="8" t="s">
        <v>66</v>
      </c>
    </row>
    <row r="1203" spans="1:6" x14ac:dyDescent="0.2">
      <c r="A1203" s="3">
        <v>1200</v>
      </c>
      <c r="B1203" s="3" t="s">
        <v>1965</v>
      </c>
      <c r="C1203" s="3" t="s">
        <v>1966</v>
      </c>
      <c r="D1203" s="3" t="s">
        <v>1966</v>
      </c>
      <c r="E1203" s="1"/>
      <c r="F1203" s="8" t="s">
        <v>66</v>
      </c>
    </row>
    <row r="1204" spans="1:6" x14ac:dyDescent="0.2">
      <c r="A1204" s="3">
        <v>1201</v>
      </c>
      <c r="B1204" s="3" t="s">
        <v>1967</v>
      </c>
      <c r="C1204" s="3" t="s">
        <v>1966</v>
      </c>
      <c r="D1204" s="3" t="s">
        <v>1966</v>
      </c>
      <c r="E1204" s="1"/>
      <c r="F1204" s="8" t="s">
        <v>66</v>
      </c>
    </row>
    <row r="1205" spans="1:6" x14ac:dyDescent="0.2">
      <c r="A1205" s="3">
        <v>1202</v>
      </c>
      <c r="B1205" s="3" t="s">
        <v>1968</v>
      </c>
      <c r="C1205" s="3" t="s">
        <v>1966</v>
      </c>
      <c r="D1205" s="3" t="s">
        <v>1966</v>
      </c>
      <c r="E1205" s="1"/>
      <c r="F1205" s="8" t="s">
        <v>66</v>
      </c>
    </row>
    <row r="1206" spans="1:6" x14ac:dyDescent="0.2">
      <c r="A1206" s="3">
        <v>1203</v>
      </c>
      <c r="B1206" s="3" t="s">
        <v>1969</v>
      </c>
      <c r="C1206" s="3" t="s">
        <v>1966</v>
      </c>
      <c r="D1206" s="3" t="s">
        <v>1966</v>
      </c>
      <c r="E1206" s="1"/>
      <c r="F1206" s="8" t="s">
        <v>66</v>
      </c>
    </row>
    <row r="1207" spans="1:6" x14ac:dyDescent="0.2">
      <c r="A1207" s="3">
        <v>1204</v>
      </c>
      <c r="B1207" s="3" t="s">
        <v>1970</v>
      </c>
      <c r="C1207" s="3" t="s">
        <v>1966</v>
      </c>
      <c r="D1207" s="3" t="s">
        <v>1966</v>
      </c>
      <c r="E1207" s="1"/>
      <c r="F1207" s="8" t="s">
        <v>66</v>
      </c>
    </row>
    <row r="1208" spans="1:6" x14ac:dyDescent="0.2">
      <c r="A1208" s="3">
        <v>1205</v>
      </c>
      <c r="B1208" s="3" t="s">
        <v>1971</v>
      </c>
      <c r="C1208" s="3" t="s">
        <v>1966</v>
      </c>
      <c r="D1208" s="3" t="s">
        <v>1966</v>
      </c>
      <c r="E1208" s="1"/>
      <c r="F1208" s="8" t="s">
        <v>66</v>
      </c>
    </row>
    <row r="1209" spans="1:6" x14ac:dyDescent="0.2">
      <c r="A1209" s="3">
        <v>1206</v>
      </c>
      <c r="B1209" s="3" t="s">
        <v>1972</v>
      </c>
      <c r="C1209" s="3" t="s">
        <v>1973</v>
      </c>
      <c r="D1209" s="3" t="s">
        <v>1973</v>
      </c>
      <c r="E1209" s="1"/>
      <c r="F1209" s="8" t="s">
        <v>66</v>
      </c>
    </row>
    <row r="1210" spans="1:6" x14ac:dyDescent="0.2">
      <c r="A1210" s="3">
        <v>1207</v>
      </c>
      <c r="B1210" s="3" t="s">
        <v>1974</v>
      </c>
      <c r="C1210" s="3" t="s">
        <v>1975</v>
      </c>
      <c r="D1210" s="3" t="s">
        <v>1975</v>
      </c>
      <c r="E1210" s="1"/>
      <c r="F1210" s="8" t="s">
        <v>66</v>
      </c>
    </row>
    <row r="1211" spans="1:6" x14ac:dyDescent="0.2">
      <c r="A1211" s="3">
        <v>1208</v>
      </c>
      <c r="B1211" s="3" t="s">
        <v>1976</v>
      </c>
      <c r="C1211" s="3" t="s">
        <v>1975</v>
      </c>
      <c r="D1211" s="3" t="s">
        <v>1975</v>
      </c>
      <c r="E1211" s="1"/>
      <c r="F1211" s="8" t="s">
        <v>66</v>
      </c>
    </row>
    <row r="1212" spans="1:6" x14ac:dyDescent="0.2">
      <c r="A1212" s="3">
        <v>1209</v>
      </c>
      <c r="B1212" s="3" t="s">
        <v>1977</v>
      </c>
      <c r="C1212" s="3" t="s">
        <v>1978</v>
      </c>
      <c r="D1212" s="3" t="s">
        <v>1978</v>
      </c>
      <c r="E1212" s="1"/>
      <c r="F1212" s="8" t="s">
        <v>66</v>
      </c>
    </row>
    <row r="1213" spans="1:6" x14ac:dyDescent="0.2">
      <c r="A1213" s="3">
        <v>1210</v>
      </c>
      <c r="B1213" s="3" t="s">
        <v>1979</v>
      </c>
      <c r="C1213" s="3" t="s">
        <v>1978</v>
      </c>
      <c r="D1213" s="3" t="s">
        <v>1978</v>
      </c>
      <c r="E1213" s="1"/>
      <c r="F1213" s="8" t="s">
        <v>66</v>
      </c>
    </row>
    <row r="1214" spans="1:6" x14ac:dyDescent="0.2">
      <c r="A1214" s="3">
        <v>1211</v>
      </c>
      <c r="B1214" s="3" t="s">
        <v>1980</v>
      </c>
      <c r="C1214" s="3" t="s">
        <v>1981</v>
      </c>
      <c r="D1214" s="3" t="s">
        <v>1981</v>
      </c>
      <c r="E1214" s="1"/>
      <c r="F1214" s="8" t="s">
        <v>66</v>
      </c>
    </row>
    <row r="1215" spans="1:6" x14ac:dyDescent="0.2">
      <c r="A1215" s="3">
        <v>1212</v>
      </c>
      <c r="B1215" s="3" t="s">
        <v>1982</v>
      </c>
      <c r="C1215" s="3" t="s">
        <v>1983</v>
      </c>
      <c r="D1215" s="3" t="s">
        <v>1983</v>
      </c>
      <c r="E1215" s="1"/>
      <c r="F1215" s="8" t="s">
        <v>66</v>
      </c>
    </row>
    <row r="1216" spans="1:6" x14ac:dyDescent="0.2">
      <c r="A1216" s="3">
        <v>1213</v>
      </c>
      <c r="B1216" s="3" t="s">
        <v>1984</v>
      </c>
      <c r="C1216" s="3" t="s">
        <v>1985</v>
      </c>
      <c r="D1216" s="3" t="s">
        <v>1985</v>
      </c>
      <c r="E1216" s="1"/>
      <c r="F1216" s="8" t="s">
        <v>66</v>
      </c>
    </row>
    <row r="1217" spans="1:6" x14ac:dyDescent="0.2">
      <c r="A1217" s="3">
        <v>1214</v>
      </c>
      <c r="B1217" s="3" t="s">
        <v>1986</v>
      </c>
      <c r="C1217" s="3" t="s">
        <v>1987</v>
      </c>
      <c r="D1217" s="3" t="s">
        <v>1987</v>
      </c>
      <c r="E1217" s="1"/>
      <c r="F1217" s="8" t="s">
        <v>66</v>
      </c>
    </row>
    <row r="1218" spans="1:6" x14ac:dyDescent="0.2">
      <c r="A1218" s="3">
        <v>1215</v>
      </c>
      <c r="B1218" s="3" t="s">
        <v>1988</v>
      </c>
      <c r="C1218" s="3" t="s">
        <v>1989</v>
      </c>
      <c r="D1218" s="3" t="s">
        <v>1989</v>
      </c>
      <c r="E1218" s="1"/>
      <c r="F1218" s="8" t="s">
        <v>66</v>
      </c>
    </row>
    <row r="1219" spans="1:6" x14ac:dyDescent="0.2">
      <c r="A1219" s="3">
        <v>1216</v>
      </c>
      <c r="B1219" s="3" t="s">
        <v>1990</v>
      </c>
      <c r="C1219" s="3" t="s">
        <v>1991</v>
      </c>
      <c r="D1219" s="3" t="s">
        <v>1991</v>
      </c>
      <c r="E1219" s="1"/>
      <c r="F1219" s="8" t="s">
        <v>66</v>
      </c>
    </row>
    <row r="1220" spans="1:6" x14ac:dyDescent="0.2">
      <c r="A1220" s="3">
        <v>1217</v>
      </c>
      <c r="B1220" s="3" t="s">
        <v>1992</v>
      </c>
      <c r="C1220" s="3" t="s">
        <v>1581</v>
      </c>
      <c r="D1220" s="3" t="s">
        <v>1581</v>
      </c>
      <c r="E1220" s="1"/>
      <c r="F1220" s="8" t="s">
        <v>66</v>
      </c>
    </row>
    <row r="1221" spans="1:6" x14ac:dyDescent="0.2">
      <c r="A1221" s="3">
        <v>1218</v>
      </c>
      <c r="B1221" s="3" t="s">
        <v>1993</v>
      </c>
      <c r="C1221" s="3" t="s">
        <v>1581</v>
      </c>
      <c r="D1221" s="3" t="s">
        <v>1581</v>
      </c>
      <c r="E1221" s="1"/>
      <c r="F1221" s="8" t="s">
        <v>66</v>
      </c>
    </row>
    <row r="1222" spans="1:6" x14ac:dyDescent="0.2">
      <c r="A1222" s="3">
        <v>1219</v>
      </c>
      <c r="B1222" s="3" t="s">
        <v>1994</v>
      </c>
      <c r="C1222" s="3" t="s">
        <v>1581</v>
      </c>
      <c r="D1222" s="98" t="s">
        <v>1581</v>
      </c>
      <c r="E1222" s="1"/>
      <c r="F1222" s="8" t="s">
        <v>66</v>
      </c>
    </row>
    <row r="1223" spans="1:6" x14ac:dyDescent="0.15">
      <c r="A1223" s="3">
        <v>1220</v>
      </c>
      <c r="B1223" s="3" t="s">
        <v>1995</v>
      </c>
      <c r="C1223" s="3" t="s">
        <v>1581</v>
      </c>
      <c r="D1223" s="88" t="s">
        <v>1581</v>
      </c>
      <c r="E1223" s="1"/>
      <c r="F1223" s="8" t="s">
        <v>66</v>
      </c>
    </row>
    <row r="1224" spans="1:6" x14ac:dyDescent="0.2">
      <c r="A1224" s="3">
        <v>1221</v>
      </c>
      <c r="B1224" s="3" t="s">
        <v>1996</v>
      </c>
      <c r="C1224" s="3" t="s">
        <v>1581</v>
      </c>
      <c r="D1224" s="3" t="s">
        <v>1581</v>
      </c>
      <c r="E1224" s="1"/>
      <c r="F1224" s="8" t="s">
        <v>66</v>
      </c>
    </row>
    <row r="1225" spans="1:6" x14ac:dyDescent="0.2">
      <c r="A1225" s="3">
        <v>1222</v>
      </c>
      <c r="B1225" s="3" t="s">
        <v>1997</v>
      </c>
      <c r="C1225" s="3" t="s">
        <v>1998</v>
      </c>
      <c r="D1225" s="3" t="s">
        <v>1998</v>
      </c>
      <c r="E1225" s="1"/>
      <c r="F1225" s="8" t="s">
        <v>66</v>
      </c>
    </row>
    <row r="1226" spans="1:6" x14ac:dyDescent="0.2">
      <c r="A1226" s="3">
        <v>1223</v>
      </c>
      <c r="B1226" s="3" t="s">
        <v>1999</v>
      </c>
      <c r="C1226" s="3" t="s">
        <v>2000</v>
      </c>
      <c r="D1226" s="3" t="s">
        <v>2000</v>
      </c>
      <c r="E1226" s="1"/>
      <c r="F1226" s="8" t="s">
        <v>66</v>
      </c>
    </row>
    <row r="1227" spans="1:6" x14ac:dyDescent="0.2">
      <c r="A1227" s="3">
        <v>1224</v>
      </c>
      <c r="B1227" s="3" t="s">
        <v>2001</v>
      </c>
      <c r="C1227" s="3" t="s">
        <v>2002</v>
      </c>
      <c r="D1227" s="3" t="s">
        <v>2002</v>
      </c>
      <c r="E1227" s="1"/>
      <c r="F1227" s="8" t="s">
        <v>66</v>
      </c>
    </row>
    <row r="1228" spans="1:6" x14ac:dyDescent="0.2">
      <c r="A1228" s="3">
        <v>1225</v>
      </c>
      <c r="B1228" s="3" t="s">
        <v>2003</v>
      </c>
      <c r="C1228" s="3" t="s">
        <v>2004</v>
      </c>
      <c r="D1228" s="3" t="s">
        <v>2004</v>
      </c>
      <c r="E1228" s="1"/>
      <c r="F1228" s="8" t="s">
        <v>66</v>
      </c>
    </row>
    <row r="1229" spans="1:6" x14ac:dyDescent="0.2">
      <c r="A1229" s="3">
        <v>1226</v>
      </c>
      <c r="B1229" s="3" t="s">
        <v>2005</v>
      </c>
      <c r="C1229" s="3" t="s">
        <v>2006</v>
      </c>
      <c r="D1229" s="3" t="s">
        <v>2006</v>
      </c>
      <c r="E1229" s="1"/>
      <c r="F1229" s="8" t="s">
        <v>66</v>
      </c>
    </row>
    <row r="1230" spans="1:6" x14ac:dyDescent="0.2">
      <c r="A1230" s="3">
        <v>1227</v>
      </c>
      <c r="B1230" s="3" t="s">
        <v>2007</v>
      </c>
      <c r="C1230" s="3" t="s">
        <v>2006</v>
      </c>
      <c r="D1230" s="3" t="s">
        <v>2006</v>
      </c>
      <c r="E1230" s="1"/>
      <c r="F1230" s="8" t="s">
        <v>66</v>
      </c>
    </row>
    <row r="1231" spans="1:6" x14ac:dyDescent="0.2">
      <c r="A1231" s="3">
        <v>1228</v>
      </c>
      <c r="B1231" s="3" t="s">
        <v>2008</v>
      </c>
      <c r="C1231" s="3" t="s">
        <v>2009</v>
      </c>
      <c r="D1231" s="3" t="s">
        <v>2009</v>
      </c>
      <c r="E1231" s="1"/>
      <c r="F1231" s="8" t="s">
        <v>66</v>
      </c>
    </row>
    <row r="1232" spans="1:6" x14ac:dyDescent="0.2">
      <c r="A1232" s="3">
        <v>1229</v>
      </c>
      <c r="B1232" s="3" t="s">
        <v>2010</v>
      </c>
      <c r="C1232" s="3" t="s">
        <v>2011</v>
      </c>
      <c r="D1232" s="3" t="s">
        <v>2011</v>
      </c>
      <c r="E1232" s="1"/>
      <c r="F1232" s="8" t="s">
        <v>66</v>
      </c>
    </row>
    <row r="1233" spans="1:6" x14ac:dyDescent="0.2">
      <c r="A1233" s="3">
        <v>1230</v>
      </c>
      <c r="B1233" s="3" t="s">
        <v>2012</v>
      </c>
      <c r="C1233" s="3" t="s">
        <v>2011</v>
      </c>
      <c r="D1233" s="3" t="s">
        <v>2011</v>
      </c>
      <c r="E1233" s="1"/>
      <c r="F1233" s="8" t="s">
        <v>66</v>
      </c>
    </row>
    <row r="1234" spans="1:6" x14ac:dyDescent="0.2">
      <c r="A1234" s="3">
        <v>1231</v>
      </c>
      <c r="B1234" s="3" t="s">
        <v>2013</v>
      </c>
      <c r="C1234" s="3" t="s">
        <v>2011</v>
      </c>
      <c r="D1234" s="3" t="s">
        <v>2011</v>
      </c>
      <c r="E1234" s="1"/>
      <c r="F1234" s="8" t="s">
        <v>66</v>
      </c>
    </row>
    <row r="1235" spans="1:6" x14ac:dyDescent="0.2">
      <c r="A1235" s="3">
        <v>1232</v>
      </c>
      <c r="B1235" s="3" t="s">
        <v>2014</v>
      </c>
      <c r="C1235" s="3" t="s">
        <v>2011</v>
      </c>
      <c r="D1235" s="3" t="s">
        <v>2011</v>
      </c>
      <c r="E1235" s="1"/>
      <c r="F1235" s="8" t="s">
        <v>66</v>
      </c>
    </row>
    <row r="1236" spans="1:6" x14ac:dyDescent="0.2">
      <c r="A1236" s="3">
        <v>1233</v>
      </c>
      <c r="B1236" s="3" t="s">
        <v>2015</v>
      </c>
      <c r="C1236" s="3" t="s">
        <v>2016</v>
      </c>
      <c r="D1236" s="3" t="s">
        <v>2016</v>
      </c>
      <c r="E1236" s="1"/>
      <c r="F1236" s="8" t="s">
        <v>66</v>
      </c>
    </row>
    <row r="1237" spans="1:6" x14ac:dyDescent="0.2">
      <c r="A1237" s="3">
        <v>1234</v>
      </c>
      <c r="B1237" s="3" t="s">
        <v>2017</v>
      </c>
      <c r="C1237" s="3" t="s">
        <v>2016</v>
      </c>
      <c r="D1237" s="3" t="s">
        <v>2016</v>
      </c>
      <c r="E1237" s="1"/>
      <c r="F1237" s="8" t="s">
        <v>66</v>
      </c>
    </row>
    <row r="1238" spans="1:6" x14ac:dyDescent="0.2">
      <c r="A1238" s="3">
        <v>1235</v>
      </c>
      <c r="B1238" s="3" t="s">
        <v>2018</v>
      </c>
      <c r="C1238" s="3" t="s">
        <v>2019</v>
      </c>
      <c r="D1238" s="3" t="s">
        <v>2019</v>
      </c>
      <c r="E1238" s="1"/>
      <c r="F1238" s="8" t="s">
        <v>66</v>
      </c>
    </row>
    <row r="1239" spans="1:6" x14ac:dyDescent="0.2">
      <c r="A1239" s="3">
        <v>1236</v>
      </c>
      <c r="B1239" s="3" t="s">
        <v>2020</v>
      </c>
      <c r="C1239" s="3" t="s">
        <v>2021</v>
      </c>
      <c r="D1239" s="3" t="s">
        <v>2021</v>
      </c>
      <c r="E1239" s="1"/>
      <c r="F1239" s="8" t="s">
        <v>66</v>
      </c>
    </row>
    <row r="1240" spans="1:6" x14ac:dyDescent="0.2">
      <c r="A1240" s="3">
        <v>1237</v>
      </c>
      <c r="B1240" s="3" t="s">
        <v>2022</v>
      </c>
      <c r="C1240" s="3" t="s">
        <v>2021</v>
      </c>
      <c r="D1240" s="3" t="s">
        <v>2021</v>
      </c>
      <c r="E1240" s="1"/>
      <c r="F1240" s="8" t="s">
        <v>66</v>
      </c>
    </row>
    <row r="1241" spans="1:6" x14ac:dyDescent="0.2">
      <c r="A1241" s="3">
        <v>1238</v>
      </c>
      <c r="B1241" s="3" t="s">
        <v>2023</v>
      </c>
      <c r="C1241" s="3" t="s">
        <v>2021</v>
      </c>
      <c r="D1241" s="3" t="s">
        <v>2021</v>
      </c>
      <c r="E1241" s="1"/>
      <c r="F1241" s="8" t="s">
        <v>66</v>
      </c>
    </row>
    <row r="1242" spans="1:6" x14ac:dyDescent="0.2">
      <c r="A1242" s="3">
        <v>1239</v>
      </c>
      <c r="B1242" s="3" t="s">
        <v>2024</v>
      </c>
      <c r="C1242" s="3" t="s">
        <v>2025</v>
      </c>
      <c r="D1242" s="3" t="s">
        <v>2025</v>
      </c>
      <c r="E1242" s="1"/>
      <c r="F1242" s="8" t="s">
        <v>66</v>
      </c>
    </row>
    <row r="1243" spans="1:6" x14ac:dyDescent="0.2">
      <c r="A1243" s="3">
        <v>1240</v>
      </c>
      <c r="B1243" s="3" t="s">
        <v>2026</v>
      </c>
      <c r="C1243" s="3" t="s">
        <v>2025</v>
      </c>
      <c r="D1243" s="3" t="s">
        <v>2025</v>
      </c>
      <c r="E1243" s="1"/>
      <c r="F1243" s="8" t="s">
        <v>66</v>
      </c>
    </row>
    <row r="1244" spans="1:6" x14ac:dyDescent="0.2">
      <c r="A1244" s="3">
        <v>1241</v>
      </c>
      <c r="B1244" s="3" t="s">
        <v>2027</v>
      </c>
      <c r="C1244" s="3" t="s">
        <v>2025</v>
      </c>
      <c r="D1244" s="3" t="s">
        <v>2025</v>
      </c>
      <c r="E1244" s="1"/>
      <c r="F1244" s="8" t="s">
        <v>66</v>
      </c>
    </row>
    <row r="1245" spans="1:6" x14ac:dyDescent="0.2">
      <c r="A1245" s="3">
        <v>1242</v>
      </c>
      <c r="B1245" s="3" t="s">
        <v>2028</v>
      </c>
      <c r="C1245" s="3" t="s">
        <v>2025</v>
      </c>
      <c r="D1245" s="3" t="s">
        <v>2025</v>
      </c>
      <c r="E1245" s="1"/>
      <c r="F1245" s="8" t="s">
        <v>66</v>
      </c>
    </row>
    <row r="1246" spans="1:6" x14ac:dyDescent="0.2">
      <c r="A1246" s="3">
        <v>1243</v>
      </c>
      <c r="B1246" s="3" t="s">
        <v>2029</v>
      </c>
      <c r="C1246" s="3" t="s">
        <v>2025</v>
      </c>
      <c r="D1246" s="3" t="s">
        <v>2025</v>
      </c>
      <c r="E1246" s="1"/>
      <c r="F1246" s="8" t="s">
        <v>66</v>
      </c>
    </row>
    <row r="1247" spans="1:6" x14ac:dyDescent="0.2">
      <c r="A1247" s="3">
        <v>1244</v>
      </c>
      <c r="B1247" s="3" t="s">
        <v>2030</v>
      </c>
      <c r="C1247" s="3" t="s">
        <v>2031</v>
      </c>
      <c r="D1247" s="3" t="s">
        <v>2031</v>
      </c>
      <c r="E1247" s="1"/>
      <c r="F1247" s="8" t="s">
        <v>66</v>
      </c>
    </row>
    <row r="1248" spans="1:6" x14ac:dyDescent="0.2">
      <c r="A1248" s="3">
        <v>1245</v>
      </c>
      <c r="B1248" s="3" t="s">
        <v>2032</v>
      </c>
      <c r="C1248" s="3" t="s">
        <v>2033</v>
      </c>
      <c r="D1248" s="3" t="s">
        <v>2033</v>
      </c>
      <c r="E1248" s="1"/>
      <c r="F1248" s="8" t="s">
        <v>66</v>
      </c>
    </row>
    <row r="1249" spans="1:6" x14ac:dyDescent="0.2">
      <c r="A1249" s="3">
        <v>1246</v>
      </c>
      <c r="B1249" s="3" t="s">
        <v>2034</v>
      </c>
      <c r="C1249" s="3" t="s">
        <v>2033</v>
      </c>
      <c r="D1249" s="3" t="s">
        <v>2033</v>
      </c>
      <c r="E1249" s="1"/>
      <c r="F1249" s="8" t="s">
        <v>66</v>
      </c>
    </row>
    <row r="1250" spans="1:6" x14ac:dyDescent="0.2">
      <c r="A1250" s="3">
        <v>1247</v>
      </c>
      <c r="B1250" s="3" t="s">
        <v>2035</v>
      </c>
      <c r="C1250" s="3" t="s">
        <v>2033</v>
      </c>
      <c r="D1250" s="3" t="s">
        <v>2033</v>
      </c>
      <c r="E1250" s="1"/>
      <c r="F1250" s="8" t="s">
        <v>66</v>
      </c>
    </row>
    <row r="1251" spans="1:6" x14ac:dyDescent="0.2">
      <c r="A1251" s="3">
        <v>1248</v>
      </c>
      <c r="B1251" s="3" t="s">
        <v>2036</v>
      </c>
      <c r="C1251" s="3" t="s">
        <v>2037</v>
      </c>
      <c r="D1251" s="3" t="s">
        <v>2037</v>
      </c>
      <c r="E1251" s="1"/>
      <c r="F1251" s="8" t="s">
        <v>66</v>
      </c>
    </row>
    <row r="1252" spans="1:6" x14ac:dyDescent="0.2">
      <c r="A1252" s="3">
        <v>1249</v>
      </c>
      <c r="B1252" s="3" t="s">
        <v>2038</v>
      </c>
      <c r="C1252" s="3" t="s">
        <v>2039</v>
      </c>
      <c r="D1252" s="3" t="s">
        <v>2039</v>
      </c>
      <c r="E1252" s="1"/>
      <c r="F1252" s="8" t="s">
        <v>66</v>
      </c>
    </row>
    <row r="1253" spans="1:6" x14ac:dyDescent="0.2">
      <c r="A1253" s="3">
        <v>1250</v>
      </c>
      <c r="B1253" s="3" t="s">
        <v>2040</v>
      </c>
      <c r="C1253" s="3" t="s">
        <v>2041</v>
      </c>
      <c r="D1253" s="3" t="s">
        <v>2041</v>
      </c>
      <c r="E1253" s="1"/>
      <c r="F1253" s="8" t="s">
        <v>66</v>
      </c>
    </row>
    <row r="1254" spans="1:6" x14ac:dyDescent="0.2">
      <c r="A1254" s="3">
        <v>1251</v>
      </c>
      <c r="B1254" s="3" t="s">
        <v>2042</v>
      </c>
      <c r="C1254" s="3" t="s">
        <v>2041</v>
      </c>
      <c r="D1254" s="3" t="s">
        <v>2041</v>
      </c>
      <c r="E1254" s="1"/>
      <c r="F1254" s="8" t="s">
        <v>66</v>
      </c>
    </row>
    <row r="1255" spans="1:6" x14ac:dyDescent="0.2">
      <c r="A1255" s="3">
        <v>1252</v>
      </c>
      <c r="B1255" s="3" t="s">
        <v>2043</v>
      </c>
      <c r="C1255" s="3" t="s">
        <v>2044</v>
      </c>
      <c r="D1255" s="3" t="s">
        <v>2044</v>
      </c>
      <c r="E1255" s="1"/>
      <c r="F1255" s="8" t="s">
        <v>66</v>
      </c>
    </row>
    <row r="1256" spans="1:6" x14ac:dyDescent="0.2">
      <c r="A1256" s="3">
        <v>1253</v>
      </c>
      <c r="B1256" s="3" t="s">
        <v>2045</v>
      </c>
      <c r="C1256" s="3" t="s">
        <v>2044</v>
      </c>
      <c r="D1256" s="3" t="s">
        <v>2044</v>
      </c>
      <c r="E1256" s="1"/>
      <c r="F1256" s="8" t="s">
        <v>66</v>
      </c>
    </row>
    <row r="1257" spans="1:6" x14ac:dyDescent="0.2">
      <c r="A1257" s="3">
        <v>1254</v>
      </c>
      <c r="B1257" s="3" t="s">
        <v>2046</v>
      </c>
      <c r="C1257" s="3" t="s">
        <v>2047</v>
      </c>
      <c r="D1257" s="3" t="s">
        <v>2047</v>
      </c>
      <c r="E1257" s="1"/>
      <c r="F1257" s="8" t="s">
        <v>66</v>
      </c>
    </row>
    <row r="1258" spans="1:6" x14ac:dyDescent="0.2">
      <c r="A1258" s="3">
        <v>1255</v>
      </c>
      <c r="B1258" s="3" t="s">
        <v>2048</v>
      </c>
      <c r="C1258" s="3" t="s">
        <v>2049</v>
      </c>
      <c r="D1258" s="3" t="s">
        <v>2049</v>
      </c>
      <c r="E1258" s="1"/>
      <c r="F1258" s="8" t="s">
        <v>66</v>
      </c>
    </row>
    <row r="1259" spans="1:6" x14ac:dyDescent="0.2">
      <c r="A1259" s="3">
        <v>1256</v>
      </c>
      <c r="B1259" s="3" t="s">
        <v>2050</v>
      </c>
      <c r="C1259" s="3" t="s">
        <v>2049</v>
      </c>
      <c r="D1259" s="3" t="s">
        <v>2049</v>
      </c>
      <c r="E1259" s="1"/>
      <c r="F1259" s="8" t="s">
        <v>66</v>
      </c>
    </row>
    <row r="1260" spans="1:6" x14ac:dyDescent="0.2">
      <c r="A1260" s="3">
        <v>1257</v>
      </c>
      <c r="B1260" s="3" t="s">
        <v>2051</v>
      </c>
      <c r="C1260" s="3" t="s">
        <v>2052</v>
      </c>
      <c r="D1260" s="3" t="s">
        <v>2052</v>
      </c>
      <c r="E1260" s="1"/>
      <c r="F1260" s="8" t="s">
        <v>66</v>
      </c>
    </row>
    <row r="1261" spans="1:6" x14ac:dyDescent="0.2">
      <c r="A1261" s="3">
        <v>1258</v>
      </c>
      <c r="B1261" s="3" t="s">
        <v>2053</v>
      </c>
      <c r="C1261" s="3" t="s">
        <v>2054</v>
      </c>
      <c r="D1261" s="3" t="s">
        <v>2054</v>
      </c>
      <c r="E1261" s="1"/>
      <c r="F1261" s="8" t="s">
        <v>66</v>
      </c>
    </row>
    <row r="1262" spans="1:6" x14ac:dyDescent="0.2">
      <c r="A1262" s="3">
        <v>1259</v>
      </c>
      <c r="B1262" s="3" t="s">
        <v>2055</v>
      </c>
      <c r="C1262" s="3" t="s">
        <v>2054</v>
      </c>
      <c r="D1262" s="3" t="s">
        <v>2054</v>
      </c>
      <c r="E1262" s="1"/>
      <c r="F1262" s="8" t="s">
        <v>66</v>
      </c>
    </row>
    <row r="1263" spans="1:6" x14ac:dyDescent="0.2">
      <c r="A1263" s="3">
        <v>1260</v>
      </c>
      <c r="B1263" s="3" t="s">
        <v>2056</v>
      </c>
      <c r="C1263" s="3" t="s">
        <v>2057</v>
      </c>
      <c r="D1263" s="3" t="s">
        <v>2057</v>
      </c>
      <c r="E1263" s="1"/>
      <c r="F1263" s="8" t="s">
        <v>66</v>
      </c>
    </row>
    <row r="1264" spans="1:6" x14ac:dyDescent="0.2">
      <c r="A1264" s="3">
        <v>1261</v>
      </c>
      <c r="B1264" s="3" t="s">
        <v>2058</v>
      </c>
      <c r="C1264" s="3" t="s">
        <v>2059</v>
      </c>
      <c r="D1264" s="3" t="s">
        <v>2059</v>
      </c>
      <c r="E1264" s="1"/>
      <c r="F1264" s="8" t="s">
        <v>66</v>
      </c>
    </row>
    <row r="1265" spans="1:6" x14ac:dyDescent="0.2">
      <c r="A1265" s="3">
        <v>1262</v>
      </c>
      <c r="B1265" s="3" t="s">
        <v>2060</v>
      </c>
      <c r="C1265" s="3" t="s">
        <v>2059</v>
      </c>
      <c r="D1265" s="3" t="s">
        <v>2059</v>
      </c>
      <c r="E1265" s="1"/>
      <c r="F1265" s="8" t="s">
        <v>66</v>
      </c>
    </row>
    <row r="1266" spans="1:6" x14ac:dyDescent="0.2">
      <c r="A1266" s="3">
        <v>1263</v>
      </c>
      <c r="B1266" s="3" t="s">
        <v>2061</v>
      </c>
      <c r="C1266" s="3" t="s">
        <v>2062</v>
      </c>
      <c r="D1266" s="3" t="s">
        <v>2062</v>
      </c>
      <c r="E1266" s="1"/>
      <c r="F1266" s="8" t="s">
        <v>66</v>
      </c>
    </row>
    <row r="1267" spans="1:6" x14ac:dyDescent="0.2">
      <c r="A1267" s="3">
        <v>1264</v>
      </c>
      <c r="B1267" s="3" t="s">
        <v>2063</v>
      </c>
      <c r="C1267" s="3" t="s">
        <v>2062</v>
      </c>
      <c r="D1267" s="3" t="s">
        <v>2062</v>
      </c>
      <c r="E1267" s="1"/>
      <c r="F1267" s="8" t="s">
        <v>66</v>
      </c>
    </row>
    <row r="1268" spans="1:6" x14ac:dyDescent="0.2">
      <c r="A1268" s="3">
        <v>1265</v>
      </c>
      <c r="B1268" s="3" t="s">
        <v>2064</v>
      </c>
      <c r="C1268" s="3" t="s">
        <v>2065</v>
      </c>
      <c r="D1268" s="3" t="s">
        <v>2065</v>
      </c>
      <c r="E1268" s="1"/>
      <c r="F1268" s="8" t="s">
        <v>66</v>
      </c>
    </row>
    <row r="1269" spans="1:6" x14ac:dyDescent="0.2">
      <c r="A1269" s="3">
        <v>1266</v>
      </c>
      <c r="B1269" s="3" t="s">
        <v>2066</v>
      </c>
      <c r="C1269" s="3" t="s">
        <v>2067</v>
      </c>
      <c r="D1269" s="3" t="s">
        <v>2067</v>
      </c>
      <c r="E1269" s="1"/>
      <c r="F1269" s="8" t="s">
        <v>66</v>
      </c>
    </row>
    <row r="1270" spans="1:6" x14ac:dyDescent="0.2">
      <c r="A1270" s="3">
        <v>1267</v>
      </c>
      <c r="B1270" s="3" t="s">
        <v>2068</v>
      </c>
      <c r="C1270" s="3" t="s">
        <v>2067</v>
      </c>
      <c r="D1270" s="3" t="s">
        <v>2067</v>
      </c>
      <c r="E1270" s="1"/>
      <c r="F1270" s="8" t="s">
        <v>66</v>
      </c>
    </row>
    <row r="1271" spans="1:6" x14ac:dyDescent="0.2">
      <c r="A1271" s="3">
        <v>1268</v>
      </c>
      <c r="B1271" s="3" t="s">
        <v>2069</v>
      </c>
      <c r="C1271" s="3" t="s">
        <v>2067</v>
      </c>
      <c r="D1271" s="3" t="s">
        <v>2067</v>
      </c>
      <c r="E1271" s="1"/>
      <c r="F1271" s="8" t="s">
        <v>66</v>
      </c>
    </row>
    <row r="1272" spans="1:6" x14ac:dyDescent="0.2">
      <c r="A1272" s="3">
        <v>1269</v>
      </c>
      <c r="B1272" s="3" t="s">
        <v>2070</v>
      </c>
      <c r="C1272" s="3" t="s">
        <v>2071</v>
      </c>
      <c r="D1272" s="3" t="s">
        <v>2071</v>
      </c>
      <c r="E1272" s="1"/>
      <c r="F1272" s="8" t="s">
        <v>66</v>
      </c>
    </row>
    <row r="1273" spans="1:6" x14ac:dyDescent="0.2">
      <c r="A1273" s="3">
        <v>1270</v>
      </c>
      <c r="B1273" s="3" t="s">
        <v>2072</v>
      </c>
      <c r="C1273" s="3" t="s">
        <v>2071</v>
      </c>
      <c r="D1273" s="3" t="s">
        <v>2071</v>
      </c>
      <c r="E1273" s="1"/>
      <c r="F1273" s="8" t="s">
        <v>66</v>
      </c>
    </row>
    <row r="1274" spans="1:6" x14ac:dyDescent="0.2">
      <c r="A1274" s="3">
        <v>1271</v>
      </c>
      <c r="B1274" s="3" t="s">
        <v>2073</v>
      </c>
      <c r="C1274" s="3" t="s">
        <v>2074</v>
      </c>
      <c r="D1274" s="3" t="s">
        <v>2074</v>
      </c>
      <c r="E1274" s="1"/>
      <c r="F1274" s="8" t="s">
        <v>66</v>
      </c>
    </row>
    <row r="1275" spans="1:6" x14ac:dyDescent="0.2">
      <c r="A1275" s="3">
        <v>1272</v>
      </c>
      <c r="B1275" s="3" t="s">
        <v>2075</v>
      </c>
      <c r="C1275" s="3" t="s">
        <v>2076</v>
      </c>
      <c r="D1275" s="3" t="s">
        <v>2076</v>
      </c>
      <c r="E1275" s="1"/>
      <c r="F1275" s="8" t="s">
        <v>66</v>
      </c>
    </row>
    <row r="1276" spans="1:6" x14ac:dyDescent="0.2">
      <c r="A1276" s="3">
        <v>1273</v>
      </c>
      <c r="B1276" s="3" t="s">
        <v>2077</v>
      </c>
      <c r="C1276" s="3" t="s">
        <v>2078</v>
      </c>
      <c r="D1276" s="3" t="s">
        <v>2078</v>
      </c>
      <c r="E1276" s="1"/>
      <c r="F1276" s="8" t="s">
        <v>66</v>
      </c>
    </row>
    <row r="1277" spans="1:6" x14ac:dyDescent="0.2">
      <c r="A1277" s="3">
        <v>1274</v>
      </c>
      <c r="B1277" s="3" t="s">
        <v>2079</v>
      </c>
      <c r="C1277" s="3" t="s">
        <v>2080</v>
      </c>
      <c r="D1277" s="3" t="s">
        <v>2080</v>
      </c>
      <c r="E1277" s="1"/>
      <c r="F1277" s="8" t="s">
        <v>66</v>
      </c>
    </row>
    <row r="1278" spans="1:6" x14ac:dyDescent="0.2">
      <c r="A1278" s="3">
        <v>1275</v>
      </c>
      <c r="B1278" s="3" t="s">
        <v>2081</v>
      </c>
      <c r="C1278" s="3" t="s">
        <v>2082</v>
      </c>
      <c r="D1278" s="3" t="s">
        <v>2082</v>
      </c>
      <c r="E1278" s="1"/>
      <c r="F1278" s="8" t="s">
        <v>66</v>
      </c>
    </row>
    <row r="1279" spans="1:6" x14ac:dyDescent="0.2">
      <c r="A1279" s="3">
        <v>1276</v>
      </c>
      <c r="B1279" s="3" t="s">
        <v>2083</v>
      </c>
      <c r="C1279" s="3" t="s">
        <v>2084</v>
      </c>
      <c r="D1279" s="3" t="s">
        <v>2084</v>
      </c>
      <c r="E1279" s="1"/>
      <c r="F1279" s="8" t="s">
        <v>66</v>
      </c>
    </row>
    <row r="1280" spans="1:6" x14ac:dyDescent="0.2">
      <c r="A1280" s="3">
        <v>1277</v>
      </c>
      <c r="B1280" s="3" t="s">
        <v>2085</v>
      </c>
      <c r="C1280" s="3" t="s">
        <v>2086</v>
      </c>
      <c r="D1280" s="3" t="s">
        <v>2086</v>
      </c>
      <c r="E1280" s="1"/>
      <c r="F1280" s="8" t="s">
        <v>66</v>
      </c>
    </row>
    <row r="1281" spans="1:6" x14ac:dyDescent="0.2">
      <c r="A1281" s="3">
        <v>1278</v>
      </c>
      <c r="B1281" s="3" t="s">
        <v>2087</v>
      </c>
      <c r="C1281" s="3" t="s">
        <v>2088</v>
      </c>
      <c r="D1281" s="3" t="s">
        <v>2088</v>
      </c>
      <c r="E1281" s="1"/>
      <c r="F1281" s="8" t="s">
        <v>66</v>
      </c>
    </row>
    <row r="1282" spans="1:6" x14ac:dyDescent="0.2">
      <c r="A1282" s="3">
        <v>1279</v>
      </c>
      <c r="B1282" s="3" t="s">
        <v>2089</v>
      </c>
      <c r="C1282" s="3" t="s">
        <v>2090</v>
      </c>
      <c r="D1282" s="3" t="s">
        <v>2090</v>
      </c>
      <c r="E1282" s="1"/>
      <c r="F1282" s="8" t="s">
        <v>66</v>
      </c>
    </row>
    <row r="1283" spans="1:6" x14ac:dyDescent="0.2">
      <c r="A1283" s="3">
        <v>1280</v>
      </c>
      <c r="B1283" s="3" t="s">
        <v>2091</v>
      </c>
      <c r="C1283" s="3" t="s">
        <v>2092</v>
      </c>
      <c r="D1283" s="3" t="s">
        <v>2092</v>
      </c>
      <c r="E1283" s="1"/>
      <c r="F1283" s="8" t="s">
        <v>66</v>
      </c>
    </row>
    <row r="1284" spans="1:6" x14ac:dyDescent="0.2">
      <c r="A1284" s="3">
        <v>1281</v>
      </c>
      <c r="B1284" s="3" t="s">
        <v>2093</v>
      </c>
      <c r="C1284" s="3" t="s">
        <v>2092</v>
      </c>
      <c r="D1284" s="3" t="s">
        <v>2092</v>
      </c>
      <c r="E1284" s="1"/>
      <c r="F1284" s="8" t="s">
        <v>66</v>
      </c>
    </row>
    <row r="1285" spans="1:6" x14ac:dyDescent="0.2">
      <c r="A1285" s="3">
        <v>1282</v>
      </c>
      <c r="B1285" s="3" t="s">
        <v>2094</v>
      </c>
      <c r="C1285" s="3" t="s">
        <v>2095</v>
      </c>
      <c r="D1285" s="3" t="s">
        <v>2095</v>
      </c>
      <c r="E1285" s="1"/>
      <c r="F1285" s="8" t="s">
        <v>66</v>
      </c>
    </row>
    <row r="1286" spans="1:6" x14ac:dyDescent="0.2">
      <c r="A1286" s="3">
        <v>1283</v>
      </c>
      <c r="B1286" s="3" t="s">
        <v>2096</v>
      </c>
      <c r="C1286" s="3" t="s">
        <v>2097</v>
      </c>
      <c r="D1286" s="3" t="s">
        <v>2097</v>
      </c>
      <c r="E1286" s="1"/>
      <c r="F1286" s="8" t="s">
        <v>66</v>
      </c>
    </row>
    <row r="1287" spans="1:6" x14ac:dyDescent="0.2">
      <c r="A1287" s="3">
        <v>1284</v>
      </c>
      <c r="B1287" s="3" t="s">
        <v>2098</v>
      </c>
      <c r="C1287" s="3" t="s">
        <v>2097</v>
      </c>
      <c r="D1287" s="3" t="s">
        <v>2097</v>
      </c>
      <c r="E1287" s="1"/>
      <c r="F1287" s="8" t="s">
        <v>66</v>
      </c>
    </row>
    <row r="1288" spans="1:6" x14ac:dyDescent="0.2">
      <c r="A1288" s="3">
        <v>1285</v>
      </c>
      <c r="B1288" s="3" t="s">
        <v>2099</v>
      </c>
      <c r="C1288" s="3" t="s">
        <v>2100</v>
      </c>
      <c r="D1288" s="3" t="s">
        <v>2100</v>
      </c>
      <c r="E1288" s="1"/>
      <c r="F1288" s="8" t="s">
        <v>66</v>
      </c>
    </row>
    <row r="1289" spans="1:6" x14ac:dyDescent="0.2">
      <c r="A1289" s="3">
        <v>1286</v>
      </c>
      <c r="B1289" s="3" t="s">
        <v>2101</v>
      </c>
      <c r="C1289" s="3" t="s">
        <v>2100</v>
      </c>
      <c r="D1289" s="3" t="s">
        <v>2100</v>
      </c>
      <c r="E1289" s="1"/>
      <c r="F1289" s="8" t="s">
        <v>66</v>
      </c>
    </row>
    <row r="1290" spans="1:6" x14ac:dyDescent="0.2">
      <c r="A1290" s="3">
        <v>1287</v>
      </c>
      <c r="B1290" s="3" t="s">
        <v>2102</v>
      </c>
      <c r="C1290" s="3" t="s">
        <v>2103</v>
      </c>
      <c r="D1290" s="3" t="s">
        <v>2103</v>
      </c>
      <c r="E1290" s="1"/>
      <c r="F1290" s="8" t="s">
        <v>66</v>
      </c>
    </row>
    <row r="1291" spans="1:6" x14ac:dyDescent="0.2">
      <c r="A1291" s="3">
        <v>1288</v>
      </c>
      <c r="B1291" s="3" t="s">
        <v>2104</v>
      </c>
      <c r="C1291" s="3" t="s">
        <v>2105</v>
      </c>
      <c r="D1291" s="3" t="s">
        <v>2105</v>
      </c>
      <c r="E1291" s="1"/>
      <c r="F1291" s="8" t="s">
        <v>66</v>
      </c>
    </row>
    <row r="1292" spans="1:6" x14ac:dyDescent="0.2">
      <c r="A1292" s="3">
        <v>1289</v>
      </c>
      <c r="B1292" s="3" t="s">
        <v>2106</v>
      </c>
      <c r="C1292" s="3" t="s">
        <v>2107</v>
      </c>
      <c r="D1292" s="3" t="s">
        <v>2107</v>
      </c>
      <c r="E1292" s="1"/>
      <c r="F1292" s="8" t="s">
        <v>66</v>
      </c>
    </row>
    <row r="1293" spans="1:6" x14ac:dyDescent="0.2">
      <c r="A1293" s="3">
        <v>1290</v>
      </c>
      <c r="B1293" s="3" t="s">
        <v>2108</v>
      </c>
      <c r="C1293" s="3" t="s">
        <v>2107</v>
      </c>
      <c r="D1293" s="3" t="s">
        <v>2107</v>
      </c>
      <c r="E1293" s="1"/>
      <c r="F1293" s="8" t="s">
        <v>66</v>
      </c>
    </row>
    <row r="1294" spans="1:6" x14ac:dyDescent="0.2">
      <c r="A1294" s="3">
        <v>1291</v>
      </c>
      <c r="B1294" s="3" t="s">
        <v>2109</v>
      </c>
      <c r="C1294" s="3" t="s">
        <v>2110</v>
      </c>
      <c r="D1294" s="3" t="s">
        <v>2110</v>
      </c>
      <c r="E1294" s="1"/>
      <c r="F1294" s="8" t="s">
        <v>66</v>
      </c>
    </row>
    <row r="1295" spans="1:6" x14ac:dyDescent="0.2">
      <c r="A1295" s="3">
        <v>1292</v>
      </c>
      <c r="B1295" s="3" t="s">
        <v>2111</v>
      </c>
      <c r="C1295" s="3" t="s">
        <v>2110</v>
      </c>
      <c r="D1295" s="3" t="s">
        <v>2110</v>
      </c>
      <c r="E1295" s="1"/>
      <c r="F1295" s="8" t="s">
        <v>66</v>
      </c>
    </row>
    <row r="1296" spans="1:6" x14ac:dyDescent="0.2">
      <c r="A1296" s="3">
        <v>1293</v>
      </c>
      <c r="B1296" s="3" t="s">
        <v>2112</v>
      </c>
      <c r="C1296" s="3" t="s">
        <v>2113</v>
      </c>
      <c r="D1296" s="3" t="s">
        <v>2113</v>
      </c>
      <c r="E1296" s="1"/>
      <c r="F1296" s="8" t="s">
        <v>66</v>
      </c>
    </row>
    <row r="1297" spans="1:6" x14ac:dyDescent="0.2">
      <c r="A1297" s="3">
        <v>1294</v>
      </c>
      <c r="B1297" s="3" t="s">
        <v>2114</v>
      </c>
      <c r="C1297" s="3" t="s">
        <v>2115</v>
      </c>
      <c r="D1297" s="3" t="s">
        <v>2115</v>
      </c>
      <c r="E1297" s="1"/>
      <c r="F1297" s="8" t="s">
        <v>66</v>
      </c>
    </row>
    <row r="1298" spans="1:6" x14ac:dyDescent="0.2">
      <c r="A1298" s="3">
        <v>1295</v>
      </c>
      <c r="B1298" s="3" t="s">
        <v>2116</v>
      </c>
      <c r="C1298" s="3" t="s">
        <v>2115</v>
      </c>
      <c r="D1298" s="3" t="s">
        <v>2115</v>
      </c>
      <c r="E1298" s="1"/>
      <c r="F1298" s="8" t="s">
        <v>66</v>
      </c>
    </row>
    <row r="1299" spans="1:6" x14ac:dyDescent="0.2">
      <c r="A1299" s="3">
        <v>1296</v>
      </c>
      <c r="B1299" s="3" t="s">
        <v>2117</v>
      </c>
      <c r="C1299" s="3" t="s">
        <v>2115</v>
      </c>
      <c r="D1299" s="3" t="s">
        <v>2115</v>
      </c>
      <c r="E1299" s="1"/>
      <c r="F1299" s="8" t="s">
        <v>66</v>
      </c>
    </row>
    <row r="1300" spans="1:6" x14ac:dyDescent="0.2">
      <c r="A1300" s="3">
        <v>1297</v>
      </c>
      <c r="B1300" s="3" t="s">
        <v>2118</v>
      </c>
      <c r="C1300" s="3" t="s">
        <v>2115</v>
      </c>
      <c r="D1300" s="3" t="s">
        <v>2115</v>
      </c>
      <c r="E1300" s="1"/>
      <c r="F1300" s="8" t="s">
        <v>66</v>
      </c>
    </row>
    <row r="1301" spans="1:6" x14ac:dyDescent="0.2">
      <c r="A1301" s="3">
        <v>1298</v>
      </c>
      <c r="B1301" s="3" t="s">
        <v>2119</v>
      </c>
      <c r="C1301" s="3" t="s">
        <v>2120</v>
      </c>
      <c r="D1301" s="3" t="s">
        <v>2120</v>
      </c>
      <c r="E1301" s="1"/>
      <c r="F1301" s="8" t="s">
        <v>66</v>
      </c>
    </row>
    <row r="1302" spans="1:6" x14ac:dyDescent="0.2">
      <c r="A1302" s="3">
        <v>1299</v>
      </c>
      <c r="B1302" s="3" t="s">
        <v>2121</v>
      </c>
      <c r="C1302" s="3" t="s">
        <v>2120</v>
      </c>
      <c r="D1302" s="3" t="s">
        <v>2120</v>
      </c>
      <c r="E1302" s="1"/>
      <c r="F1302" s="8" t="s">
        <v>66</v>
      </c>
    </row>
    <row r="1303" spans="1:6" ht="21" x14ac:dyDescent="0.2">
      <c r="A1303" s="3">
        <v>1300</v>
      </c>
      <c r="B1303" s="3" t="s">
        <v>2122</v>
      </c>
      <c r="C1303" s="3" t="s">
        <v>2122</v>
      </c>
      <c r="D1303" s="3" t="s">
        <v>2122</v>
      </c>
      <c r="E1303" s="1" t="s">
        <v>2123</v>
      </c>
      <c r="F1303" s="8" t="s">
        <v>66</v>
      </c>
    </row>
    <row r="1304" spans="1:6" x14ac:dyDescent="0.2">
      <c r="A1304" s="3">
        <v>1301</v>
      </c>
      <c r="B1304" s="3" t="s">
        <v>2124</v>
      </c>
      <c r="C1304" s="3" t="s">
        <v>2125</v>
      </c>
      <c r="D1304" s="3" t="s">
        <v>2125</v>
      </c>
      <c r="E1304" s="1"/>
      <c r="F1304" s="8" t="s">
        <v>66</v>
      </c>
    </row>
    <row r="1305" spans="1:6" x14ac:dyDescent="0.2">
      <c r="A1305" s="3">
        <v>1302</v>
      </c>
      <c r="B1305" s="3" t="s">
        <v>2126</v>
      </c>
      <c r="C1305" s="3" t="s">
        <v>2125</v>
      </c>
      <c r="D1305" s="3" t="s">
        <v>2125</v>
      </c>
      <c r="E1305" s="1"/>
      <c r="F1305" s="8" t="s">
        <v>66</v>
      </c>
    </row>
    <row r="1306" spans="1:6" x14ac:dyDescent="0.2">
      <c r="A1306" s="3">
        <v>1303</v>
      </c>
      <c r="B1306" s="3" t="s">
        <v>2127</v>
      </c>
      <c r="C1306" s="3" t="s">
        <v>2125</v>
      </c>
      <c r="D1306" s="3" t="s">
        <v>2125</v>
      </c>
      <c r="E1306" s="1"/>
      <c r="F1306" s="8" t="s">
        <v>66</v>
      </c>
    </row>
    <row r="1307" spans="1:6" x14ac:dyDescent="0.2">
      <c r="A1307" s="3">
        <v>1304</v>
      </c>
      <c r="B1307" s="3" t="s">
        <v>2128</v>
      </c>
      <c r="C1307" s="3" t="s">
        <v>2125</v>
      </c>
      <c r="D1307" s="3" t="s">
        <v>2125</v>
      </c>
      <c r="E1307" s="1"/>
      <c r="F1307" s="8" t="s">
        <v>66</v>
      </c>
    </row>
    <row r="1308" spans="1:6" x14ac:dyDescent="0.2">
      <c r="A1308" s="3">
        <v>1305</v>
      </c>
      <c r="B1308" s="3" t="s">
        <v>2129</v>
      </c>
      <c r="C1308" s="3" t="s">
        <v>2125</v>
      </c>
      <c r="D1308" s="3" t="s">
        <v>2125</v>
      </c>
      <c r="E1308" s="1"/>
      <c r="F1308" s="8" t="s">
        <v>66</v>
      </c>
    </row>
    <row r="1309" spans="1:6" x14ac:dyDescent="0.2">
      <c r="A1309" s="3">
        <v>1306</v>
      </c>
      <c r="B1309" s="3" t="s">
        <v>2130</v>
      </c>
      <c r="C1309" s="3" t="s">
        <v>2131</v>
      </c>
      <c r="D1309" s="3" t="s">
        <v>2131</v>
      </c>
      <c r="E1309" s="1"/>
      <c r="F1309" s="8" t="s">
        <v>66</v>
      </c>
    </row>
    <row r="1310" spans="1:6" x14ac:dyDescent="0.2">
      <c r="A1310" s="3">
        <v>1307</v>
      </c>
      <c r="B1310" s="3" t="s">
        <v>2132</v>
      </c>
      <c r="C1310" s="3" t="s">
        <v>2125</v>
      </c>
      <c r="D1310" s="3" t="s">
        <v>2125</v>
      </c>
      <c r="E1310" s="1"/>
      <c r="F1310" s="8" t="s">
        <v>66</v>
      </c>
    </row>
    <row r="1311" spans="1:6" x14ac:dyDescent="0.2">
      <c r="A1311" s="3">
        <v>1308</v>
      </c>
      <c r="B1311" s="3" t="s">
        <v>2133</v>
      </c>
      <c r="C1311" s="3" t="s">
        <v>2134</v>
      </c>
      <c r="D1311" s="3" t="s">
        <v>2134</v>
      </c>
      <c r="E1311" s="1"/>
      <c r="F1311" s="8" t="s">
        <v>66</v>
      </c>
    </row>
    <row r="1312" spans="1:6" x14ac:dyDescent="0.2">
      <c r="A1312" s="3">
        <v>1309</v>
      </c>
      <c r="B1312" s="3" t="s">
        <v>2135</v>
      </c>
      <c r="C1312" s="3" t="s">
        <v>2136</v>
      </c>
      <c r="D1312" s="3" t="s">
        <v>2136</v>
      </c>
      <c r="E1312" s="1"/>
      <c r="F1312" s="8" t="s">
        <v>66</v>
      </c>
    </row>
    <row r="1313" spans="1:6" x14ac:dyDescent="0.2">
      <c r="A1313" s="3">
        <v>1310</v>
      </c>
      <c r="B1313" s="3" t="s">
        <v>2137</v>
      </c>
      <c r="C1313" s="3" t="s">
        <v>2138</v>
      </c>
      <c r="D1313" s="3" t="s">
        <v>2138</v>
      </c>
      <c r="E1313" s="1"/>
      <c r="F1313" s="8" t="s">
        <v>66</v>
      </c>
    </row>
    <row r="1314" spans="1:6" x14ac:dyDescent="0.2">
      <c r="A1314" s="3">
        <v>1311</v>
      </c>
      <c r="B1314" s="3" t="s">
        <v>2139</v>
      </c>
      <c r="C1314" s="3" t="s">
        <v>2138</v>
      </c>
      <c r="D1314" s="3" t="s">
        <v>2138</v>
      </c>
      <c r="E1314" s="1"/>
      <c r="F1314" s="8" t="s">
        <v>66</v>
      </c>
    </row>
    <row r="1315" spans="1:6" x14ac:dyDescent="0.2">
      <c r="A1315" s="3">
        <v>1312</v>
      </c>
      <c r="B1315" s="3" t="s">
        <v>2140</v>
      </c>
      <c r="C1315" s="3" t="s">
        <v>2141</v>
      </c>
      <c r="D1315" s="3" t="s">
        <v>2141</v>
      </c>
      <c r="E1315" s="1"/>
      <c r="F1315" s="8" t="s">
        <v>66</v>
      </c>
    </row>
    <row r="1316" spans="1:6" x14ac:dyDescent="0.2">
      <c r="A1316" s="3">
        <v>1313</v>
      </c>
      <c r="B1316" s="3" t="s">
        <v>2142</v>
      </c>
      <c r="C1316" s="3" t="s">
        <v>2141</v>
      </c>
      <c r="D1316" s="3" t="s">
        <v>2141</v>
      </c>
      <c r="E1316" s="1"/>
      <c r="F1316" s="8" t="s">
        <v>66</v>
      </c>
    </row>
    <row r="1317" spans="1:6" x14ac:dyDescent="0.2">
      <c r="A1317" s="3">
        <v>1314</v>
      </c>
      <c r="B1317" s="3" t="s">
        <v>2143</v>
      </c>
      <c r="C1317" s="3" t="s">
        <v>2144</v>
      </c>
      <c r="D1317" s="3" t="s">
        <v>2144</v>
      </c>
      <c r="E1317" s="1"/>
      <c r="F1317" s="8" t="s">
        <v>66</v>
      </c>
    </row>
    <row r="1318" spans="1:6" x14ac:dyDescent="0.2">
      <c r="A1318" s="3">
        <v>1315</v>
      </c>
      <c r="B1318" s="3" t="s">
        <v>2145</v>
      </c>
      <c r="C1318" s="3" t="s">
        <v>2144</v>
      </c>
      <c r="D1318" s="3" t="s">
        <v>2144</v>
      </c>
      <c r="E1318" s="1"/>
      <c r="F1318" s="8" t="s">
        <v>66</v>
      </c>
    </row>
    <row r="1319" spans="1:6" x14ac:dyDescent="0.2">
      <c r="A1319" s="3">
        <v>1316</v>
      </c>
      <c r="B1319" s="3" t="s">
        <v>2146</v>
      </c>
      <c r="C1319" s="3" t="s">
        <v>2147</v>
      </c>
      <c r="D1319" s="3" t="s">
        <v>2147</v>
      </c>
      <c r="E1319" s="1"/>
      <c r="F1319" s="8" t="s">
        <v>66</v>
      </c>
    </row>
    <row r="1320" spans="1:6" x14ac:dyDescent="0.2">
      <c r="A1320" s="3">
        <v>1317</v>
      </c>
      <c r="B1320" s="3" t="s">
        <v>2148</v>
      </c>
      <c r="C1320" s="3" t="s">
        <v>2149</v>
      </c>
      <c r="D1320" s="3" t="s">
        <v>2149</v>
      </c>
      <c r="E1320" s="1"/>
      <c r="F1320" s="8" t="s">
        <v>66</v>
      </c>
    </row>
    <row r="1321" spans="1:6" x14ac:dyDescent="0.2">
      <c r="A1321" s="3">
        <v>1318</v>
      </c>
      <c r="B1321" s="3" t="s">
        <v>2150</v>
      </c>
      <c r="C1321" s="3" t="s">
        <v>2149</v>
      </c>
      <c r="D1321" s="3" t="s">
        <v>2149</v>
      </c>
      <c r="E1321" s="1"/>
      <c r="F1321" s="8" t="s">
        <v>66</v>
      </c>
    </row>
    <row r="1322" spans="1:6" x14ac:dyDescent="0.2">
      <c r="A1322" s="3">
        <v>1319</v>
      </c>
      <c r="B1322" s="3" t="s">
        <v>2151</v>
      </c>
      <c r="C1322" s="3" t="s">
        <v>2149</v>
      </c>
      <c r="D1322" s="3" t="s">
        <v>2149</v>
      </c>
      <c r="E1322" s="1"/>
      <c r="F1322" s="8" t="s">
        <v>66</v>
      </c>
    </row>
    <row r="1323" spans="1:6" x14ac:dyDescent="0.2">
      <c r="A1323" s="3">
        <v>1320</v>
      </c>
      <c r="B1323" s="3" t="s">
        <v>2152</v>
      </c>
      <c r="C1323" s="3" t="s">
        <v>2149</v>
      </c>
      <c r="D1323" s="3" t="s">
        <v>2149</v>
      </c>
      <c r="E1323" s="1"/>
      <c r="F1323" s="8" t="s">
        <v>66</v>
      </c>
    </row>
    <row r="1324" spans="1:6" x14ac:dyDescent="0.2">
      <c r="A1324" s="3">
        <v>1321</v>
      </c>
      <c r="B1324" s="3" t="s">
        <v>2153</v>
      </c>
      <c r="C1324" s="3" t="s">
        <v>2154</v>
      </c>
      <c r="D1324" s="3" t="s">
        <v>2154</v>
      </c>
      <c r="E1324" s="1"/>
      <c r="F1324" s="8" t="s">
        <v>66</v>
      </c>
    </row>
    <row r="1325" spans="1:6" x14ac:dyDescent="0.2">
      <c r="A1325" s="3">
        <v>1322</v>
      </c>
      <c r="B1325" s="3" t="s">
        <v>2155</v>
      </c>
      <c r="C1325" s="3" t="s">
        <v>2156</v>
      </c>
      <c r="D1325" s="3" t="s">
        <v>2156</v>
      </c>
      <c r="E1325" s="1"/>
      <c r="F1325" s="8" t="s">
        <v>66</v>
      </c>
    </row>
    <row r="1326" spans="1:6" x14ac:dyDescent="0.2">
      <c r="A1326" s="3">
        <v>1323</v>
      </c>
      <c r="B1326" s="3" t="s">
        <v>2157</v>
      </c>
      <c r="C1326" s="3" t="s">
        <v>2156</v>
      </c>
      <c r="D1326" s="3" t="s">
        <v>2156</v>
      </c>
      <c r="E1326" s="1"/>
      <c r="F1326" s="8" t="s">
        <v>66</v>
      </c>
    </row>
    <row r="1327" spans="1:6" x14ac:dyDescent="0.2">
      <c r="A1327" s="3">
        <v>1324</v>
      </c>
      <c r="B1327" s="3" t="s">
        <v>2158</v>
      </c>
      <c r="C1327" s="3" t="s">
        <v>2159</v>
      </c>
      <c r="D1327" s="3" t="s">
        <v>2159</v>
      </c>
      <c r="E1327" s="1"/>
      <c r="F1327" s="8" t="s">
        <v>66</v>
      </c>
    </row>
    <row r="1328" spans="1:6" x14ac:dyDescent="0.2">
      <c r="A1328" s="3">
        <v>1325</v>
      </c>
      <c r="B1328" s="3" t="s">
        <v>2160</v>
      </c>
      <c r="C1328" s="3" t="s">
        <v>2159</v>
      </c>
      <c r="D1328" s="3" t="s">
        <v>2159</v>
      </c>
      <c r="E1328" s="1"/>
      <c r="F1328" s="8" t="s">
        <v>66</v>
      </c>
    </row>
    <row r="1329" spans="1:6" x14ac:dyDescent="0.2">
      <c r="A1329" s="3">
        <v>1326</v>
      </c>
      <c r="B1329" s="3" t="s">
        <v>2161</v>
      </c>
      <c r="C1329" s="3" t="s">
        <v>2159</v>
      </c>
      <c r="D1329" s="3" t="s">
        <v>2159</v>
      </c>
      <c r="E1329" s="1"/>
      <c r="F1329" s="8" t="s">
        <v>66</v>
      </c>
    </row>
    <row r="1330" spans="1:6" x14ac:dyDescent="0.2">
      <c r="A1330" s="3">
        <v>1327</v>
      </c>
      <c r="B1330" s="3" t="s">
        <v>2162</v>
      </c>
      <c r="C1330" s="3" t="s">
        <v>2163</v>
      </c>
      <c r="D1330" s="3" t="s">
        <v>2163</v>
      </c>
      <c r="E1330" s="1"/>
      <c r="F1330" s="8" t="s">
        <v>66</v>
      </c>
    </row>
    <row r="1331" spans="1:6" x14ac:dyDescent="0.2">
      <c r="A1331" s="3">
        <v>1328</v>
      </c>
      <c r="B1331" s="3" t="s">
        <v>2164</v>
      </c>
      <c r="C1331" s="3" t="s">
        <v>2165</v>
      </c>
      <c r="D1331" s="3" t="s">
        <v>2165</v>
      </c>
      <c r="E1331" s="1"/>
      <c r="F1331" s="8" t="s">
        <v>66</v>
      </c>
    </row>
    <row r="1332" spans="1:6" x14ac:dyDescent="0.2">
      <c r="A1332" s="3">
        <v>1329</v>
      </c>
      <c r="B1332" s="3" t="s">
        <v>2166</v>
      </c>
      <c r="C1332" s="3" t="s">
        <v>2165</v>
      </c>
      <c r="D1332" s="3" t="s">
        <v>2165</v>
      </c>
      <c r="E1332" s="1"/>
      <c r="F1332" s="8" t="s">
        <v>66</v>
      </c>
    </row>
    <row r="1333" spans="1:6" x14ac:dyDescent="0.2">
      <c r="A1333" s="3">
        <v>1330</v>
      </c>
      <c r="B1333" s="3" t="s">
        <v>2167</v>
      </c>
      <c r="C1333" s="3" t="s">
        <v>2165</v>
      </c>
      <c r="D1333" s="3" t="s">
        <v>2165</v>
      </c>
      <c r="E1333" s="1"/>
      <c r="F1333" s="8" t="s">
        <v>66</v>
      </c>
    </row>
    <row r="1334" spans="1:6" x14ac:dyDescent="0.2">
      <c r="A1334" s="3">
        <v>1331</v>
      </c>
      <c r="B1334" s="3" t="s">
        <v>2168</v>
      </c>
      <c r="C1334" s="3" t="s">
        <v>2169</v>
      </c>
      <c r="D1334" s="3" t="s">
        <v>2169</v>
      </c>
      <c r="E1334" s="1"/>
      <c r="F1334" s="8" t="s">
        <v>66</v>
      </c>
    </row>
    <row r="1335" spans="1:6" x14ac:dyDescent="0.2">
      <c r="A1335" s="3">
        <v>1332</v>
      </c>
      <c r="B1335" s="3" t="s">
        <v>2170</v>
      </c>
      <c r="C1335" s="3" t="s">
        <v>2171</v>
      </c>
      <c r="D1335" s="3" t="s">
        <v>2171</v>
      </c>
      <c r="E1335" s="1"/>
      <c r="F1335" s="8" t="s">
        <v>66</v>
      </c>
    </row>
    <row r="1336" spans="1:6" x14ac:dyDescent="0.2">
      <c r="A1336" s="3">
        <v>1333</v>
      </c>
      <c r="B1336" s="3" t="s">
        <v>2172</v>
      </c>
      <c r="C1336" s="3" t="s">
        <v>2171</v>
      </c>
      <c r="D1336" s="3" t="s">
        <v>2171</v>
      </c>
      <c r="E1336" s="1"/>
      <c r="F1336" s="8" t="s">
        <v>66</v>
      </c>
    </row>
    <row r="1337" spans="1:6" x14ac:dyDescent="0.2">
      <c r="A1337" s="3">
        <v>1334</v>
      </c>
      <c r="B1337" s="3" t="s">
        <v>2173</v>
      </c>
      <c r="C1337" s="3" t="s">
        <v>2171</v>
      </c>
      <c r="D1337" s="3" t="s">
        <v>2171</v>
      </c>
      <c r="E1337" s="1"/>
      <c r="F1337" s="8" t="s">
        <v>66</v>
      </c>
    </row>
    <row r="1338" spans="1:6" x14ac:dyDescent="0.2">
      <c r="A1338" s="3">
        <v>1335</v>
      </c>
      <c r="B1338" s="3" t="s">
        <v>2174</v>
      </c>
      <c r="C1338" s="3" t="s">
        <v>2171</v>
      </c>
      <c r="D1338" s="3" t="s">
        <v>2171</v>
      </c>
      <c r="E1338" s="1"/>
      <c r="F1338" s="8" t="s">
        <v>66</v>
      </c>
    </row>
    <row r="1339" spans="1:6" x14ac:dyDescent="0.2">
      <c r="A1339" s="3">
        <v>1336</v>
      </c>
      <c r="B1339" s="3" t="s">
        <v>2175</v>
      </c>
      <c r="C1339" s="3" t="s">
        <v>2176</v>
      </c>
      <c r="D1339" s="3" t="s">
        <v>2176</v>
      </c>
      <c r="E1339" s="1"/>
      <c r="F1339" s="8" t="s">
        <v>66</v>
      </c>
    </row>
    <row r="1340" spans="1:6" x14ac:dyDescent="0.2">
      <c r="A1340" s="3">
        <v>1337</v>
      </c>
      <c r="B1340" s="3" t="s">
        <v>2177</v>
      </c>
      <c r="C1340" s="3" t="s">
        <v>2178</v>
      </c>
      <c r="D1340" s="3" t="s">
        <v>2178</v>
      </c>
      <c r="E1340" s="1"/>
      <c r="F1340" s="8" t="s">
        <v>66</v>
      </c>
    </row>
    <row r="1341" spans="1:6" x14ac:dyDescent="0.2">
      <c r="A1341" s="3">
        <v>1338</v>
      </c>
      <c r="B1341" s="3" t="s">
        <v>2179</v>
      </c>
      <c r="C1341" s="3" t="s">
        <v>2180</v>
      </c>
      <c r="D1341" s="3" t="s">
        <v>2180</v>
      </c>
      <c r="E1341" s="1"/>
      <c r="F1341" s="8" t="s">
        <v>66</v>
      </c>
    </row>
    <row r="1342" spans="1:6" x14ac:dyDescent="0.2">
      <c r="A1342" s="3">
        <v>1339</v>
      </c>
      <c r="B1342" s="3" t="s">
        <v>2181</v>
      </c>
      <c r="C1342" s="3" t="s">
        <v>2180</v>
      </c>
      <c r="D1342" s="3" t="s">
        <v>2180</v>
      </c>
      <c r="E1342" s="1"/>
      <c r="F1342" s="8" t="s">
        <v>66</v>
      </c>
    </row>
    <row r="1343" spans="1:6" x14ac:dyDescent="0.2">
      <c r="A1343" s="3">
        <v>1340</v>
      </c>
      <c r="B1343" s="3" t="s">
        <v>2182</v>
      </c>
      <c r="C1343" s="3" t="s">
        <v>2183</v>
      </c>
      <c r="D1343" s="3" t="s">
        <v>2183</v>
      </c>
      <c r="E1343" s="1"/>
      <c r="F1343" s="8" t="s">
        <v>66</v>
      </c>
    </row>
    <row r="1344" spans="1:6" x14ac:dyDescent="0.2">
      <c r="A1344" s="3">
        <v>1341</v>
      </c>
      <c r="B1344" s="3" t="s">
        <v>2184</v>
      </c>
      <c r="C1344" s="3" t="s">
        <v>2183</v>
      </c>
      <c r="D1344" s="3" t="s">
        <v>2183</v>
      </c>
      <c r="E1344" s="1"/>
      <c r="F1344" s="8" t="s">
        <v>66</v>
      </c>
    </row>
    <row r="1345" spans="1:8" x14ac:dyDescent="0.2">
      <c r="A1345" s="3">
        <v>1342</v>
      </c>
      <c r="B1345" s="3" t="s">
        <v>2185</v>
      </c>
      <c r="C1345" s="3" t="s">
        <v>2183</v>
      </c>
      <c r="D1345" s="3" t="s">
        <v>2183</v>
      </c>
      <c r="E1345" s="1"/>
      <c r="F1345" s="8" t="s">
        <v>66</v>
      </c>
    </row>
    <row r="1346" spans="1:8" x14ac:dyDescent="0.2">
      <c r="A1346" s="3">
        <v>1343</v>
      </c>
      <c r="B1346" s="3" t="s">
        <v>2186</v>
      </c>
      <c r="C1346" s="3" t="s">
        <v>2183</v>
      </c>
      <c r="D1346" s="3" t="s">
        <v>2183</v>
      </c>
      <c r="E1346" s="1"/>
      <c r="F1346" s="8" t="s">
        <v>66</v>
      </c>
    </row>
    <row r="1347" spans="1:8" x14ac:dyDescent="0.2">
      <c r="A1347" s="3">
        <v>1344</v>
      </c>
      <c r="B1347" s="3" t="s">
        <v>2187</v>
      </c>
      <c r="C1347" s="3" t="s">
        <v>2183</v>
      </c>
      <c r="D1347" s="3" t="s">
        <v>2183</v>
      </c>
      <c r="E1347" s="1"/>
      <c r="F1347" s="8" t="s">
        <v>66</v>
      </c>
    </row>
    <row r="1348" spans="1:8" x14ac:dyDescent="0.2">
      <c r="A1348" s="3">
        <v>1345</v>
      </c>
      <c r="B1348" s="3" t="s">
        <v>2188</v>
      </c>
      <c r="C1348" s="3" t="s">
        <v>2189</v>
      </c>
      <c r="D1348" s="3" t="s">
        <v>2189</v>
      </c>
      <c r="E1348" s="1"/>
      <c r="F1348" s="8" t="s">
        <v>66</v>
      </c>
    </row>
    <row r="1349" spans="1:8" x14ac:dyDescent="0.2">
      <c r="A1349" s="3">
        <v>1346</v>
      </c>
      <c r="B1349" s="3" t="s">
        <v>2190</v>
      </c>
      <c r="C1349" s="3" t="s">
        <v>2191</v>
      </c>
      <c r="D1349" s="3" t="s">
        <v>2191</v>
      </c>
      <c r="E1349" s="1"/>
      <c r="F1349" s="8" t="s">
        <v>66</v>
      </c>
    </row>
    <row r="1350" spans="1:8" x14ac:dyDescent="0.15">
      <c r="A1350" s="3">
        <v>1347</v>
      </c>
      <c r="B1350" s="3" t="s">
        <v>2192</v>
      </c>
      <c r="C1350" s="3" t="s">
        <v>2193</v>
      </c>
      <c r="D1350" s="3" t="s">
        <v>2193</v>
      </c>
      <c r="E1350" s="1"/>
      <c r="F1350" s="8" t="s">
        <v>66</v>
      </c>
      <c r="H1350" s="89"/>
    </row>
    <row r="1351" spans="1:8" x14ac:dyDescent="0.15">
      <c r="A1351" s="3">
        <v>1348</v>
      </c>
      <c r="B1351" s="3" t="s">
        <v>2194</v>
      </c>
      <c r="C1351" s="3" t="s">
        <v>2195</v>
      </c>
      <c r="D1351" s="3" t="s">
        <v>2195</v>
      </c>
      <c r="E1351" s="1"/>
      <c r="F1351" s="8" t="s">
        <v>66</v>
      </c>
      <c r="H1351" s="89"/>
    </row>
    <row r="1352" spans="1:8" x14ac:dyDescent="0.2">
      <c r="A1352" s="3">
        <v>1349</v>
      </c>
      <c r="B1352" s="3" t="s">
        <v>2196</v>
      </c>
      <c r="C1352" s="3" t="s">
        <v>2197</v>
      </c>
      <c r="D1352" s="3" t="s">
        <v>2197</v>
      </c>
      <c r="E1352" s="1"/>
      <c r="F1352" s="8" t="s">
        <v>66</v>
      </c>
      <c r="H1352" s="34"/>
    </row>
    <row r="1353" spans="1:8" x14ac:dyDescent="0.2">
      <c r="A1353" s="3">
        <v>1350</v>
      </c>
      <c r="B1353" s="3" t="s">
        <v>2198</v>
      </c>
      <c r="C1353" s="3" t="s">
        <v>2197</v>
      </c>
      <c r="D1353" s="3" t="s">
        <v>2197</v>
      </c>
      <c r="E1353" s="1"/>
      <c r="F1353" s="8" t="s">
        <v>66</v>
      </c>
      <c r="H1353" s="34"/>
    </row>
    <row r="1354" spans="1:8" x14ac:dyDescent="0.2">
      <c r="A1354" s="3">
        <v>1351</v>
      </c>
      <c r="B1354" s="3" t="s">
        <v>2199</v>
      </c>
      <c r="C1354" s="3" t="s">
        <v>2197</v>
      </c>
      <c r="D1354" s="3" t="s">
        <v>2197</v>
      </c>
      <c r="E1354" s="1"/>
      <c r="F1354" s="8" t="s">
        <v>66</v>
      </c>
    </row>
    <row r="1355" spans="1:8" x14ac:dyDescent="0.2">
      <c r="A1355" s="3">
        <v>1352</v>
      </c>
      <c r="B1355" s="3" t="s">
        <v>2200</v>
      </c>
      <c r="C1355" s="3" t="s">
        <v>2197</v>
      </c>
      <c r="D1355" s="3" t="s">
        <v>2197</v>
      </c>
      <c r="E1355" s="1"/>
      <c r="F1355" s="8" t="s">
        <v>66</v>
      </c>
    </row>
    <row r="1356" spans="1:8" x14ac:dyDescent="0.2">
      <c r="A1356" s="3">
        <v>1353</v>
      </c>
      <c r="B1356" s="3" t="s">
        <v>2201</v>
      </c>
      <c r="C1356" s="3" t="s">
        <v>2202</v>
      </c>
      <c r="D1356" s="3" t="s">
        <v>2202</v>
      </c>
      <c r="E1356" s="1"/>
      <c r="F1356" s="8" t="s">
        <v>66</v>
      </c>
    </row>
    <row r="1357" spans="1:8" x14ac:dyDescent="0.2">
      <c r="A1357" s="3">
        <v>1354</v>
      </c>
      <c r="B1357" s="3" t="s">
        <v>2203</v>
      </c>
      <c r="C1357" s="3" t="s">
        <v>2202</v>
      </c>
      <c r="D1357" s="3" t="s">
        <v>2202</v>
      </c>
      <c r="E1357" s="1"/>
      <c r="F1357" s="8" t="s">
        <v>66</v>
      </c>
    </row>
    <row r="1358" spans="1:8" x14ac:dyDescent="0.2">
      <c r="A1358" s="3">
        <v>1355</v>
      </c>
      <c r="B1358" s="3" t="s">
        <v>2204</v>
      </c>
      <c r="C1358" s="3" t="s">
        <v>2205</v>
      </c>
      <c r="D1358" s="3" t="s">
        <v>2205</v>
      </c>
      <c r="E1358" s="1"/>
      <c r="F1358" s="8" t="s">
        <v>66</v>
      </c>
    </row>
    <row r="1359" spans="1:8" x14ac:dyDescent="0.2">
      <c r="A1359" s="3">
        <v>1356</v>
      </c>
      <c r="B1359" s="3" t="s">
        <v>2206</v>
      </c>
      <c r="C1359" s="3" t="s">
        <v>2205</v>
      </c>
      <c r="D1359" s="3" t="s">
        <v>2205</v>
      </c>
      <c r="E1359" s="1"/>
      <c r="F1359" s="8" t="s">
        <v>66</v>
      </c>
    </row>
    <row r="1360" spans="1:8" x14ac:dyDescent="0.2">
      <c r="A1360" s="3">
        <v>1357</v>
      </c>
      <c r="B1360" s="3" t="s">
        <v>2207</v>
      </c>
      <c r="C1360" s="3" t="s">
        <v>2208</v>
      </c>
      <c r="D1360" s="3" t="s">
        <v>2208</v>
      </c>
      <c r="E1360" s="1"/>
      <c r="F1360" s="8" t="s">
        <v>66</v>
      </c>
    </row>
    <row r="1361" spans="1:8" x14ac:dyDescent="0.2">
      <c r="A1361" s="3">
        <v>1358</v>
      </c>
      <c r="B1361" s="3" t="s">
        <v>2209</v>
      </c>
      <c r="C1361" s="3" t="s">
        <v>2210</v>
      </c>
      <c r="D1361" s="3" t="s">
        <v>2210</v>
      </c>
      <c r="E1361" s="1"/>
      <c r="F1361" s="8" t="s">
        <v>66</v>
      </c>
    </row>
    <row r="1362" spans="1:8" x14ac:dyDescent="0.2">
      <c r="A1362" s="3">
        <v>1359</v>
      </c>
      <c r="B1362" s="3" t="s">
        <v>2211</v>
      </c>
      <c r="C1362" s="3" t="s">
        <v>2210</v>
      </c>
      <c r="D1362" s="3" t="s">
        <v>2210</v>
      </c>
      <c r="E1362" s="1"/>
      <c r="F1362" s="8" t="s">
        <v>66</v>
      </c>
      <c r="H1362" s="35"/>
    </row>
    <row r="1363" spans="1:8" x14ac:dyDescent="0.2">
      <c r="A1363" s="3">
        <v>1360</v>
      </c>
      <c r="B1363" s="3" t="s">
        <v>2212</v>
      </c>
      <c r="C1363" s="3" t="s">
        <v>2213</v>
      </c>
      <c r="D1363" s="3" t="s">
        <v>2213</v>
      </c>
      <c r="E1363" s="1"/>
      <c r="F1363" s="8" t="s">
        <v>66</v>
      </c>
    </row>
    <row r="1364" spans="1:8" x14ac:dyDescent="0.2">
      <c r="A1364" s="3">
        <v>1361</v>
      </c>
      <c r="B1364" s="3" t="s">
        <v>2214</v>
      </c>
      <c r="C1364" s="3" t="s">
        <v>2213</v>
      </c>
      <c r="D1364" s="3" t="s">
        <v>2213</v>
      </c>
      <c r="E1364" s="1"/>
      <c r="F1364" s="8" t="s">
        <v>66</v>
      </c>
    </row>
    <row r="1365" spans="1:8" x14ac:dyDescent="0.2">
      <c r="A1365" s="3">
        <v>1362</v>
      </c>
      <c r="B1365" s="3" t="s">
        <v>2215</v>
      </c>
      <c r="C1365" s="3" t="s">
        <v>2213</v>
      </c>
      <c r="D1365" s="3" t="s">
        <v>2213</v>
      </c>
      <c r="E1365" s="1"/>
      <c r="F1365" s="8" t="s">
        <v>66</v>
      </c>
    </row>
    <row r="1366" spans="1:8" x14ac:dyDescent="0.2">
      <c r="A1366" s="3">
        <v>1363</v>
      </c>
      <c r="B1366" s="3" t="s">
        <v>2216</v>
      </c>
      <c r="C1366" s="3" t="s">
        <v>2213</v>
      </c>
      <c r="D1366" s="3" t="s">
        <v>2213</v>
      </c>
      <c r="E1366" s="1"/>
      <c r="F1366" s="8" t="s">
        <v>66</v>
      </c>
    </row>
    <row r="1367" spans="1:8" x14ac:dyDescent="0.2">
      <c r="A1367" s="3">
        <v>1364</v>
      </c>
      <c r="B1367" s="3" t="s">
        <v>2217</v>
      </c>
      <c r="C1367" s="3" t="s">
        <v>2213</v>
      </c>
      <c r="D1367" s="3" t="s">
        <v>2213</v>
      </c>
      <c r="E1367" s="1"/>
      <c r="F1367" s="8" t="s">
        <v>66</v>
      </c>
    </row>
    <row r="1368" spans="1:8" x14ac:dyDescent="0.2">
      <c r="A1368" s="3">
        <v>1365</v>
      </c>
      <c r="B1368" s="3" t="s">
        <v>2218</v>
      </c>
      <c r="C1368" s="3" t="s">
        <v>2219</v>
      </c>
      <c r="D1368" s="3" t="s">
        <v>2219</v>
      </c>
      <c r="E1368" s="1"/>
      <c r="F1368" s="8" t="s">
        <v>66</v>
      </c>
    </row>
    <row r="1369" spans="1:8" x14ac:dyDescent="0.2">
      <c r="A1369" s="3">
        <v>1366</v>
      </c>
      <c r="B1369" s="3" t="s">
        <v>2220</v>
      </c>
      <c r="C1369" s="3" t="s">
        <v>2221</v>
      </c>
      <c r="D1369" s="3" t="s">
        <v>2221</v>
      </c>
      <c r="E1369" s="1"/>
      <c r="F1369" s="8" t="s">
        <v>66</v>
      </c>
    </row>
    <row r="1370" spans="1:8" x14ac:dyDescent="0.2">
      <c r="A1370" s="3">
        <v>1367</v>
      </c>
      <c r="B1370" s="3" t="s">
        <v>2222</v>
      </c>
      <c r="C1370" s="3" t="s">
        <v>2221</v>
      </c>
      <c r="D1370" s="3" t="s">
        <v>2221</v>
      </c>
      <c r="E1370" s="1"/>
      <c r="F1370" s="8" t="s">
        <v>66</v>
      </c>
    </row>
    <row r="1371" spans="1:8" x14ac:dyDescent="0.2">
      <c r="A1371" s="3">
        <v>1368</v>
      </c>
      <c r="B1371" s="3" t="s">
        <v>2223</v>
      </c>
      <c r="C1371" s="3" t="s">
        <v>2224</v>
      </c>
      <c r="D1371" s="3" t="s">
        <v>2224</v>
      </c>
      <c r="E1371" s="1"/>
      <c r="F1371" s="8" t="s">
        <v>66</v>
      </c>
    </row>
    <row r="1372" spans="1:8" x14ac:dyDescent="0.2">
      <c r="A1372" s="3">
        <v>1369</v>
      </c>
      <c r="B1372" s="3" t="s">
        <v>2225</v>
      </c>
      <c r="C1372" s="3" t="s">
        <v>2226</v>
      </c>
      <c r="D1372" s="3" t="s">
        <v>2226</v>
      </c>
      <c r="E1372" s="1"/>
      <c r="F1372" s="8" t="s">
        <v>66</v>
      </c>
    </row>
    <row r="1373" spans="1:8" x14ac:dyDescent="0.2">
      <c r="A1373" s="3">
        <v>1370</v>
      </c>
      <c r="B1373" s="3" t="s">
        <v>2227</v>
      </c>
      <c r="C1373" s="3" t="s">
        <v>2228</v>
      </c>
      <c r="D1373" s="3" t="s">
        <v>2228</v>
      </c>
      <c r="E1373" s="1"/>
      <c r="F1373" s="8" t="s">
        <v>66</v>
      </c>
    </row>
    <row r="1374" spans="1:8" x14ac:dyDescent="0.2">
      <c r="A1374" s="3">
        <v>1371</v>
      </c>
      <c r="B1374" s="3" t="s">
        <v>2229</v>
      </c>
      <c r="C1374" s="3" t="s">
        <v>2228</v>
      </c>
      <c r="D1374" s="3" t="s">
        <v>2228</v>
      </c>
      <c r="E1374" s="1"/>
      <c r="F1374" s="8" t="s">
        <v>66</v>
      </c>
    </row>
    <row r="1375" spans="1:8" x14ac:dyDescent="0.2">
      <c r="A1375" s="3">
        <v>1372</v>
      </c>
      <c r="B1375" s="3" t="s">
        <v>2230</v>
      </c>
      <c r="C1375" s="3" t="s">
        <v>2231</v>
      </c>
      <c r="D1375" s="3" t="s">
        <v>2231</v>
      </c>
      <c r="E1375" s="1"/>
      <c r="F1375" s="8" t="s">
        <v>66</v>
      </c>
    </row>
    <row r="1376" spans="1:8" x14ac:dyDescent="0.2">
      <c r="A1376" s="3">
        <v>1373</v>
      </c>
      <c r="B1376" s="3" t="s">
        <v>2232</v>
      </c>
      <c r="C1376" s="3" t="s">
        <v>2233</v>
      </c>
      <c r="D1376" s="3" t="s">
        <v>2233</v>
      </c>
      <c r="E1376" s="1"/>
      <c r="F1376" s="8" t="s">
        <v>66</v>
      </c>
    </row>
    <row r="1377" spans="1:6" x14ac:dyDescent="0.2">
      <c r="A1377" s="3">
        <v>1374</v>
      </c>
      <c r="B1377" s="3" t="s">
        <v>2234</v>
      </c>
      <c r="C1377" s="3" t="s">
        <v>2235</v>
      </c>
      <c r="D1377" s="3" t="s">
        <v>2235</v>
      </c>
      <c r="E1377" s="1"/>
      <c r="F1377" s="8" t="s">
        <v>66</v>
      </c>
    </row>
    <row r="1378" spans="1:6" x14ac:dyDescent="0.2">
      <c r="A1378" s="3">
        <v>1375</v>
      </c>
      <c r="B1378" s="3" t="s">
        <v>2236</v>
      </c>
      <c r="C1378" s="3" t="s">
        <v>2235</v>
      </c>
      <c r="D1378" s="3" t="s">
        <v>2235</v>
      </c>
      <c r="E1378" s="1"/>
      <c r="F1378" s="8" t="s">
        <v>66</v>
      </c>
    </row>
    <row r="1379" spans="1:6" x14ac:dyDescent="0.2">
      <c r="A1379" s="3">
        <v>1376</v>
      </c>
      <c r="B1379" s="3" t="s">
        <v>2237</v>
      </c>
      <c r="C1379" s="3" t="s">
        <v>2235</v>
      </c>
      <c r="D1379" s="3" t="s">
        <v>2235</v>
      </c>
      <c r="E1379" s="1"/>
      <c r="F1379" s="8" t="s">
        <v>66</v>
      </c>
    </row>
    <row r="1380" spans="1:6" x14ac:dyDescent="0.2">
      <c r="A1380" s="3">
        <v>1377</v>
      </c>
      <c r="B1380" s="3" t="s">
        <v>2238</v>
      </c>
      <c r="C1380" s="3" t="s">
        <v>2239</v>
      </c>
      <c r="D1380" s="3" t="s">
        <v>2239</v>
      </c>
      <c r="E1380" s="1"/>
      <c r="F1380" s="8" t="s">
        <v>66</v>
      </c>
    </row>
    <row r="1381" spans="1:6" x14ac:dyDescent="0.2">
      <c r="A1381" s="3">
        <v>1378</v>
      </c>
      <c r="B1381" s="3" t="s">
        <v>2240</v>
      </c>
      <c r="C1381" s="3" t="s">
        <v>2239</v>
      </c>
      <c r="D1381" s="3" t="s">
        <v>2239</v>
      </c>
      <c r="E1381" s="1"/>
      <c r="F1381" s="8" t="s">
        <v>66</v>
      </c>
    </row>
    <row r="1382" spans="1:6" x14ac:dyDescent="0.2">
      <c r="A1382" s="3">
        <v>1379</v>
      </c>
      <c r="B1382" s="3" t="s">
        <v>2241</v>
      </c>
      <c r="C1382" s="3" t="s">
        <v>2239</v>
      </c>
      <c r="D1382" s="3" t="s">
        <v>2239</v>
      </c>
      <c r="E1382" s="1"/>
      <c r="F1382" s="8" t="s">
        <v>66</v>
      </c>
    </row>
    <row r="1383" spans="1:6" x14ac:dyDescent="0.2">
      <c r="A1383" s="3">
        <v>1380</v>
      </c>
      <c r="B1383" s="3" t="s">
        <v>2242</v>
      </c>
      <c r="C1383" s="3" t="s">
        <v>2239</v>
      </c>
      <c r="D1383" s="3" t="s">
        <v>2239</v>
      </c>
      <c r="E1383" s="1"/>
      <c r="F1383" s="8" t="s">
        <v>66</v>
      </c>
    </row>
    <row r="1384" spans="1:6" x14ac:dyDescent="0.2">
      <c r="A1384" s="3">
        <v>1381</v>
      </c>
      <c r="B1384" s="3" t="s">
        <v>2243</v>
      </c>
      <c r="C1384" s="3" t="s">
        <v>2239</v>
      </c>
      <c r="D1384" s="3" t="s">
        <v>2239</v>
      </c>
      <c r="E1384" s="1"/>
      <c r="F1384" s="8" t="s">
        <v>66</v>
      </c>
    </row>
    <row r="1385" spans="1:6" x14ac:dyDescent="0.2">
      <c r="A1385" s="3">
        <v>1382</v>
      </c>
      <c r="B1385" s="3" t="s">
        <v>2244</v>
      </c>
      <c r="C1385" s="3" t="s">
        <v>2245</v>
      </c>
      <c r="D1385" s="3" t="s">
        <v>2245</v>
      </c>
      <c r="E1385" s="1"/>
      <c r="F1385" s="8" t="s">
        <v>66</v>
      </c>
    </row>
    <row r="1386" spans="1:6" x14ac:dyDescent="0.2">
      <c r="A1386" s="3">
        <v>1383</v>
      </c>
      <c r="B1386" s="3" t="s">
        <v>2246</v>
      </c>
      <c r="C1386" s="3" t="s">
        <v>2247</v>
      </c>
      <c r="D1386" s="3" t="s">
        <v>2247</v>
      </c>
      <c r="E1386" s="1"/>
      <c r="F1386" s="8" t="s">
        <v>66</v>
      </c>
    </row>
    <row r="1387" spans="1:6" x14ac:dyDescent="0.2">
      <c r="A1387" s="3">
        <v>1384</v>
      </c>
      <c r="B1387" s="3" t="s">
        <v>2248</v>
      </c>
      <c r="C1387" s="3" t="s">
        <v>2249</v>
      </c>
      <c r="D1387" s="3" t="s">
        <v>2249</v>
      </c>
      <c r="E1387" s="1"/>
      <c r="F1387" s="8" t="s">
        <v>66</v>
      </c>
    </row>
    <row r="1388" spans="1:6" x14ac:dyDescent="0.2">
      <c r="A1388" s="3">
        <v>1385</v>
      </c>
      <c r="B1388" s="3" t="s">
        <v>2250</v>
      </c>
      <c r="C1388" s="3" t="s">
        <v>2249</v>
      </c>
      <c r="D1388" s="3" t="s">
        <v>2249</v>
      </c>
      <c r="E1388" s="1"/>
      <c r="F1388" s="8" t="s">
        <v>66</v>
      </c>
    </row>
    <row r="1389" spans="1:6" x14ac:dyDescent="0.2">
      <c r="A1389" s="3">
        <v>1386</v>
      </c>
      <c r="B1389" s="3" t="s">
        <v>2251</v>
      </c>
      <c r="C1389" s="3" t="s">
        <v>2249</v>
      </c>
      <c r="D1389" s="3" t="s">
        <v>2249</v>
      </c>
      <c r="E1389" s="1"/>
      <c r="F1389" s="8" t="s">
        <v>66</v>
      </c>
    </row>
    <row r="1390" spans="1:6" x14ac:dyDescent="0.2">
      <c r="A1390" s="3">
        <v>1387</v>
      </c>
      <c r="B1390" s="3" t="s">
        <v>2252</v>
      </c>
      <c r="C1390" s="3" t="s">
        <v>2253</v>
      </c>
      <c r="D1390" s="3" t="s">
        <v>2253</v>
      </c>
      <c r="E1390" s="1"/>
      <c r="F1390" s="8" t="s">
        <v>66</v>
      </c>
    </row>
    <row r="1391" spans="1:6" x14ac:dyDescent="0.2">
      <c r="A1391" s="3">
        <v>1388</v>
      </c>
      <c r="B1391" s="3" t="s">
        <v>2254</v>
      </c>
      <c r="C1391" s="3" t="s">
        <v>2255</v>
      </c>
      <c r="D1391" s="3" t="s">
        <v>2255</v>
      </c>
      <c r="E1391" s="1"/>
      <c r="F1391" s="8" t="s">
        <v>66</v>
      </c>
    </row>
    <row r="1392" spans="1:6" x14ac:dyDescent="0.2">
      <c r="A1392" s="3">
        <v>1389</v>
      </c>
      <c r="B1392" s="33" t="s">
        <v>2256</v>
      </c>
      <c r="C1392" s="3" t="s">
        <v>2257</v>
      </c>
      <c r="D1392" s="3" t="s">
        <v>2257</v>
      </c>
      <c r="E1392" s="1"/>
      <c r="F1392" s="8"/>
    </row>
    <row r="1393" spans="1:6" x14ac:dyDescent="0.2">
      <c r="A1393" s="3">
        <v>1390</v>
      </c>
      <c r="B1393" s="3" t="s">
        <v>2258</v>
      </c>
      <c r="C1393" s="3" t="s">
        <v>2259</v>
      </c>
      <c r="D1393" s="3" t="s">
        <v>2259</v>
      </c>
      <c r="E1393" s="1"/>
      <c r="F1393" s="8" t="s">
        <v>66</v>
      </c>
    </row>
    <row r="1394" spans="1:6" x14ac:dyDescent="0.2">
      <c r="A1394" s="3">
        <v>1391</v>
      </c>
      <c r="B1394" s="3" t="s">
        <v>2260</v>
      </c>
      <c r="C1394" s="3" t="s">
        <v>2261</v>
      </c>
      <c r="D1394" s="3" t="s">
        <v>2261</v>
      </c>
      <c r="E1394" s="1"/>
      <c r="F1394" s="8" t="s">
        <v>66</v>
      </c>
    </row>
    <row r="1395" spans="1:6" x14ac:dyDescent="0.15">
      <c r="A1395" s="3">
        <v>1392</v>
      </c>
      <c r="B1395" s="88" t="s">
        <v>2262</v>
      </c>
      <c r="C1395" s="3" t="s">
        <v>2263</v>
      </c>
      <c r="D1395" s="3" t="s">
        <v>2263</v>
      </c>
      <c r="E1395" s="1"/>
      <c r="F1395" s="8" t="s">
        <v>66</v>
      </c>
    </row>
    <row r="1396" spans="1:6" x14ac:dyDescent="0.2">
      <c r="A1396" s="3">
        <v>1393</v>
      </c>
      <c r="B1396" s="3" t="s">
        <v>2264</v>
      </c>
      <c r="C1396" s="3" t="s">
        <v>2265</v>
      </c>
      <c r="D1396" s="3" t="s">
        <v>2265</v>
      </c>
      <c r="E1396" s="1"/>
      <c r="F1396" s="8" t="s">
        <v>66</v>
      </c>
    </row>
    <row r="1397" spans="1:6" x14ac:dyDescent="0.2">
      <c r="A1397" s="3">
        <v>1394</v>
      </c>
      <c r="B1397" s="3" t="s">
        <v>2266</v>
      </c>
      <c r="C1397" s="3" t="s">
        <v>2267</v>
      </c>
      <c r="D1397" s="3" t="s">
        <v>2267</v>
      </c>
      <c r="E1397" s="1"/>
      <c r="F1397" s="8" t="s">
        <v>66</v>
      </c>
    </row>
    <row r="1398" spans="1:6" x14ac:dyDescent="0.2">
      <c r="A1398" s="3">
        <v>1395</v>
      </c>
      <c r="B1398" s="3" t="s">
        <v>2268</v>
      </c>
      <c r="C1398" s="3" t="s">
        <v>2265</v>
      </c>
      <c r="D1398" s="3" t="s">
        <v>2265</v>
      </c>
      <c r="E1398" s="1"/>
      <c r="F1398" s="8" t="s">
        <v>66</v>
      </c>
    </row>
    <row r="1399" spans="1:6" x14ac:dyDescent="0.2">
      <c r="A1399" s="3">
        <v>1396</v>
      </c>
      <c r="B1399" s="3" t="s">
        <v>2269</v>
      </c>
      <c r="C1399" s="3" t="s">
        <v>2265</v>
      </c>
      <c r="D1399" s="3" t="s">
        <v>2265</v>
      </c>
      <c r="E1399" s="1"/>
      <c r="F1399" s="8" t="s">
        <v>66</v>
      </c>
    </row>
    <row r="1400" spans="1:6" x14ac:dyDescent="0.2">
      <c r="A1400" s="3">
        <v>1397</v>
      </c>
      <c r="B1400" s="3" t="s">
        <v>2270</v>
      </c>
      <c r="C1400" s="3" t="s">
        <v>2265</v>
      </c>
      <c r="D1400" s="3" t="s">
        <v>2265</v>
      </c>
      <c r="E1400" s="1"/>
      <c r="F1400" s="8" t="s">
        <v>66</v>
      </c>
    </row>
    <row r="1401" spans="1:6" x14ac:dyDescent="0.2">
      <c r="A1401" s="3">
        <v>1398</v>
      </c>
      <c r="B1401" s="3" t="s">
        <v>2271</v>
      </c>
      <c r="C1401" s="3" t="s">
        <v>2272</v>
      </c>
      <c r="D1401" s="3" t="s">
        <v>2272</v>
      </c>
      <c r="E1401" s="1"/>
      <c r="F1401" s="8" t="s">
        <v>66</v>
      </c>
    </row>
    <row r="1402" spans="1:6" x14ac:dyDescent="0.2">
      <c r="A1402" s="3">
        <v>1399</v>
      </c>
      <c r="B1402" s="3" t="s">
        <v>2273</v>
      </c>
      <c r="C1402" s="3" t="s">
        <v>2272</v>
      </c>
      <c r="D1402" s="3" t="s">
        <v>2272</v>
      </c>
      <c r="E1402" s="1"/>
      <c r="F1402" s="8" t="s">
        <v>66</v>
      </c>
    </row>
    <row r="1403" spans="1:6" x14ac:dyDescent="0.2">
      <c r="A1403" s="3">
        <v>1400</v>
      </c>
      <c r="B1403" s="3" t="s">
        <v>2274</v>
      </c>
      <c r="C1403" s="3" t="s">
        <v>2272</v>
      </c>
      <c r="D1403" s="3" t="s">
        <v>2272</v>
      </c>
      <c r="E1403" s="1"/>
      <c r="F1403" s="8" t="s">
        <v>66</v>
      </c>
    </row>
    <row r="1404" spans="1:6" x14ac:dyDescent="0.2">
      <c r="A1404" s="3">
        <v>1401</v>
      </c>
      <c r="B1404" s="3" t="s">
        <v>2275</v>
      </c>
      <c r="C1404" s="3" t="s">
        <v>2276</v>
      </c>
      <c r="D1404" s="3" t="s">
        <v>2276</v>
      </c>
      <c r="E1404" s="1"/>
      <c r="F1404" s="8" t="s">
        <v>66</v>
      </c>
    </row>
    <row r="1405" spans="1:6" x14ac:dyDescent="0.2">
      <c r="A1405" s="3">
        <v>1402</v>
      </c>
      <c r="B1405" s="3" t="s">
        <v>2277</v>
      </c>
      <c r="C1405" s="3" t="s">
        <v>2278</v>
      </c>
      <c r="D1405" s="3" t="s">
        <v>2278</v>
      </c>
      <c r="E1405" s="1"/>
      <c r="F1405" s="8" t="s">
        <v>66</v>
      </c>
    </row>
    <row r="1406" spans="1:6" x14ac:dyDescent="0.2">
      <c r="A1406" s="3">
        <v>1403</v>
      </c>
      <c r="B1406" s="3" t="s">
        <v>2279</v>
      </c>
      <c r="C1406" s="3" t="s">
        <v>2280</v>
      </c>
      <c r="D1406" s="3" t="s">
        <v>2280</v>
      </c>
      <c r="E1406" s="1"/>
      <c r="F1406" s="8" t="s">
        <v>66</v>
      </c>
    </row>
    <row r="1407" spans="1:6" x14ac:dyDescent="0.2">
      <c r="A1407" s="3">
        <v>1404</v>
      </c>
      <c r="B1407" s="3" t="s">
        <v>2281</v>
      </c>
      <c r="C1407" s="3" t="s">
        <v>2282</v>
      </c>
      <c r="D1407" s="3" t="s">
        <v>2282</v>
      </c>
      <c r="E1407" s="1"/>
      <c r="F1407" s="8" t="s">
        <v>66</v>
      </c>
    </row>
    <row r="1408" spans="1:6" x14ac:dyDescent="0.2">
      <c r="A1408" s="3">
        <v>1405</v>
      </c>
      <c r="B1408" s="3" t="s">
        <v>2283</v>
      </c>
      <c r="C1408" s="3" t="s">
        <v>2284</v>
      </c>
      <c r="D1408" s="3" t="s">
        <v>2284</v>
      </c>
      <c r="E1408" s="1"/>
      <c r="F1408" s="8" t="s">
        <v>66</v>
      </c>
    </row>
    <row r="1409" spans="1:6" x14ac:dyDescent="0.2">
      <c r="A1409" s="3">
        <v>1406</v>
      </c>
      <c r="B1409" s="3" t="s">
        <v>2285</v>
      </c>
      <c r="C1409" s="3" t="s">
        <v>2286</v>
      </c>
      <c r="D1409" s="3" t="s">
        <v>2286</v>
      </c>
      <c r="E1409" s="1"/>
      <c r="F1409" s="8" t="s">
        <v>66</v>
      </c>
    </row>
    <row r="1410" spans="1:6" x14ac:dyDescent="0.2">
      <c r="A1410" s="3">
        <v>1407</v>
      </c>
      <c r="B1410" s="3" t="s">
        <v>2287</v>
      </c>
      <c r="C1410" s="3" t="s">
        <v>2286</v>
      </c>
      <c r="D1410" s="3" t="s">
        <v>2286</v>
      </c>
      <c r="E1410" s="1"/>
      <c r="F1410" s="8" t="s">
        <v>66</v>
      </c>
    </row>
    <row r="1411" spans="1:6" x14ac:dyDescent="0.2">
      <c r="A1411" s="3">
        <v>1408</v>
      </c>
      <c r="B1411" s="3" t="s">
        <v>2288</v>
      </c>
      <c r="C1411" s="3" t="s">
        <v>2286</v>
      </c>
      <c r="D1411" s="3" t="s">
        <v>2286</v>
      </c>
      <c r="E1411" s="1"/>
      <c r="F1411" s="8" t="s">
        <v>66</v>
      </c>
    </row>
    <row r="1412" spans="1:6" x14ac:dyDescent="0.2">
      <c r="A1412" s="3">
        <v>1409</v>
      </c>
      <c r="B1412" s="3" t="s">
        <v>2289</v>
      </c>
      <c r="C1412" s="3" t="s">
        <v>2286</v>
      </c>
      <c r="D1412" s="3" t="s">
        <v>2286</v>
      </c>
      <c r="E1412" s="1"/>
      <c r="F1412" s="8" t="s">
        <v>66</v>
      </c>
    </row>
    <row r="1413" spans="1:6" x14ac:dyDescent="0.2">
      <c r="A1413" s="3">
        <v>1410</v>
      </c>
      <c r="B1413" s="3" t="s">
        <v>2290</v>
      </c>
      <c r="C1413" s="3" t="s">
        <v>2286</v>
      </c>
      <c r="D1413" s="3" t="s">
        <v>2286</v>
      </c>
      <c r="E1413" s="1"/>
      <c r="F1413" s="8" t="s">
        <v>66</v>
      </c>
    </row>
    <row r="1414" spans="1:6" x14ac:dyDescent="0.2">
      <c r="A1414" s="3">
        <v>1411</v>
      </c>
      <c r="B1414" s="3" t="s">
        <v>2291</v>
      </c>
      <c r="C1414" s="3" t="s">
        <v>2292</v>
      </c>
      <c r="D1414" s="3" t="s">
        <v>2292</v>
      </c>
      <c r="E1414" s="1"/>
      <c r="F1414" s="8" t="s">
        <v>66</v>
      </c>
    </row>
    <row r="1415" spans="1:6" x14ac:dyDescent="0.2">
      <c r="A1415" s="3">
        <v>1412</v>
      </c>
      <c r="B1415" s="3" t="s">
        <v>2293</v>
      </c>
      <c r="C1415" s="3" t="s">
        <v>2294</v>
      </c>
      <c r="D1415" s="3" t="s">
        <v>2294</v>
      </c>
      <c r="E1415" s="1"/>
      <c r="F1415" s="8" t="s">
        <v>66</v>
      </c>
    </row>
    <row r="1416" spans="1:6" x14ac:dyDescent="0.2">
      <c r="A1416" s="3">
        <v>1413</v>
      </c>
      <c r="B1416" s="3" t="s">
        <v>2295</v>
      </c>
      <c r="C1416" s="3" t="s">
        <v>2294</v>
      </c>
      <c r="D1416" s="3" t="s">
        <v>2294</v>
      </c>
      <c r="E1416" s="1"/>
      <c r="F1416" s="8" t="s">
        <v>66</v>
      </c>
    </row>
    <row r="1417" spans="1:6" x14ac:dyDescent="0.2">
      <c r="A1417" s="3">
        <v>1414</v>
      </c>
      <c r="B1417" s="3" t="s">
        <v>2296</v>
      </c>
      <c r="C1417" s="3" t="s">
        <v>2297</v>
      </c>
      <c r="D1417" s="3" t="s">
        <v>2297</v>
      </c>
      <c r="E1417" s="1"/>
      <c r="F1417" s="8" t="s">
        <v>66</v>
      </c>
    </row>
    <row r="1418" spans="1:6" x14ac:dyDescent="0.2">
      <c r="A1418" s="3">
        <v>1415</v>
      </c>
      <c r="B1418" s="3" t="s">
        <v>2298</v>
      </c>
      <c r="C1418" s="3" t="s">
        <v>2299</v>
      </c>
      <c r="D1418" s="3" t="s">
        <v>2299</v>
      </c>
      <c r="E1418" s="1"/>
      <c r="F1418" s="8" t="s">
        <v>66</v>
      </c>
    </row>
    <row r="1419" spans="1:6" x14ac:dyDescent="0.2">
      <c r="A1419" s="3">
        <v>1416</v>
      </c>
      <c r="B1419" s="3" t="s">
        <v>2300</v>
      </c>
      <c r="C1419" s="3" t="s">
        <v>2301</v>
      </c>
      <c r="D1419" s="3" t="s">
        <v>2301</v>
      </c>
      <c r="E1419" s="1"/>
      <c r="F1419" s="8" t="s">
        <v>66</v>
      </c>
    </row>
    <row r="1420" spans="1:6" x14ac:dyDescent="0.2">
      <c r="A1420" s="3">
        <v>1417</v>
      </c>
      <c r="B1420" s="3" t="s">
        <v>2302</v>
      </c>
      <c r="C1420" s="3" t="s">
        <v>2301</v>
      </c>
      <c r="D1420" s="3" t="s">
        <v>2301</v>
      </c>
      <c r="E1420" s="1"/>
      <c r="F1420" s="8" t="s">
        <v>66</v>
      </c>
    </row>
    <row r="1421" spans="1:6" x14ac:dyDescent="0.2">
      <c r="A1421" s="3">
        <v>1418</v>
      </c>
      <c r="B1421" s="3" t="s">
        <v>2303</v>
      </c>
      <c r="C1421" s="3" t="s">
        <v>2304</v>
      </c>
      <c r="D1421" s="3" t="s">
        <v>2304</v>
      </c>
      <c r="E1421" s="1"/>
      <c r="F1421" s="8" t="s">
        <v>66</v>
      </c>
    </row>
    <row r="1422" spans="1:6" x14ac:dyDescent="0.2">
      <c r="A1422" s="3">
        <v>1419</v>
      </c>
      <c r="B1422" s="3" t="s">
        <v>2305</v>
      </c>
      <c r="C1422" s="3" t="s">
        <v>2197</v>
      </c>
      <c r="D1422" s="3" t="s">
        <v>2197</v>
      </c>
      <c r="E1422" s="1"/>
      <c r="F1422" s="8" t="s">
        <v>66</v>
      </c>
    </row>
    <row r="1423" spans="1:6" x14ac:dyDescent="0.2">
      <c r="A1423" s="3">
        <v>1420</v>
      </c>
      <c r="B1423" s="3" t="s">
        <v>2306</v>
      </c>
      <c r="C1423" s="3" t="s">
        <v>2307</v>
      </c>
      <c r="D1423" s="3" t="s">
        <v>2307</v>
      </c>
      <c r="E1423" s="1"/>
      <c r="F1423" s="8" t="s">
        <v>66</v>
      </c>
    </row>
    <row r="1424" spans="1:6" x14ac:dyDescent="0.2">
      <c r="A1424" s="3">
        <v>1421</v>
      </c>
      <c r="B1424" s="3" t="s">
        <v>2308</v>
      </c>
      <c r="C1424" s="3" t="s">
        <v>2309</v>
      </c>
      <c r="D1424" s="3" t="s">
        <v>2309</v>
      </c>
      <c r="E1424" s="1"/>
      <c r="F1424" s="8" t="s">
        <v>66</v>
      </c>
    </row>
    <row r="1425" spans="1:6" x14ac:dyDescent="0.2">
      <c r="A1425" s="3">
        <v>1422</v>
      </c>
      <c r="B1425" s="3" t="s">
        <v>2310</v>
      </c>
      <c r="C1425" s="3" t="s">
        <v>2309</v>
      </c>
      <c r="D1425" s="3" t="s">
        <v>2309</v>
      </c>
      <c r="E1425" s="1"/>
      <c r="F1425" s="8" t="s">
        <v>66</v>
      </c>
    </row>
    <row r="1426" spans="1:6" x14ac:dyDescent="0.2">
      <c r="A1426" s="3">
        <v>1423</v>
      </c>
      <c r="B1426" s="3" t="s">
        <v>2311</v>
      </c>
      <c r="C1426" s="3" t="s">
        <v>2312</v>
      </c>
      <c r="D1426" s="3" t="s">
        <v>2312</v>
      </c>
      <c r="E1426" s="1"/>
      <c r="F1426" s="8" t="s">
        <v>66</v>
      </c>
    </row>
    <row r="1427" spans="1:6" x14ac:dyDescent="0.2">
      <c r="A1427" s="3">
        <v>1424</v>
      </c>
      <c r="B1427" s="3" t="s">
        <v>2313</v>
      </c>
      <c r="C1427" s="3" t="s">
        <v>2312</v>
      </c>
      <c r="D1427" s="3" t="s">
        <v>2312</v>
      </c>
      <c r="E1427" s="1"/>
      <c r="F1427" s="8" t="s">
        <v>66</v>
      </c>
    </row>
    <row r="1428" spans="1:6" x14ac:dyDescent="0.2">
      <c r="A1428" s="3">
        <v>1425</v>
      </c>
      <c r="B1428" s="3" t="s">
        <v>2314</v>
      </c>
      <c r="C1428" s="3" t="s">
        <v>2314</v>
      </c>
      <c r="D1428" s="3" t="s">
        <v>2314</v>
      </c>
      <c r="E1428" s="1" t="s">
        <v>2315</v>
      </c>
      <c r="F1428" s="8" t="s">
        <v>66</v>
      </c>
    </row>
    <row r="1429" spans="1:6" x14ac:dyDescent="0.2">
      <c r="A1429" s="3">
        <v>1426</v>
      </c>
      <c r="B1429" s="3" t="s">
        <v>2316</v>
      </c>
      <c r="C1429" s="3" t="s">
        <v>2317</v>
      </c>
      <c r="D1429" s="3" t="s">
        <v>2317</v>
      </c>
      <c r="E1429" s="1"/>
      <c r="F1429" s="8" t="s">
        <v>66</v>
      </c>
    </row>
    <row r="1430" spans="1:6" x14ac:dyDescent="0.2">
      <c r="A1430" s="3">
        <v>1427</v>
      </c>
      <c r="B1430" s="3" t="s">
        <v>2318</v>
      </c>
      <c r="C1430" s="3" t="s">
        <v>2319</v>
      </c>
      <c r="D1430" s="3" t="s">
        <v>2319</v>
      </c>
      <c r="E1430" s="1"/>
      <c r="F1430" s="8" t="s">
        <v>66</v>
      </c>
    </row>
    <row r="1431" spans="1:6" x14ac:dyDescent="0.2">
      <c r="A1431" s="3">
        <v>1428</v>
      </c>
      <c r="B1431" s="3" t="s">
        <v>2320</v>
      </c>
      <c r="C1431" s="3" t="s">
        <v>2321</v>
      </c>
      <c r="D1431" s="3" t="s">
        <v>2321</v>
      </c>
      <c r="E1431" s="1"/>
      <c r="F1431" s="8" t="s">
        <v>66</v>
      </c>
    </row>
    <row r="1432" spans="1:6" x14ac:dyDescent="0.2">
      <c r="A1432" s="3">
        <v>1429</v>
      </c>
      <c r="B1432" s="3" t="s">
        <v>2322</v>
      </c>
      <c r="C1432" s="3" t="s">
        <v>2323</v>
      </c>
      <c r="D1432" s="3" t="s">
        <v>2323</v>
      </c>
      <c r="E1432" s="1"/>
      <c r="F1432" s="8" t="s">
        <v>66</v>
      </c>
    </row>
    <row r="1433" spans="1:6" x14ac:dyDescent="0.2">
      <c r="A1433" s="3">
        <v>1430</v>
      </c>
      <c r="B1433" s="3" t="s">
        <v>2324</v>
      </c>
      <c r="C1433" s="3" t="s">
        <v>2323</v>
      </c>
      <c r="D1433" s="3" t="s">
        <v>2323</v>
      </c>
      <c r="E1433" s="1"/>
      <c r="F1433" s="8" t="s">
        <v>66</v>
      </c>
    </row>
    <row r="1434" spans="1:6" x14ac:dyDescent="0.2">
      <c r="A1434" s="3">
        <v>1431</v>
      </c>
      <c r="B1434" s="3" t="s">
        <v>2325</v>
      </c>
      <c r="C1434" s="3" t="s">
        <v>2323</v>
      </c>
      <c r="D1434" s="3" t="s">
        <v>2323</v>
      </c>
      <c r="E1434" s="1"/>
      <c r="F1434" s="8" t="s">
        <v>66</v>
      </c>
    </row>
    <row r="1435" spans="1:6" x14ac:dyDescent="0.2">
      <c r="A1435" s="3">
        <v>1432</v>
      </c>
      <c r="B1435" s="3" t="s">
        <v>2326</v>
      </c>
      <c r="C1435" s="3" t="s">
        <v>2327</v>
      </c>
      <c r="D1435" s="3" t="s">
        <v>2327</v>
      </c>
      <c r="E1435" s="1"/>
      <c r="F1435" s="8" t="s">
        <v>66</v>
      </c>
    </row>
    <row r="1436" spans="1:6" x14ac:dyDescent="0.2">
      <c r="A1436" s="3">
        <v>1433</v>
      </c>
      <c r="B1436" s="3" t="s">
        <v>2328</v>
      </c>
      <c r="C1436" s="3" t="s">
        <v>2329</v>
      </c>
      <c r="D1436" s="3" t="s">
        <v>2329</v>
      </c>
      <c r="E1436" s="1"/>
      <c r="F1436" s="8" t="s">
        <v>66</v>
      </c>
    </row>
    <row r="1437" spans="1:6" x14ac:dyDescent="0.2">
      <c r="A1437" s="3">
        <v>1434</v>
      </c>
      <c r="B1437" s="3" t="s">
        <v>2330</v>
      </c>
      <c r="C1437" s="3" t="s">
        <v>2331</v>
      </c>
      <c r="D1437" s="3" t="s">
        <v>2331</v>
      </c>
      <c r="E1437" s="1"/>
      <c r="F1437" s="8" t="s">
        <v>66</v>
      </c>
    </row>
    <row r="1438" spans="1:6" x14ac:dyDescent="0.2">
      <c r="A1438" s="3">
        <v>1435</v>
      </c>
      <c r="B1438" s="3" t="s">
        <v>2332</v>
      </c>
      <c r="C1438" s="3" t="s">
        <v>2333</v>
      </c>
      <c r="D1438" s="3" t="s">
        <v>2333</v>
      </c>
      <c r="E1438" s="1"/>
      <c r="F1438" s="8" t="s">
        <v>66</v>
      </c>
    </row>
    <row r="1439" spans="1:6" x14ac:dyDescent="0.2">
      <c r="A1439" s="3">
        <v>1436</v>
      </c>
      <c r="B1439" s="3" t="s">
        <v>2334</v>
      </c>
      <c r="C1439" s="3" t="s">
        <v>2333</v>
      </c>
      <c r="D1439" s="3" t="s">
        <v>2333</v>
      </c>
      <c r="E1439" s="1"/>
      <c r="F1439" s="8" t="s">
        <v>66</v>
      </c>
    </row>
    <row r="1440" spans="1:6" x14ac:dyDescent="0.2">
      <c r="A1440" s="3">
        <v>1437</v>
      </c>
      <c r="B1440" s="3" t="s">
        <v>2335</v>
      </c>
      <c r="C1440" s="3" t="s">
        <v>2336</v>
      </c>
      <c r="D1440" s="3" t="s">
        <v>2336</v>
      </c>
      <c r="E1440" s="1"/>
      <c r="F1440" s="8" t="s">
        <v>66</v>
      </c>
    </row>
    <row r="1441" spans="1:6" x14ac:dyDescent="0.2">
      <c r="A1441" s="3">
        <v>1438</v>
      </c>
      <c r="B1441" s="3" t="s">
        <v>2337</v>
      </c>
      <c r="C1441" s="3" t="s">
        <v>2336</v>
      </c>
      <c r="D1441" s="3" t="s">
        <v>2336</v>
      </c>
      <c r="E1441" s="1"/>
      <c r="F1441" s="8" t="s">
        <v>66</v>
      </c>
    </row>
    <row r="1442" spans="1:6" x14ac:dyDescent="0.2">
      <c r="A1442" s="3">
        <v>1439</v>
      </c>
      <c r="B1442" s="3" t="s">
        <v>2338</v>
      </c>
      <c r="C1442" s="3" t="s">
        <v>2336</v>
      </c>
      <c r="D1442" s="3" t="s">
        <v>2336</v>
      </c>
      <c r="E1442" s="1"/>
      <c r="F1442" s="8" t="s">
        <v>66</v>
      </c>
    </row>
    <row r="1443" spans="1:6" x14ac:dyDescent="0.2">
      <c r="A1443" s="3">
        <v>1440</v>
      </c>
      <c r="B1443" s="3" t="s">
        <v>2339</v>
      </c>
      <c r="C1443" s="3" t="s">
        <v>2336</v>
      </c>
      <c r="D1443" s="3" t="s">
        <v>2336</v>
      </c>
      <c r="E1443" s="1"/>
      <c r="F1443" s="8"/>
    </row>
    <row r="1444" spans="1:6" x14ac:dyDescent="0.2">
      <c r="A1444" s="3">
        <v>1441</v>
      </c>
      <c r="B1444" s="33" t="s">
        <v>2340</v>
      </c>
      <c r="C1444" s="3" t="s">
        <v>2341</v>
      </c>
      <c r="D1444" s="33" t="s">
        <v>2341</v>
      </c>
      <c r="E1444" s="1"/>
      <c r="F1444" s="8" t="s">
        <v>66</v>
      </c>
    </row>
    <row r="1445" spans="1:6" x14ac:dyDescent="0.2">
      <c r="A1445" s="3">
        <v>1442</v>
      </c>
      <c r="B1445" s="3" t="s">
        <v>2342</v>
      </c>
      <c r="C1445" s="3" t="s">
        <v>2341</v>
      </c>
      <c r="D1445" s="33" t="s">
        <v>2341</v>
      </c>
      <c r="E1445" s="1"/>
      <c r="F1445" s="8" t="s">
        <v>66</v>
      </c>
    </row>
    <row r="1446" spans="1:6" x14ac:dyDescent="0.15">
      <c r="A1446" s="3">
        <v>1443</v>
      </c>
      <c r="B1446" s="88" t="s">
        <v>2343</v>
      </c>
      <c r="C1446" s="3" t="s">
        <v>2341</v>
      </c>
      <c r="D1446" s="88" t="s">
        <v>2341</v>
      </c>
      <c r="E1446" s="1"/>
      <c r="F1446" s="8" t="s">
        <v>66</v>
      </c>
    </row>
    <row r="1447" spans="1:6" x14ac:dyDescent="0.15">
      <c r="A1447" s="3">
        <v>1444</v>
      </c>
      <c r="B1447" s="3" t="s">
        <v>2344</v>
      </c>
      <c r="C1447" s="3" t="s">
        <v>2345</v>
      </c>
      <c r="D1447" s="88" t="s">
        <v>2345</v>
      </c>
      <c r="E1447" s="1"/>
      <c r="F1447" s="8" t="s">
        <v>66</v>
      </c>
    </row>
    <row r="1448" spans="1:6" x14ac:dyDescent="0.2">
      <c r="A1448" s="3">
        <v>1445</v>
      </c>
      <c r="B1448" s="3" t="s">
        <v>2346</v>
      </c>
      <c r="C1448" s="3" t="s">
        <v>2347</v>
      </c>
      <c r="D1448" s="3" t="s">
        <v>2347</v>
      </c>
      <c r="E1448" s="1"/>
      <c r="F1448" s="8" t="s">
        <v>66</v>
      </c>
    </row>
    <row r="1449" spans="1:6" x14ac:dyDescent="0.2">
      <c r="A1449" s="3">
        <v>1446</v>
      </c>
      <c r="B1449" s="3" t="s">
        <v>2348</v>
      </c>
      <c r="C1449" s="3" t="s">
        <v>2349</v>
      </c>
      <c r="D1449" s="3" t="s">
        <v>2349</v>
      </c>
      <c r="E1449" s="1"/>
      <c r="F1449" s="8" t="s">
        <v>66</v>
      </c>
    </row>
    <row r="1450" spans="1:6" x14ac:dyDescent="0.2">
      <c r="A1450" s="3">
        <v>1447</v>
      </c>
      <c r="B1450" s="3" t="s">
        <v>2350</v>
      </c>
      <c r="C1450" s="3" t="s">
        <v>2349</v>
      </c>
      <c r="D1450" s="3" t="s">
        <v>2349</v>
      </c>
      <c r="E1450" s="1"/>
      <c r="F1450" s="8" t="s">
        <v>66</v>
      </c>
    </row>
    <row r="1451" spans="1:6" x14ac:dyDescent="0.2">
      <c r="A1451" s="3">
        <v>1448</v>
      </c>
      <c r="B1451" s="3" t="s">
        <v>2351</v>
      </c>
      <c r="C1451" s="3" t="s">
        <v>2349</v>
      </c>
      <c r="D1451" s="3" t="s">
        <v>2349</v>
      </c>
      <c r="E1451" s="1"/>
      <c r="F1451" s="8" t="s">
        <v>66</v>
      </c>
    </row>
    <row r="1452" spans="1:6" x14ac:dyDescent="0.2">
      <c r="A1452" s="3">
        <v>1449</v>
      </c>
      <c r="B1452" s="3" t="s">
        <v>2352</v>
      </c>
      <c r="C1452" s="3" t="s">
        <v>2353</v>
      </c>
      <c r="D1452" s="3" t="s">
        <v>2353</v>
      </c>
      <c r="E1452" s="1"/>
      <c r="F1452" s="8" t="s">
        <v>66</v>
      </c>
    </row>
    <row r="1453" spans="1:6" x14ac:dyDescent="0.2">
      <c r="A1453" s="3">
        <v>1450</v>
      </c>
      <c r="B1453" s="3" t="s">
        <v>2354</v>
      </c>
      <c r="C1453" s="3" t="s">
        <v>2355</v>
      </c>
      <c r="D1453" s="3" t="s">
        <v>2355</v>
      </c>
      <c r="E1453" s="1"/>
      <c r="F1453" s="8" t="s">
        <v>66</v>
      </c>
    </row>
    <row r="1454" spans="1:6" x14ac:dyDescent="0.2">
      <c r="A1454" s="3">
        <v>1451</v>
      </c>
      <c r="B1454" s="3" t="s">
        <v>2356</v>
      </c>
      <c r="C1454" s="3" t="s">
        <v>2357</v>
      </c>
      <c r="D1454" s="3" t="s">
        <v>2357</v>
      </c>
      <c r="E1454" s="1"/>
      <c r="F1454" s="8" t="s">
        <v>66</v>
      </c>
    </row>
    <row r="1455" spans="1:6" x14ac:dyDescent="0.2">
      <c r="A1455" s="3">
        <v>1452</v>
      </c>
      <c r="B1455" s="3" t="s">
        <v>2358</v>
      </c>
      <c r="C1455" s="3" t="s">
        <v>2359</v>
      </c>
      <c r="D1455" s="3" t="s">
        <v>2359</v>
      </c>
      <c r="E1455" s="1"/>
      <c r="F1455" s="8" t="s">
        <v>66</v>
      </c>
    </row>
    <row r="1456" spans="1:6" x14ac:dyDescent="0.2">
      <c r="A1456" s="3">
        <v>1453</v>
      </c>
      <c r="B1456" s="3" t="s">
        <v>2360</v>
      </c>
      <c r="C1456" s="3" t="s">
        <v>2361</v>
      </c>
      <c r="D1456" s="3" t="s">
        <v>2361</v>
      </c>
      <c r="E1456" s="1"/>
      <c r="F1456" s="8" t="s">
        <v>66</v>
      </c>
    </row>
    <row r="1457" spans="1:6" x14ac:dyDescent="0.2">
      <c r="A1457" s="3">
        <v>1454</v>
      </c>
      <c r="B1457" s="3" t="s">
        <v>2362</v>
      </c>
      <c r="C1457" s="3" t="s">
        <v>2363</v>
      </c>
      <c r="D1457" s="3" t="s">
        <v>2363</v>
      </c>
      <c r="E1457" s="1"/>
      <c r="F1457" s="8" t="s">
        <v>66</v>
      </c>
    </row>
    <row r="1458" spans="1:6" x14ac:dyDescent="0.2">
      <c r="A1458" s="3">
        <v>1455</v>
      </c>
      <c r="B1458" s="3" t="s">
        <v>2364</v>
      </c>
      <c r="C1458" s="3" t="s">
        <v>2365</v>
      </c>
      <c r="D1458" s="3" t="s">
        <v>2365</v>
      </c>
      <c r="E1458" s="1"/>
      <c r="F1458" s="8" t="s">
        <v>66</v>
      </c>
    </row>
    <row r="1459" spans="1:6" x14ac:dyDescent="0.2">
      <c r="A1459" s="3">
        <v>1456</v>
      </c>
      <c r="B1459" s="3" t="s">
        <v>2366</v>
      </c>
      <c r="C1459" s="3" t="s">
        <v>2347</v>
      </c>
      <c r="D1459" s="3" t="s">
        <v>2347</v>
      </c>
      <c r="E1459" s="1"/>
      <c r="F1459" s="8" t="s">
        <v>66</v>
      </c>
    </row>
    <row r="1460" spans="1:6" x14ac:dyDescent="0.2">
      <c r="A1460" s="3">
        <v>1457</v>
      </c>
      <c r="B1460" s="3" t="s">
        <v>2367</v>
      </c>
      <c r="C1460" s="3" t="s">
        <v>2368</v>
      </c>
      <c r="D1460" s="3" t="s">
        <v>2368</v>
      </c>
      <c r="E1460" s="1"/>
      <c r="F1460" s="8" t="s">
        <v>66</v>
      </c>
    </row>
    <row r="1461" spans="1:6" x14ac:dyDescent="0.2">
      <c r="A1461" s="3">
        <v>1458</v>
      </c>
      <c r="B1461" s="3" t="s">
        <v>2369</v>
      </c>
      <c r="C1461" s="3" t="s">
        <v>2370</v>
      </c>
      <c r="D1461" s="3" t="s">
        <v>2370</v>
      </c>
      <c r="E1461" s="1"/>
      <c r="F1461" s="8" t="s">
        <v>66</v>
      </c>
    </row>
    <row r="1462" spans="1:6" x14ac:dyDescent="0.2">
      <c r="A1462" s="3">
        <v>1459</v>
      </c>
      <c r="B1462" s="3" t="s">
        <v>2371</v>
      </c>
      <c r="C1462" s="3" t="s">
        <v>2368</v>
      </c>
      <c r="D1462" s="3" t="s">
        <v>2368</v>
      </c>
      <c r="E1462" s="1"/>
      <c r="F1462" s="8" t="s">
        <v>66</v>
      </c>
    </row>
    <row r="1463" spans="1:6" x14ac:dyDescent="0.2">
      <c r="A1463" s="3">
        <v>1460</v>
      </c>
      <c r="B1463" s="3" t="s">
        <v>2372</v>
      </c>
      <c r="C1463" s="3" t="s">
        <v>2368</v>
      </c>
      <c r="D1463" s="3" t="s">
        <v>2368</v>
      </c>
      <c r="E1463" s="1"/>
      <c r="F1463" s="8" t="s">
        <v>66</v>
      </c>
    </row>
    <row r="1464" spans="1:6" x14ac:dyDescent="0.2">
      <c r="A1464" s="3">
        <v>1461</v>
      </c>
      <c r="B1464" s="3" t="s">
        <v>2373</v>
      </c>
      <c r="C1464" s="3" t="s">
        <v>2374</v>
      </c>
      <c r="D1464" s="3" t="s">
        <v>2374</v>
      </c>
      <c r="E1464" s="1"/>
      <c r="F1464" s="8" t="s">
        <v>66</v>
      </c>
    </row>
    <row r="1465" spans="1:6" x14ac:dyDescent="0.2">
      <c r="A1465" s="3">
        <v>1462</v>
      </c>
      <c r="B1465" s="3" t="s">
        <v>2375</v>
      </c>
      <c r="C1465" s="3" t="s">
        <v>2376</v>
      </c>
      <c r="D1465" s="3" t="s">
        <v>2376</v>
      </c>
      <c r="E1465" s="1"/>
      <c r="F1465" s="8" t="s">
        <v>66</v>
      </c>
    </row>
    <row r="1466" spans="1:6" x14ac:dyDescent="0.2">
      <c r="A1466" s="3">
        <v>1463</v>
      </c>
      <c r="B1466" s="3" t="s">
        <v>2377</v>
      </c>
      <c r="C1466" s="3" t="s">
        <v>2378</v>
      </c>
      <c r="D1466" s="3" t="s">
        <v>2378</v>
      </c>
      <c r="E1466" s="1"/>
      <c r="F1466" s="8" t="s">
        <v>66</v>
      </c>
    </row>
    <row r="1467" spans="1:6" x14ac:dyDescent="0.2">
      <c r="A1467" s="3">
        <v>1464</v>
      </c>
      <c r="B1467" s="3" t="s">
        <v>2379</v>
      </c>
      <c r="C1467" s="3" t="s">
        <v>2378</v>
      </c>
      <c r="D1467" s="3" t="s">
        <v>2378</v>
      </c>
      <c r="E1467" s="1"/>
      <c r="F1467" s="8" t="s">
        <v>66</v>
      </c>
    </row>
    <row r="1468" spans="1:6" x14ac:dyDescent="0.2">
      <c r="A1468" s="3">
        <v>1465</v>
      </c>
      <c r="B1468" s="3" t="s">
        <v>2380</v>
      </c>
      <c r="C1468" s="3" t="s">
        <v>2381</v>
      </c>
      <c r="D1468" s="3" t="s">
        <v>2381</v>
      </c>
      <c r="E1468" s="1"/>
      <c r="F1468" s="8" t="s">
        <v>66</v>
      </c>
    </row>
    <row r="1469" spans="1:6" x14ac:dyDescent="0.2">
      <c r="A1469" s="3">
        <v>1466</v>
      </c>
      <c r="B1469" s="3" t="s">
        <v>2382</v>
      </c>
      <c r="C1469" s="3" t="s">
        <v>2383</v>
      </c>
      <c r="D1469" s="3" t="s">
        <v>2383</v>
      </c>
      <c r="E1469" s="1"/>
      <c r="F1469" s="8" t="s">
        <v>66</v>
      </c>
    </row>
    <row r="1470" spans="1:6" x14ac:dyDescent="0.2">
      <c r="A1470" s="3">
        <v>1467</v>
      </c>
      <c r="B1470" s="3" t="s">
        <v>2384</v>
      </c>
      <c r="C1470" s="3" t="s">
        <v>2383</v>
      </c>
      <c r="D1470" s="3" t="s">
        <v>2383</v>
      </c>
      <c r="E1470" s="1"/>
      <c r="F1470" s="8" t="s">
        <v>66</v>
      </c>
    </row>
    <row r="1471" spans="1:6" x14ac:dyDescent="0.2">
      <c r="A1471" s="3">
        <v>1468</v>
      </c>
      <c r="B1471" s="3" t="s">
        <v>2385</v>
      </c>
      <c r="C1471" s="3" t="s">
        <v>2386</v>
      </c>
      <c r="D1471" s="3" t="s">
        <v>2386</v>
      </c>
      <c r="E1471" s="1"/>
      <c r="F1471" s="8" t="s">
        <v>66</v>
      </c>
    </row>
    <row r="1472" spans="1:6" x14ac:dyDescent="0.2">
      <c r="A1472" s="3">
        <v>1469</v>
      </c>
      <c r="B1472" s="3" t="s">
        <v>2387</v>
      </c>
      <c r="C1472" s="3" t="s">
        <v>2386</v>
      </c>
      <c r="D1472" s="3" t="s">
        <v>2386</v>
      </c>
      <c r="E1472" s="1"/>
      <c r="F1472" s="8" t="s">
        <v>66</v>
      </c>
    </row>
    <row r="1473" spans="1:6" x14ac:dyDescent="0.2">
      <c r="A1473" s="3">
        <v>1470</v>
      </c>
      <c r="B1473" s="3" t="s">
        <v>2388</v>
      </c>
      <c r="C1473" s="3" t="s">
        <v>2389</v>
      </c>
      <c r="D1473" s="3" t="s">
        <v>2389</v>
      </c>
      <c r="E1473" s="1"/>
      <c r="F1473" s="8" t="s">
        <v>66</v>
      </c>
    </row>
    <row r="1474" spans="1:6" x14ac:dyDescent="0.2">
      <c r="A1474" s="3">
        <v>1471</v>
      </c>
      <c r="B1474" s="3" t="s">
        <v>2390</v>
      </c>
      <c r="C1474" s="3" t="s">
        <v>2391</v>
      </c>
      <c r="D1474" s="3" t="s">
        <v>2391</v>
      </c>
      <c r="E1474" s="1"/>
      <c r="F1474" s="8" t="s">
        <v>66</v>
      </c>
    </row>
    <row r="1475" spans="1:6" x14ac:dyDescent="0.2">
      <c r="A1475" s="3">
        <v>1472</v>
      </c>
      <c r="B1475" s="3" t="s">
        <v>2392</v>
      </c>
      <c r="C1475" s="3" t="s">
        <v>2391</v>
      </c>
      <c r="D1475" s="3" t="s">
        <v>2391</v>
      </c>
      <c r="E1475" s="1"/>
      <c r="F1475" s="8" t="s">
        <v>66</v>
      </c>
    </row>
    <row r="1476" spans="1:6" x14ac:dyDescent="0.2">
      <c r="A1476" s="3">
        <v>1473</v>
      </c>
      <c r="B1476" s="3" t="s">
        <v>2393</v>
      </c>
      <c r="C1476" s="3" t="s">
        <v>2394</v>
      </c>
      <c r="D1476" s="3" t="s">
        <v>2394</v>
      </c>
      <c r="E1476" s="1"/>
      <c r="F1476" s="8" t="s">
        <v>66</v>
      </c>
    </row>
    <row r="1477" spans="1:6" x14ac:dyDescent="0.2">
      <c r="A1477" s="3">
        <v>1474</v>
      </c>
      <c r="B1477" s="3" t="s">
        <v>2395</v>
      </c>
      <c r="C1477" s="3" t="s">
        <v>2394</v>
      </c>
      <c r="D1477" s="3" t="s">
        <v>2394</v>
      </c>
      <c r="E1477" s="1"/>
      <c r="F1477" s="8" t="s">
        <v>66</v>
      </c>
    </row>
    <row r="1478" spans="1:6" x14ac:dyDescent="0.2">
      <c r="A1478" s="3">
        <v>1475</v>
      </c>
      <c r="B1478" s="3" t="s">
        <v>2396</v>
      </c>
      <c r="C1478" s="3" t="s">
        <v>2394</v>
      </c>
      <c r="D1478" s="3" t="s">
        <v>2394</v>
      </c>
      <c r="E1478" s="1"/>
      <c r="F1478" s="8" t="s">
        <v>66</v>
      </c>
    </row>
    <row r="1479" spans="1:6" x14ac:dyDescent="0.2">
      <c r="A1479" s="3">
        <v>1476</v>
      </c>
      <c r="B1479" s="3" t="s">
        <v>2397</v>
      </c>
      <c r="C1479" s="3" t="s">
        <v>2394</v>
      </c>
      <c r="D1479" s="3" t="s">
        <v>2394</v>
      </c>
      <c r="E1479" s="1"/>
      <c r="F1479" s="8" t="s">
        <v>66</v>
      </c>
    </row>
    <row r="1480" spans="1:6" x14ac:dyDescent="0.2">
      <c r="A1480" s="3">
        <v>1477</v>
      </c>
      <c r="B1480" s="3" t="s">
        <v>2398</v>
      </c>
      <c r="C1480" s="3" t="s">
        <v>2398</v>
      </c>
      <c r="D1480" s="3" t="s">
        <v>2398</v>
      </c>
      <c r="E1480" s="1" t="s">
        <v>2399</v>
      </c>
      <c r="F1480" s="8" t="s">
        <v>66</v>
      </c>
    </row>
    <row r="1481" spans="1:6" x14ac:dyDescent="0.2">
      <c r="A1481" s="3">
        <v>1478</v>
      </c>
      <c r="B1481" s="3" t="s">
        <v>2398</v>
      </c>
      <c r="C1481" s="3" t="s">
        <v>2398</v>
      </c>
      <c r="D1481" s="3" t="s">
        <v>2398</v>
      </c>
      <c r="E1481" s="1" t="s">
        <v>2399</v>
      </c>
      <c r="F1481" s="8" t="s">
        <v>66</v>
      </c>
    </row>
    <row r="1482" spans="1:6" x14ac:dyDescent="0.2">
      <c r="A1482" s="3">
        <v>1479</v>
      </c>
      <c r="B1482" s="3" t="s">
        <v>2400</v>
      </c>
      <c r="C1482" s="3" t="s">
        <v>2400</v>
      </c>
      <c r="D1482" s="3" t="s">
        <v>2400</v>
      </c>
      <c r="E1482" s="1" t="s">
        <v>2401</v>
      </c>
      <c r="F1482" s="8" t="s">
        <v>66</v>
      </c>
    </row>
    <row r="1483" spans="1:6" x14ac:dyDescent="0.2">
      <c r="A1483" s="3">
        <v>1480</v>
      </c>
      <c r="B1483" s="3" t="s">
        <v>2402</v>
      </c>
      <c r="C1483" s="3" t="s">
        <v>2402</v>
      </c>
      <c r="D1483" s="3" t="s">
        <v>2402</v>
      </c>
      <c r="E1483" s="1" t="s">
        <v>2403</v>
      </c>
      <c r="F1483" s="8" t="s">
        <v>66</v>
      </c>
    </row>
    <row r="1484" spans="1:6" x14ac:dyDescent="0.2">
      <c r="A1484" s="3">
        <v>1481</v>
      </c>
      <c r="B1484" s="3" t="s">
        <v>2404</v>
      </c>
      <c r="C1484" s="3" t="s">
        <v>2404</v>
      </c>
      <c r="D1484" s="3" t="s">
        <v>2404</v>
      </c>
      <c r="E1484" s="1" t="s">
        <v>2405</v>
      </c>
      <c r="F1484" s="8" t="s">
        <v>66</v>
      </c>
    </row>
    <row r="1485" spans="1:6" x14ac:dyDescent="0.2">
      <c r="A1485" s="3">
        <v>1482</v>
      </c>
      <c r="B1485" s="3" t="s">
        <v>2406</v>
      </c>
      <c r="C1485" s="3" t="s">
        <v>2406</v>
      </c>
      <c r="D1485" s="3" t="s">
        <v>2406</v>
      </c>
      <c r="E1485" s="1" t="s">
        <v>2407</v>
      </c>
      <c r="F1485" s="8" t="s">
        <v>66</v>
      </c>
    </row>
    <row r="1486" spans="1:6" x14ac:dyDescent="0.2">
      <c r="A1486" s="3">
        <v>1483</v>
      </c>
      <c r="B1486" s="3" t="s">
        <v>2408</v>
      </c>
      <c r="C1486" s="3" t="s">
        <v>2409</v>
      </c>
      <c r="D1486" s="3" t="s">
        <v>2409</v>
      </c>
      <c r="E1486" s="1"/>
      <c r="F1486" s="8" t="s">
        <v>66</v>
      </c>
    </row>
    <row r="1487" spans="1:6" x14ac:dyDescent="0.2">
      <c r="A1487" s="3">
        <v>1484</v>
      </c>
      <c r="B1487" s="3" t="s">
        <v>2410</v>
      </c>
      <c r="C1487" s="3" t="s">
        <v>2409</v>
      </c>
      <c r="D1487" s="3" t="s">
        <v>2409</v>
      </c>
      <c r="E1487" s="1"/>
      <c r="F1487" s="8" t="s">
        <v>66</v>
      </c>
    </row>
    <row r="1488" spans="1:6" x14ac:dyDescent="0.2">
      <c r="A1488" s="3">
        <v>1485</v>
      </c>
      <c r="B1488" s="3" t="s">
        <v>2411</v>
      </c>
      <c r="C1488" s="3" t="s">
        <v>2412</v>
      </c>
      <c r="D1488" s="3" t="s">
        <v>2412</v>
      </c>
      <c r="E1488" s="1"/>
      <c r="F1488" s="8" t="s">
        <v>66</v>
      </c>
    </row>
    <row r="1489" spans="1:6" x14ac:dyDescent="0.2">
      <c r="A1489" s="3">
        <v>1486</v>
      </c>
      <c r="B1489" s="3" t="s">
        <v>2413</v>
      </c>
      <c r="C1489" s="3" t="s">
        <v>2413</v>
      </c>
      <c r="D1489" s="3" t="s">
        <v>2413</v>
      </c>
      <c r="E1489" s="1" t="s">
        <v>2414</v>
      </c>
      <c r="F1489" s="8" t="s">
        <v>66</v>
      </c>
    </row>
    <row r="1490" spans="1:6" x14ac:dyDescent="0.2">
      <c r="A1490" s="3">
        <v>1487</v>
      </c>
      <c r="B1490" s="3" t="s">
        <v>2415</v>
      </c>
      <c r="C1490" s="3" t="s">
        <v>2415</v>
      </c>
      <c r="D1490" s="3" t="s">
        <v>2415</v>
      </c>
      <c r="E1490" s="1" t="s">
        <v>2416</v>
      </c>
      <c r="F1490" s="8" t="s">
        <v>66</v>
      </c>
    </row>
    <row r="1491" spans="1:6" x14ac:dyDescent="0.2">
      <c r="A1491" s="3">
        <v>1488</v>
      </c>
      <c r="B1491" s="3" t="s">
        <v>2417</v>
      </c>
      <c r="C1491" s="3" t="s">
        <v>2417</v>
      </c>
      <c r="D1491" s="3" t="s">
        <v>2417</v>
      </c>
      <c r="E1491" s="1"/>
      <c r="F1491" s="8" t="s">
        <v>66</v>
      </c>
    </row>
    <row r="1492" spans="1:6" x14ac:dyDescent="0.2">
      <c r="A1492" s="3">
        <v>1489</v>
      </c>
      <c r="B1492" s="3" t="s">
        <v>2418</v>
      </c>
      <c r="C1492" s="3" t="s">
        <v>2419</v>
      </c>
      <c r="D1492" s="3" t="s">
        <v>2419</v>
      </c>
      <c r="E1492" s="1"/>
      <c r="F1492" s="8" t="s">
        <v>66</v>
      </c>
    </row>
    <row r="1493" spans="1:6" x14ac:dyDescent="0.2">
      <c r="A1493" s="3">
        <v>1490</v>
      </c>
      <c r="B1493" s="3" t="s">
        <v>2420</v>
      </c>
      <c r="C1493" s="3" t="s">
        <v>2420</v>
      </c>
      <c r="D1493" s="3" t="s">
        <v>2420</v>
      </c>
      <c r="E1493" s="1" t="s">
        <v>2421</v>
      </c>
      <c r="F1493" s="8" t="s">
        <v>66</v>
      </c>
    </row>
    <row r="1494" spans="1:6" x14ac:dyDescent="0.2">
      <c r="A1494" s="3">
        <v>1491</v>
      </c>
      <c r="B1494" s="3" t="s">
        <v>2422</v>
      </c>
      <c r="C1494" s="3" t="s">
        <v>2423</v>
      </c>
      <c r="D1494" s="3" t="s">
        <v>2423</v>
      </c>
      <c r="E1494" s="1"/>
      <c r="F1494" s="8" t="s">
        <v>66</v>
      </c>
    </row>
    <row r="1495" spans="1:6" x14ac:dyDescent="0.2">
      <c r="A1495" s="3">
        <v>1492</v>
      </c>
      <c r="B1495" s="3" t="s">
        <v>2424</v>
      </c>
      <c r="C1495" s="3" t="s">
        <v>2425</v>
      </c>
      <c r="D1495" s="3" t="s">
        <v>2425</v>
      </c>
      <c r="E1495" s="1"/>
      <c r="F1495" s="8" t="s">
        <v>66</v>
      </c>
    </row>
    <row r="1496" spans="1:6" x14ac:dyDescent="0.2">
      <c r="A1496" s="3">
        <v>1493</v>
      </c>
      <c r="B1496" s="3" t="s">
        <v>2426</v>
      </c>
      <c r="C1496" s="3" t="s">
        <v>2427</v>
      </c>
      <c r="D1496" s="3" t="s">
        <v>2427</v>
      </c>
      <c r="E1496" s="1"/>
      <c r="F1496" s="8" t="s">
        <v>66</v>
      </c>
    </row>
    <row r="1497" spans="1:6" x14ac:dyDescent="0.2">
      <c r="A1497" s="3">
        <v>1494</v>
      </c>
      <c r="B1497" s="3" t="s">
        <v>2428</v>
      </c>
      <c r="C1497" s="3" t="s">
        <v>2429</v>
      </c>
      <c r="D1497" s="3" t="s">
        <v>2429</v>
      </c>
      <c r="E1497" s="1"/>
      <c r="F1497" s="8" t="s">
        <v>66</v>
      </c>
    </row>
    <row r="1498" spans="1:6" x14ac:dyDescent="0.2">
      <c r="A1498" s="3">
        <v>1495</v>
      </c>
      <c r="B1498" s="3" t="s">
        <v>2430</v>
      </c>
      <c r="C1498" s="3" t="s">
        <v>2431</v>
      </c>
      <c r="D1498" s="3" t="s">
        <v>2431</v>
      </c>
      <c r="E1498" s="1"/>
      <c r="F1498" s="8" t="s">
        <v>66</v>
      </c>
    </row>
    <row r="1499" spans="1:6" x14ac:dyDescent="0.2">
      <c r="A1499" s="3">
        <v>1496</v>
      </c>
      <c r="B1499" s="3" t="s">
        <v>2432</v>
      </c>
      <c r="C1499" s="3" t="s">
        <v>2433</v>
      </c>
      <c r="D1499" s="3" t="s">
        <v>2433</v>
      </c>
      <c r="E1499" s="1"/>
      <c r="F1499" s="8" t="s">
        <v>66</v>
      </c>
    </row>
    <row r="1500" spans="1:6" x14ac:dyDescent="0.2">
      <c r="A1500" s="3">
        <v>1497</v>
      </c>
      <c r="B1500" s="3" t="s">
        <v>2434</v>
      </c>
      <c r="C1500" s="3" t="s">
        <v>2433</v>
      </c>
      <c r="D1500" s="3" t="s">
        <v>2433</v>
      </c>
      <c r="E1500" s="1"/>
      <c r="F1500" s="8" t="s">
        <v>66</v>
      </c>
    </row>
    <row r="1501" spans="1:6" x14ac:dyDescent="0.2">
      <c r="A1501" s="3">
        <v>1498</v>
      </c>
      <c r="B1501" s="3" t="s">
        <v>2435</v>
      </c>
      <c r="C1501" s="3" t="s">
        <v>2433</v>
      </c>
      <c r="D1501" s="3" t="s">
        <v>2433</v>
      </c>
      <c r="E1501" s="1"/>
      <c r="F1501" s="8" t="s">
        <v>66</v>
      </c>
    </row>
    <row r="1502" spans="1:6" x14ac:dyDescent="0.2">
      <c r="A1502" s="3">
        <v>1499</v>
      </c>
      <c r="B1502" s="3" t="s">
        <v>2436</v>
      </c>
      <c r="C1502" s="3" t="s">
        <v>2437</v>
      </c>
      <c r="D1502" s="3" t="s">
        <v>2437</v>
      </c>
      <c r="E1502" s="1"/>
      <c r="F1502" s="8" t="s">
        <v>66</v>
      </c>
    </row>
    <row r="1503" spans="1:6" x14ac:dyDescent="0.2">
      <c r="A1503" s="3">
        <v>1500</v>
      </c>
      <c r="B1503" s="3" t="s">
        <v>2438</v>
      </c>
      <c r="C1503" s="3" t="s">
        <v>2437</v>
      </c>
      <c r="D1503" s="3" t="s">
        <v>2437</v>
      </c>
      <c r="E1503" s="1"/>
      <c r="F1503" s="8" t="s">
        <v>66</v>
      </c>
    </row>
    <row r="1504" spans="1:6" x14ac:dyDescent="0.2">
      <c r="A1504" s="3">
        <v>1501</v>
      </c>
      <c r="B1504" s="3" t="s">
        <v>2439</v>
      </c>
      <c r="C1504" s="3" t="s">
        <v>2440</v>
      </c>
      <c r="D1504" s="3" t="s">
        <v>2440</v>
      </c>
      <c r="E1504" s="1"/>
      <c r="F1504" s="8" t="s">
        <v>66</v>
      </c>
    </row>
    <row r="1505" spans="1:6" x14ac:dyDescent="0.2">
      <c r="A1505" s="3">
        <v>1502</v>
      </c>
      <c r="B1505" s="3" t="s">
        <v>2441</v>
      </c>
      <c r="C1505" s="3" t="s">
        <v>2442</v>
      </c>
      <c r="D1505" s="3" t="s">
        <v>2442</v>
      </c>
      <c r="E1505" s="1"/>
      <c r="F1505" s="8" t="s">
        <v>66</v>
      </c>
    </row>
    <row r="1506" spans="1:6" x14ac:dyDescent="0.2">
      <c r="A1506" s="3">
        <v>1503</v>
      </c>
      <c r="B1506" s="3" t="s">
        <v>2443</v>
      </c>
      <c r="C1506" s="3" t="s">
        <v>2442</v>
      </c>
      <c r="D1506" s="3" t="s">
        <v>2442</v>
      </c>
      <c r="E1506" s="1"/>
      <c r="F1506" s="8" t="s">
        <v>66</v>
      </c>
    </row>
    <row r="1507" spans="1:6" x14ac:dyDescent="0.2">
      <c r="A1507" s="3">
        <v>1504</v>
      </c>
      <c r="B1507" s="3" t="s">
        <v>2444</v>
      </c>
      <c r="C1507" s="3" t="s">
        <v>2445</v>
      </c>
      <c r="D1507" s="3" t="s">
        <v>2445</v>
      </c>
      <c r="E1507" s="1"/>
      <c r="F1507" s="8" t="s">
        <v>66</v>
      </c>
    </row>
    <row r="1508" spans="1:6" x14ac:dyDescent="0.2">
      <c r="A1508" s="3">
        <v>1505</v>
      </c>
      <c r="B1508" s="3" t="s">
        <v>2446</v>
      </c>
      <c r="C1508" s="3" t="s">
        <v>2447</v>
      </c>
      <c r="D1508" s="3" t="s">
        <v>2447</v>
      </c>
      <c r="E1508" s="1"/>
      <c r="F1508" s="8" t="s">
        <v>66</v>
      </c>
    </row>
    <row r="1509" spans="1:6" x14ac:dyDescent="0.2">
      <c r="A1509" s="3">
        <v>1506</v>
      </c>
      <c r="B1509" s="3" t="s">
        <v>2448</v>
      </c>
      <c r="C1509" s="3" t="s">
        <v>2449</v>
      </c>
      <c r="D1509" s="3" t="s">
        <v>2449</v>
      </c>
      <c r="E1509" s="1"/>
      <c r="F1509" s="8" t="s">
        <v>66</v>
      </c>
    </row>
    <row r="1510" spans="1:6" x14ac:dyDescent="0.2">
      <c r="A1510" s="3">
        <v>1507</v>
      </c>
      <c r="B1510" s="3" t="s">
        <v>2450</v>
      </c>
      <c r="C1510" s="3" t="s">
        <v>2449</v>
      </c>
      <c r="D1510" s="3" t="s">
        <v>2449</v>
      </c>
      <c r="E1510" s="1"/>
      <c r="F1510" s="8" t="s">
        <v>66</v>
      </c>
    </row>
    <row r="1511" spans="1:6" x14ac:dyDescent="0.2">
      <c r="A1511" s="3">
        <v>1508</v>
      </c>
      <c r="B1511" s="3" t="s">
        <v>2451</v>
      </c>
      <c r="C1511" s="3" t="s">
        <v>2452</v>
      </c>
      <c r="D1511" s="3" t="s">
        <v>2452</v>
      </c>
      <c r="E1511" s="1"/>
      <c r="F1511" s="8" t="s">
        <v>66</v>
      </c>
    </row>
    <row r="1512" spans="1:6" x14ac:dyDescent="0.2">
      <c r="A1512" s="3">
        <v>1509</v>
      </c>
      <c r="B1512" s="3" t="s">
        <v>2453</v>
      </c>
      <c r="C1512" s="3" t="s">
        <v>2454</v>
      </c>
      <c r="D1512" s="3" t="s">
        <v>2454</v>
      </c>
      <c r="E1512" s="1"/>
      <c r="F1512" s="8" t="s">
        <v>66</v>
      </c>
    </row>
    <row r="1513" spans="1:6" x14ac:dyDescent="0.2">
      <c r="A1513" s="3">
        <v>1510</v>
      </c>
      <c r="B1513" s="3" t="s">
        <v>2455</v>
      </c>
      <c r="C1513" s="3" t="s">
        <v>2456</v>
      </c>
      <c r="D1513" s="3" t="s">
        <v>2456</v>
      </c>
      <c r="E1513" s="1"/>
      <c r="F1513" s="8" t="s">
        <v>66</v>
      </c>
    </row>
    <row r="1514" spans="1:6" x14ac:dyDescent="0.2">
      <c r="A1514" s="3">
        <v>1511</v>
      </c>
      <c r="B1514" s="3" t="s">
        <v>2457</v>
      </c>
      <c r="C1514" s="3" t="s">
        <v>2456</v>
      </c>
      <c r="D1514" s="3" t="s">
        <v>2456</v>
      </c>
      <c r="E1514" s="1"/>
      <c r="F1514" s="8" t="s">
        <v>66</v>
      </c>
    </row>
    <row r="1515" spans="1:6" x14ac:dyDescent="0.2">
      <c r="A1515" s="3">
        <v>1512</v>
      </c>
      <c r="B1515" s="3" t="s">
        <v>2458</v>
      </c>
      <c r="C1515" s="3" t="s">
        <v>2459</v>
      </c>
      <c r="D1515" s="3" t="s">
        <v>2459</v>
      </c>
      <c r="E1515" s="1"/>
      <c r="F1515" s="8" t="s">
        <v>66</v>
      </c>
    </row>
    <row r="1516" spans="1:6" x14ac:dyDescent="0.2">
      <c r="A1516" s="3">
        <v>1513</v>
      </c>
      <c r="B1516" s="3" t="s">
        <v>2460</v>
      </c>
      <c r="C1516" s="3" t="s">
        <v>2461</v>
      </c>
      <c r="D1516" s="3" t="s">
        <v>2461</v>
      </c>
      <c r="E1516" s="1"/>
      <c r="F1516" s="8" t="s">
        <v>66</v>
      </c>
    </row>
    <row r="1517" spans="1:6" x14ac:dyDescent="0.2">
      <c r="A1517" s="3">
        <v>1514</v>
      </c>
      <c r="B1517" s="3" t="s">
        <v>2462</v>
      </c>
      <c r="C1517" s="3" t="s">
        <v>2463</v>
      </c>
      <c r="D1517" s="3" t="s">
        <v>2463</v>
      </c>
      <c r="E1517" s="1"/>
      <c r="F1517" s="8" t="s">
        <v>66</v>
      </c>
    </row>
    <row r="1518" spans="1:6" x14ac:dyDescent="0.2">
      <c r="A1518" s="3">
        <v>1515</v>
      </c>
      <c r="B1518" s="3" t="s">
        <v>2464</v>
      </c>
      <c r="C1518" s="3" t="s">
        <v>2465</v>
      </c>
      <c r="D1518" s="3" t="s">
        <v>2465</v>
      </c>
      <c r="E1518" s="1"/>
      <c r="F1518" s="8" t="s">
        <v>66</v>
      </c>
    </row>
    <row r="1519" spans="1:6" x14ac:dyDescent="0.2">
      <c r="A1519" s="3">
        <v>1516</v>
      </c>
      <c r="B1519" s="3" t="s">
        <v>2466</v>
      </c>
      <c r="C1519" s="3" t="s">
        <v>2467</v>
      </c>
      <c r="D1519" s="3" t="s">
        <v>2467</v>
      </c>
      <c r="E1519" s="1"/>
      <c r="F1519" s="8" t="s">
        <v>66</v>
      </c>
    </row>
    <row r="1520" spans="1:6" x14ac:dyDescent="0.2">
      <c r="A1520" s="3">
        <v>1517</v>
      </c>
      <c r="B1520" s="3" t="s">
        <v>2468</v>
      </c>
      <c r="C1520" s="3" t="s">
        <v>2469</v>
      </c>
      <c r="D1520" s="3" t="s">
        <v>2469</v>
      </c>
      <c r="E1520" s="1"/>
      <c r="F1520" s="8" t="s">
        <v>66</v>
      </c>
    </row>
    <row r="1521" spans="1:6" x14ac:dyDescent="0.2">
      <c r="A1521" s="3">
        <v>1518</v>
      </c>
      <c r="B1521" s="3" t="s">
        <v>2470</v>
      </c>
      <c r="C1521" s="3" t="s">
        <v>2469</v>
      </c>
      <c r="D1521" s="3" t="s">
        <v>2469</v>
      </c>
      <c r="E1521" s="1"/>
      <c r="F1521" s="8" t="s">
        <v>66</v>
      </c>
    </row>
    <row r="1522" spans="1:6" x14ac:dyDescent="0.2">
      <c r="A1522" s="3">
        <v>1519</v>
      </c>
      <c r="B1522" s="3" t="s">
        <v>2471</v>
      </c>
      <c r="C1522" s="3" t="s">
        <v>2469</v>
      </c>
      <c r="D1522" s="3" t="s">
        <v>2469</v>
      </c>
      <c r="E1522" s="1"/>
      <c r="F1522" s="8" t="s">
        <v>66</v>
      </c>
    </row>
    <row r="1523" spans="1:6" x14ac:dyDescent="0.2">
      <c r="A1523" s="3">
        <v>1520</v>
      </c>
      <c r="B1523" s="3" t="s">
        <v>2472</v>
      </c>
      <c r="C1523" s="3" t="s">
        <v>2473</v>
      </c>
      <c r="D1523" s="3" t="s">
        <v>2473</v>
      </c>
      <c r="E1523" s="1"/>
      <c r="F1523" s="8" t="s">
        <v>66</v>
      </c>
    </row>
    <row r="1524" spans="1:6" x14ac:dyDescent="0.2">
      <c r="A1524" s="3">
        <v>1521</v>
      </c>
      <c r="B1524" s="3" t="s">
        <v>2474</v>
      </c>
      <c r="C1524" s="3" t="s">
        <v>2475</v>
      </c>
      <c r="D1524" s="3" t="s">
        <v>2475</v>
      </c>
      <c r="E1524" s="1"/>
      <c r="F1524" s="8" t="s">
        <v>66</v>
      </c>
    </row>
    <row r="1525" spans="1:6" x14ac:dyDescent="0.2">
      <c r="A1525" s="3">
        <v>1522</v>
      </c>
      <c r="B1525" s="3" t="s">
        <v>2476</v>
      </c>
      <c r="C1525" s="3" t="s">
        <v>2477</v>
      </c>
      <c r="D1525" s="3" t="s">
        <v>2477</v>
      </c>
      <c r="E1525" s="1"/>
      <c r="F1525" s="8" t="s">
        <v>66</v>
      </c>
    </row>
    <row r="1526" spans="1:6" x14ac:dyDescent="0.2">
      <c r="A1526" s="3">
        <v>1523</v>
      </c>
      <c r="B1526" s="3" t="s">
        <v>2478</v>
      </c>
      <c r="C1526" s="3" t="s">
        <v>2479</v>
      </c>
      <c r="D1526" s="3" t="s">
        <v>2479</v>
      </c>
      <c r="E1526" s="1"/>
      <c r="F1526" s="8" t="s">
        <v>66</v>
      </c>
    </row>
    <row r="1527" spans="1:6" x14ac:dyDescent="0.2">
      <c r="A1527" s="3">
        <v>1524</v>
      </c>
      <c r="B1527" s="3" t="s">
        <v>2480</v>
      </c>
      <c r="C1527" s="3" t="s">
        <v>2481</v>
      </c>
      <c r="D1527" s="3" t="s">
        <v>2481</v>
      </c>
      <c r="E1527" s="1"/>
      <c r="F1527" s="8" t="s">
        <v>66</v>
      </c>
    </row>
    <row r="1528" spans="1:6" x14ac:dyDescent="0.2">
      <c r="A1528" s="3">
        <v>1525</v>
      </c>
      <c r="B1528" s="3" t="s">
        <v>2482</v>
      </c>
      <c r="C1528" s="3" t="s">
        <v>2483</v>
      </c>
      <c r="D1528" s="3" t="s">
        <v>2483</v>
      </c>
      <c r="E1528" s="1"/>
      <c r="F1528" s="8" t="s">
        <v>66</v>
      </c>
    </row>
    <row r="1529" spans="1:6" x14ac:dyDescent="0.2">
      <c r="A1529" s="3">
        <v>1526</v>
      </c>
      <c r="B1529" s="3" t="s">
        <v>2484</v>
      </c>
      <c r="C1529" s="3" t="s">
        <v>2483</v>
      </c>
      <c r="D1529" s="3" t="s">
        <v>2483</v>
      </c>
      <c r="E1529" s="1"/>
      <c r="F1529" s="8" t="s">
        <v>66</v>
      </c>
    </row>
    <row r="1530" spans="1:6" x14ac:dyDescent="0.2">
      <c r="A1530" s="3">
        <v>1527</v>
      </c>
      <c r="B1530" s="3" t="s">
        <v>2485</v>
      </c>
      <c r="C1530" s="3" t="s">
        <v>2486</v>
      </c>
      <c r="D1530" s="3" t="s">
        <v>2486</v>
      </c>
      <c r="E1530" s="1"/>
      <c r="F1530" s="8" t="s">
        <v>66</v>
      </c>
    </row>
    <row r="1531" spans="1:6" x14ac:dyDescent="0.2">
      <c r="A1531" s="3">
        <v>1528</v>
      </c>
      <c r="B1531" s="3" t="s">
        <v>2487</v>
      </c>
      <c r="C1531" s="3" t="s">
        <v>2488</v>
      </c>
      <c r="D1531" s="3" t="s">
        <v>2488</v>
      </c>
      <c r="E1531" s="1"/>
      <c r="F1531" s="8" t="s">
        <v>66</v>
      </c>
    </row>
    <row r="1532" spans="1:6" x14ac:dyDescent="0.2">
      <c r="A1532" s="3">
        <v>1529</v>
      </c>
      <c r="B1532" s="3" t="s">
        <v>2489</v>
      </c>
      <c r="C1532" s="3" t="s">
        <v>2488</v>
      </c>
      <c r="D1532" s="3" t="s">
        <v>2488</v>
      </c>
      <c r="E1532" s="1"/>
      <c r="F1532" s="8" t="s">
        <v>66</v>
      </c>
    </row>
    <row r="1533" spans="1:6" x14ac:dyDescent="0.2">
      <c r="A1533" s="3">
        <v>1530</v>
      </c>
      <c r="B1533" s="3" t="s">
        <v>2490</v>
      </c>
      <c r="C1533" s="3" t="s">
        <v>2488</v>
      </c>
      <c r="D1533" s="3" t="s">
        <v>2488</v>
      </c>
      <c r="E1533" s="1"/>
      <c r="F1533" s="8" t="s">
        <v>66</v>
      </c>
    </row>
    <row r="1534" spans="1:6" x14ac:dyDescent="0.2">
      <c r="A1534" s="3">
        <v>1531</v>
      </c>
      <c r="B1534" s="3" t="s">
        <v>2491</v>
      </c>
      <c r="C1534" s="3" t="s">
        <v>2488</v>
      </c>
      <c r="D1534" s="3" t="s">
        <v>2488</v>
      </c>
      <c r="E1534" s="1"/>
      <c r="F1534" s="8" t="s">
        <v>66</v>
      </c>
    </row>
    <row r="1535" spans="1:6" x14ac:dyDescent="0.2">
      <c r="A1535" s="3">
        <v>1532</v>
      </c>
      <c r="B1535" s="3" t="s">
        <v>2492</v>
      </c>
      <c r="C1535" s="3" t="s">
        <v>2488</v>
      </c>
      <c r="D1535" s="3" t="s">
        <v>2488</v>
      </c>
      <c r="E1535" s="1"/>
      <c r="F1535" s="8" t="s">
        <v>66</v>
      </c>
    </row>
    <row r="1536" spans="1:6" x14ac:dyDescent="0.2">
      <c r="A1536" s="3">
        <v>1533</v>
      </c>
      <c r="B1536" s="3" t="s">
        <v>2493</v>
      </c>
      <c r="C1536" s="3" t="s">
        <v>2494</v>
      </c>
      <c r="D1536" s="3" t="s">
        <v>2494</v>
      </c>
      <c r="E1536" s="1"/>
      <c r="F1536" s="8" t="s">
        <v>66</v>
      </c>
    </row>
    <row r="1537" spans="1:6" x14ac:dyDescent="0.2">
      <c r="A1537" s="3">
        <v>1534</v>
      </c>
      <c r="B1537" s="3" t="s">
        <v>2495</v>
      </c>
      <c r="C1537" s="3" t="s">
        <v>2494</v>
      </c>
      <c r="D1537" s="3" t="s">
        <v>2494</v>
      </c>
      <c r="E1537" s="1"/>
      <c r="F1537" s="8" t="s">
        <v>66</v>
      </c>
    </row>
    <row r="1538" spans="1:6" x14ac:dyDescent="0.2">
      <c r="A1538" s="3">
        <v>1535</v>
      </c>
      <c r="B1538" s="3" t="s">
        <v>2496</v>
      </c>
      <c r="C1538" s="3" t="s">
        <v>2497</v>
      </c>
      <c r="D1538" s="3" t="s">
        <v>2497</v>
      </c>
      <c r="E1538" s="1"/>
      <c r="F1538" s="8" t="s">
        <v>66</v>
      </c>
    </row>
    <row r="1539" spans="1:6" x14ac:dyDescent="0.2">
      <c r="A1539" s="3">
        <v>1536</v>
      </c>
      <c r="B1539" s="3" t="s">
        <v>2498</v>
      </c>
      <c r="C1539" s="3" t="s">
        <v>2499</v>
      </c>
      <c r="D1539" s="3" t="s">
        <v>2499</v>
      </c>
      <c r="E1539" s="1"/>
      <c r="F1539" s="8" t="s">
        <v>66</v>
      </c>
    </row>
    <row r="1540" spans="1:6" x14ac:dyDescent="0.2">
      <c r="A1540" s="3">
        <v>1537</v>
      </c>
      <c r="B1540" s="3" t="s">
        <v>2500</v>
      </c>
      <c r="C1540" s="3" t="s">
        <v>2501</v>
      </c>
      <c r="D1540" s="3" t="s">
        <v>2501</v>
      </c>
      <c r="E1540" s="1"/>
      <c r="F1540" s="8" t="s">
        <v>66</v>
      </c>
    </row>
    <row r="1541" spans="1:6" x14ac:dyDescent="0.2">
      <c r="A1541" s="3">
        <v>1538</v>
      </c>
      <c r="B1541" s="3" t="s">
        <v>2502</v>
      </c>
      <c r="C1541" s="3" t="s">
        <v>2503</v>
      </c>
      <c r="D1541" s="3" t="s">
        <v>2503</v>
      </c>
      <c r="E1541" s="1"/>
      <c r="F1541" s="8" t="s">
        <v>66</v>
      </c>
    </row>
    <row r="1542" spans="1:6" x14ac:dyDescent="0.2">
      <c r="A1542" s="3">
        <v>1539</v>
      </c>
      <c r="B1542" s="3" t="s">
        <v>2504</v>
      </c>
      <c r="C1542" s="3" t="s">
        <v>2505</v>
      </c>
      <c r="D1542" s="3" t="s">
        <v>2505</v>
      </c>
      <c r="E1542" s="1"/>
      <c r="F1542" s="8" t="s">
        <v>66</v>
      </c>
    </row>
    <row r="1543" spans="1:6" x14ac:dyDescent="0.2">
      <c r="A1543" s="3">
        <v>1540</v>
      </c>
      <c r="B1543" s="3" t="s">
        <v>2506</v>
      </c>
      <c r="C1543" s="3" t="s">
        <v>2507</v>
      </c>
      <c r="D1543" s="3" t="s">
        <v>2507</v>
      </c>
      <c r="E1543" s="1"/>
      <c r="F1543" s="8" t="s">
        <v>66</v>
      </c>
    </row>
    <row r="1544" spans="1:6" x14ac:dyDescent="0.2">
      <c r="A1544" s="3">
        <v>1541</v>
      </c>
      <c r="B1544" s="3" t="s">
        <v>2508</v>
      </c>
      <c r="C1544" s="3" t="s">
        <v>2509</v>
      </c>
      <c r="D1544" s="33" t="s">
        <v>2509</v>
      </c>
      <c r="E1544" s="1"/>
      <c r="F1544" s="8" t="s">
        <v>66</v>
      </c>
    </row>
    <row r="1545" spans="1:6" x14ac:dyDescent="0.2">
      <c r="A1545" s="3">
        <v>1542</v>
      </c>
      <c r="B1545" s="3" t="s">
        <v>2510</v>
      </c>
      <c r="C1545" s="3" t="s">
        <v>2511</v>
      </c>
      <c r="D1545" s="33" t="s">
        <v>2511</v>
      </c>
      <c r="E1545" s="1"/>
      <c r="F1545" s="8" t="s">
        <v>66</v>
      </c>
    </row>
    <row r="1546" spans="1:6" x14ac:dyDescent="0.2">
      <c r="A1546" s="3">
        <v>1543</v>
      </c>
      <c r="B1546" s="3" t="s">
        <v>2512</v>
      </c>
      <c r="C1546" s="3" t="s">
        <v>2513</v>
      </c>
      <c r="D1546" s="3" t="s">
        <v>2513</v>
      </c>
      <c r="E1546" s="1"/>
      <c r="F1546" s="8" t="s">
        <v>66</v>
      </c>
    </row>
    <row r="1547" spans="1:6" x14ac:dyDescent="0.15">
      <c r="A1547" s="3">
        <v>1544</v>
      </c>
      <c r="B1547" s="3" t="s">
        <v>2514</v>
      </c>
      <c r="C1547" s="3" t="s">
        <v>2513</v>
      </c>
      <c r="D1547" s="88" t="s">
        <v>2513</v>
      </c>
      <c r="E1547" s="1"/>
      <c r="F1547" s="8" t="s">
        <v>66</v>
      </c>
    </row>
    <row r="1548" spans="1:6" x14ac:dyDescent="0.15">
      <c r="A1548" s="3">
        <v>1545</v>
      </c>
      <c r="B1548" s="3" t="s">
        <v>2515</v>
      </c>
      <c r="C1548" s="3" t="s">
        <v>2513</v>
      </c>
      <c r="D1548" s="88" t="s">
        <v>2513</v>
      </c>
      <c r="E1548" s="1"/>
      <c r="F1548" s="8" t="s">
        <v>66</v>
      </c>
    </row>
    <row r="1549" spans="1:6" x14ac:dyDescent="0.2">
      <c r="A1549" s="3">
        <v>1546</v>
      </c>
      <c r="B1549" s="3" t="s">
        <v>2516</v>
      </c>
      <c r="C1549" s="3" t="s">
        <v>2513</v>
      </c>
      <c r="D1549" s="3" t="s">
        <v>2513</v>
      </c>
      <c r="E1549" s="1"/>
      <c r="F1549" s="8" t="s">
        <v>66</v>
      </c>
    </row>
    <row r="1550" spans="1:6" x14ac:dyDescent="0.2">
      <c r="A1550" s="3">
        <v>1547</v>
      </c>
      <c r="B1550" s="3" t="s">
        <v>2517</v>
      </c>
      <c r="C1550" s="3" t="s">
        <v>2513</v>
      </c>
      <c r="D1550" s="3" t="s">
        <v>2513</v>
      </c>
      <c r="E1550" s="1"/>
      <c r="F1550" s="8" t="s">
        <v>66</v>
      </c>
    </row>
    <row r="1551" spans="1:6" x14ac:dyDescent="0.2">
      <c r="A1551" s="3">
        <v>1548</v>
      </c>
      <c r="B1551" s="3" t="s">
        <v>2518</v>
      </c>
      <c r="C1551" s="3" t="s">
        <v>2511</v>
      </c>
      <c r="D1551" s="3" t="s">
        <v>2511</v>
      </c>
      <c r="E1551" s="1"/>
      <c r="F1551" s="8" t="s">
        <v>66</v>
      </c>
    </row>
    <row r="1552" spans="1:6" x14ac:dyDescent="0.2">
      <c r="A1552" s="3">
        <v>1549</v>
      </c>
      <c r="B1552" s="3" t="s">
        <v>2519</v>
      </c>
      <c r="C1552" s="3" t="s">
        <v>2520</v>
      </c>
      <c r="D1552" s="3" t="s">
        <v>2520</v>
      </c>
      <c r="E1552" s="1"/>
      <c r="F1552" s="8" t="s">
        <v>66</v>
      </c>
    </row>
    <row r="1553" spans="1:6" x14ac:dyDescent="0.2">
      <c r="A1553" s="3">
        <v>1550</v>
      </c>
      <c r="B1553" s="3" t="s">
        <v>2521</v>
      </c>
      <c r="C1553" s="3" t="s">
        <v>2522</v>
      </c>
      <c r="D1553" s="3" t="s">
        <v>2522</v>
      </c>
      <c r="E1553" s="1"/>
      <c r="F1553" s="8"/>
    </row>
    <row r="1554" spans="1:6" x14ac:dyDescent="0.2">
      <c r="A1554" s="3">
        <v>1551</v>
      </c>
      <c r="B1554" s="3" t="s">
        <v>2523</v>
      </c>
      <c r="C1554" s="3" t="s">
        <v>2522</v>
      </c>
      <c r="D1554" s="3" t="s">
        <v>2522</v>
      </c>
      <c r="E1554" s="1"/>
      <c r="F1554" s="8" t="s">
        <v>66</v>
      </c>
    </row>
    <row r="1555" spans="1:6" x14ac:dyDescent="0.2">
      <c r="A1555" s="3">
        <v>1552</v>
      </c>
      <c r="B1555" s="3" t="s">
        <v>2524</v>
      </c>
      <c r="C1555" s="3" t="s">
        <v>2525</v>
      </c>
      <c r="D1555" s="3" t="s">
        <v>2525</v>
      </c>
      <c r="E1555" s="1"/>
      <c r="F1555" s="8" t="s">
        <v>66</v>
      </c>
    </row>
    <row r="1556" spans="1:6" x14ac:dyDescent="0.2">
      <c r="A1556" s="3">
        <v>1553</v>
      </c>
      <c r="B1556" s="3" t="s">
        <v>2526</v>
      </c>
      <c r="C1556" s="3" t="s">
        <v>2525</v>
      </c>
      <c r="D1556" s="3" t="s">
        <v>2525</v>
      </c>
      <c r="E1556" s="1"/>
      <c r="F1556" s="8" t="s">
        <v>66</v>
      </c>
    </row>
    <row r="1557" spans="1:6" x14ac:dyDescent="0.2">
      <c r="A1557" s="3">
        <v>1554</v>
      </c>
      <c r="B1557" s="3" t="s">
        <v>2526</v>
      </c>
      <c r="C1557" s="3" t="s">
        <v>2525</v>
      </c>
      <c r="D1557" s="3" t="s">
        <v>2525</v>
      </c>
      <c r="E1557" s="1"/>
      <c r="F1557" s="8" t="s">
        <v>66</v>
      </c>
    </row>
    <row r="1558" spans="1:6" x14ac:dyDescent="0.2">
      <c r="A1558" s="3">
        <v>1555</v>
      </c>
      <c r="B1558" s="3" t="s">
        <v>2527</v>
      </c>
      <c r="C1558" s="3" t="s">
        <v>2525</v>
      </c>
      <c r="D1558" s="3" t="s">
        <v>2525</v>
      </c>
      <c r="E1558" s="1"/>
      <c r="F1558" s="8" t="s">
        <v>66</v>
      </c>
    </row>
    <row r="1559" spans="1:6" x14ac:dyDescent="0.2">
      <c r="A1559" s="3">
        <v>1556</v>
      </c>
      <c r="B1559" s="3" t="s">
        <v>2528</v>
      </c>
      <c r="C1559" s="3" t="s">
        <v>2522</v>
      </c>
      <c r="D1559" s="3" t="s">
        <v>2522</v>
      </c>
      <c r="E1559" s="1"/>
      <c r="F1559" s="8" t="s">
        <v>66</v>
      </c>
    </row>
    <row r="1560" spans="1:6" x14ac:dyDescent="0.2">
      <c r="A1560" s="3">
        <v>1557</v>
      </c>
      <c r="B1560" s="3" t="s">
        <v>2529</v>
      </c>
      <c r="C1560" s="3" t="s">
        <v>2530</v>
      </c>
      <c r="D1560" s="3" t="s">
        <v>2530</v>
      </c>
      <c r="E1560" s="1"/>
      <c r="F1560" s="8" t="s">
        <v>66</v>
      </c>
    </row>
    <row r="1561" spans="1:6" x14ac:dyDescent="0.2">
      <c r="A1561" s="3">
        <v>1558</v>
      </c>
      <c r="B1561" s="3" t="s">
        <v>2531</v>
      </c>
      <c r="C1561" s="3" t="s">
        <v>2532</v>
      </c>
      <c r="D1561" s="3" t="s">
        <v>2532</v>
      </c>
      <c r="E1561" s="1"/>
      <c r="F1561" s="8" t="s">
        <v>66</v>
      </c>
    </row>
    <row r="1562" spans="1:6" x14ac:dyDescent="0.2">
      <c r="A1562" s="3">
        <v>1559</v>
      </c>
      <c r="B1562" s="3" t="s">
        <v>2533</v>
      </c>
      <c r="C1562" s="3" t="s">
        <v>2534</v>
      </c>
      <c r="D1562" s="3" t="s">
        <v>2534</v>
      </c>
      <c r="E1562" s="1"/>
      <c r="F1562" s="8" t="s">
        <v>66</v>
      </c>
    </row>
    <row r="1563" spans="1:6" x14ac:dyDescent="0.2">
      <c r="A1563" s="3">
        <v>1560</v>
      </c>
      <c r="B1563" s="3" t="s">
        <v>2535</v>
      </c>
      <c r="C1563" s="3" t="s">
        <v>2536</v>
      </c>
      <c r="D1563" s="3" t="s">
        <v>2536</v>
      </c>
      <c r="E1563" s="1"/>
      <c r="F1563" s="8" t="s">
        <v>66</v>
      </c>
    </row>
    <row r="1564" spans="1:6" x14ac:dyDescent="0.2">
      <c r="A1564" s="3">
        <v>1561</v>
      </c>
      <c r="B1564" s="3" t="s">
        <v>2537</v>
      </c>
      <c r="C1564" s="3" t="s">
        <v>2538</v>
      </c>
      <c r="D1564" s="3" t="s">
        <v>2538</v>
      </c>
      <c r="E1564" s="1"/>
      <c r="F1564" s="8" t="s">
        <v>66</v>
      </c>
    </row>
    <row r="1565" spans="1:6" x14ac:dyDescent="0.2">
      <c r="A1565" s="3">
        <v>1562</v>
      </c>
      <c r="B1565" s="3" t="s">
        <v>2539</v>
      </c>
      <c r="C1565" s="3" t="s">
        <v>2540</v>
      </c>
      <c r="D1565" s="3" t="s">
        <v>2540</v>
      </c>
      <c r="E1565" s="1"/>
      <c r="F1565" s="8" t="s">
        <v>66</v>
      </c>
    </row>
    <row r="1566" spans="1:6" x14ac:dyDescent="0.2">
      <c r="A1566" s="3">
        <v>1563</v>
      </c>
      <c r="B1566" s="3" t="s">
        <v>2541</v>
      </c>
      <c r="C1566" s="3" t="s">
        <v>2542</v>
      </c>
      <c r="D1566" s="3" t="s">
        <v>2542</v>
      </c>
      <c r="E1566" s="1"/>
      <c r="F1566" s="8" t="s">
        <v>66</v>
      </c>
    </row>
    <row r="1567" spans="1:6" x14ac:dyDescent="0.2">
      <c r="A1567" s="3">
        <v>1564</v>
      </c>
      <c r="B1567" s="3" t="s">
        <v>2543</v>
      </c>
      <c r="C1567" s="3" t="s">
        <v>2544</v>
      </c>
      <c r="D1567" s="33" t="s">
        <v>2544</v>
      </c>
      <c r="E1567" s="1"/>
      <c r="F1567" s="8" t="s">
        <v>66</v>
      </c>
    </row>
    <row r="1568" spans="1:6" x14ac:dyDescent="0.2">
      <c r="A1568" s="3">
        <v>1565</v>
      </c>
      <c r="B1568" s="3" t="s">
        <v>2545</v>
      </c>
      <c r="C1568" s="3" t="s">
        <v>2546</v>
      </c>
      <c r="D1568" s="3" t="s">
        <v>2546</v>
      </c>
      <c r="E1568" s="1"/>
      <c r="F1568" s="8" t="s">
        <v>66</v>
      </c>
    </row>
    <row r="1569" spans="1:6" x14ac:dyDescent="0.2">
      <c r="A1569" s="3">
        <v>1566</v>
      </c>
      <c r="B1569" s="3" t="s">
        <v>2547</v>
      </c>
      <c r="C1569" s="3" t="s">
        <v>2548</v>
      </c>
      <c r="D1569" s="3" t="s">
        <v>2548</v>
      </c>
      <c r="E1569" s="1"/>
      <c r="F1569" s="8" t="s">
        <v>66</v>
      </c>
    </row>
    <row r="1570" spans="1:6" x14ac:dyDescent="0.15">
      <c r="A1570" s="3">
        <v>1567</v>
      </c>
      <c r="B1570" s="3" t="s">
        <v>2549</v>
      </c>
      <c r="C1570" s="3" t="s">
        <v>2550</v>
      </c>
      <c r="D1570" s="88" t="s">
        <v>2550</v>
      </c>
      <c r="E1570" s="1"/>
      <c r="F1570" s="8" t="s">
        <v>66</v>
      </c>
    </row>
    <row r="1571" spans="1:6" x14ac:dyDescent="0.2">
      <c r="A1571" s="3">
        <v>1568</v>
      </c>
      <c r="B1571" s="3" t="s">
        <v>2551</v>
      </c>
      <c r="C1571" s="3" t="s">
        <v>2550</v>
      </c>
      <c r="D1571" s="3" t="s">
        <v>2550</v>
      </c>
      <c r="E1571" s="1"/>
      <c r="F1571" s="8" t="s">
        <v>66</v>
      </c>
    </row>
    <row r="1572" spans="1:6" x14ac:dyDescent="0.2">
      <c r="A1572" s="3">
        <v>1569</v>
      </c>
      <c r="B1572" s="3" t="s">
        <v>2552</v>
      </c>
      <c r="C1572" s="3" t="s">
        <v>2553</v>
      </c>
      <c r="D1572" s="3" t="s">
        <v>2553</v>
      </c>
      <c r="E1572" s="1"/>
      <c r="F1572" s="8" t="s">
        <v>66</v>
      </c>
    </row>
    <row r="1573" spans="1:6" x14ac:dyDescent="0.2">
      <c r="A1573" s="3">
        <v>1570</v>
      </c>
      <c r="B1573" s="3" t="s">
        <v>2554</v>
      </c>
      <c r="C1573" s="3" t="s">
        <v>2555</v>
      </c>
      <c r="D1573" s="3" t="s">
        <v>2555</v>
      </c>
      <c r="E1573" s="1"/>
      <c r="F1573" s="8" t="s">
        <v>66</v>
      </c>
    </row>
    <row r="1574" spans="1:6" x14ac:dyDescent="0.2">
      <c r="A1574" s="3">
        <v>1571</v>
      </c>
      <c r="B1574" s="3" t="s">
        <v>2556</v>
      </c>
      <c r="C1574" s="3" t="s">
        <v>2557</v>
      </c>
      <c r="D1574" s="3" t="s">
        <v>2557</v>
      </c>
      <c r="E1574" s="1"/>
      <c r="F1574" s="8" t="s">
        <v>66</v>
      </c>
    </row>
    <row r="1575" spans="1:6" x14ac:dyDescent="0.2">
      <c r="A1575" s="3">
        <v>1572</v>
      </c>
      <c r="B1575" s="3" t="s">
        <v>2558</v>
      </c>
      <c r="C1575" s="3" t="s">
        <v>2557</v>
      </c>
      <c r="D1575" s="3" t="s">
        <v>2557</v>
      </c>
      <c r="E1575" s="1"/>
      <c r="F1575" s="8" t="s">
        <v>66</v>
      </c>
    </row>
    <row r="1576" spans="1:6" x14ac:dyDescent="0.2">
      <c r="A1576" s="3">
        <v>1573</v>
      </c>
      <c r="B1576" s="3" t="s">
        <v>2559</v>
      </c>
      <c r="C1576" s="3" t="s">
        <v>2557</v>
      </c>
      <c r="D1576" s="3" t="s">
        <v>2557</v>
      </c>
      <c r="E1576" s="1"/>
      <c r="F1576" s="8" t="s">
        <v>66</v>
      </c>
    </row>
    <row r="1577" spans="1:6" x14ac:dyDescent="0.2">
      <c r="A1577" s="3">
        <v>1574</v>
      </c>
      <c r="B1577" s="3" t="s">
        <v>2560</v>
      </c>
      <c r="C1577" s="3" t="s">
        <v>2561</v>
      </c>
      <c r="D1577" s="3" t="s">
        <v>2561</v>
      </c>
      <c r="E1577" s="1"/>
      <c r="F1577" s="8" t="s">
        <v>66</v>
      </c>
    </row>
    <row r="1578" spans="1:6" x14ac:dyDescent="0.2">
      <c r="A1578" s="3">
        <v>1575</v>
      </c>
      <c r="B1578" s="3" t="s">
        <v>2562</v>
      </c>
      <c r="C1578" s="3" t="s">
        <v>2563</v>
      </c>
      <c r="D1578" s="3" t="s">
        <v>2563</v>
      </c>
      <c r="E1578" s="1"/>
      <c r="F1578" s="8" t="s">
        <v>66</v>
      </c>
    </row>
    <row r="1579" spans="1:6" x14ac:dyDescent="0.2">
      <c r="A1579" s="3">
        <v>1576</v>
      </c>
      <c r="B1579" s="3" t="s">
        <v>2564</v>
      </c>
      <c r="C1579" s="3" t="s">
        <v>2563</v>
      </c>
      <c r="D1579" s="3" t="s">
        <v>2563</v>
      </c>
      <c r="E1579" s="1"/>
      <c r="F1579" s="8" t="s">
        <v>66</v>
      </c>
    </row>
    <row r="1580" spans="1:6" x14ac:dyDescent="0.2">
      <c r="A1580" s="3">
        <v>1577</v>
      </c>
      <c r="B1580" s="3" t="s">
        <v>2565</v>
      </c>
      <c r="C1580" s="3" t="s">
        <v>2566</v>
      </c>
      <c r="D1580" s="3" t="s">
        <v>2566</v>
      </c>
      <c r="E1580" s="1"/>
      <c r="F1580" s="8" t="s">
        <v>66</v>
      </c>
    </row>
    <row r="1581" spans="1:6" x14ac:dyDescent="0.2">
      <c r="A1581" s="3">
        <v>1578</v>
      </c>
      <c r="B1581" s="3" t="s">
        <v>2567</v>
      </c>
      <c r="C1581" s="3" t="s">
        <v>2568</v>
      </c>
      <c r="D1581" s="3" t="s">
        <v>2568</v>
      </c>
      <c r="E1581" s="1"/>
      <c r="F1581" s="8" t="s">
        <v>66</v>
      </c>
    </row>
    <row r="1582" spans="1:6" x14ac:dyDescent="0.2">
      <c r="A1582" s="3">
        <v>1579</v>
      </c>
      <c r="B1582" s="3" t="s">
        <v>2569</v>
      </c>
      <c r="C1582" s="3" t="s">
        <v>2568</v>
      </c>
      <c r="D1582" s="3" t="s">
        <v>2568</v>
      </c>
      <c r="E1582" s="1"/>
      <c r="F1582" s="8" t="s">
        <v>66</v>
      </c>
    </row>
    <row r="1583" spans="1:6" x14ac:dyDescent="0.2">
      <c r="A1583" s="3">
        <v>1580</v>
      </c>
      <c r="B1583" s="3" t="s">
        <v>2570</v>
      </c>
      <c r="C1583" s="3" t="s">
        <v>2571</v>
      </c>
      <c r="D1583" s="3" t="s">
        <v>2571</v>
      </c>
      <c r="E1583" s="1"/>
      <c r="F1583" s="8" t="s">
        <v>66</v>
      </c>
    </row>
    <row r="1584" spans="1:6" x14ac:dyDescent="0.2">
      <c r="A1584" s="3">
        <v>1581</v>
      </c>
      <c r="B1584" s="3" t="s">
        <v>2572</v>
      </c>
      <c r="C1584" s="3" t="s">
        <v>2573</v>
      </c>
      <c r="D1584" s="3" t="s">
        <v>2573</v>
      </c>
      <c r="E1584" s="1"/>
      <c r="F1584" s="8" t="s">
        <v>66</v>
      </c>
    </row>
    <row r="1585" spans="1:6" x14ac:dyDescent="0.2">
      <c r="A1585" s="3">
        <v>1582</v>
      </c>
      <c r="B1585" s="3" t="s">
        <v>2574</v>
      </c>
      <c r="C1585" s="3" t="s">
        <v>2575</v>
      </c>
      <c r="D1585" s="3" t="s">
        <v>2575</v>
      </c>
      <c r="E1585" s="1"/>
      <c r="F1585" s="8" t="s">
        <v>66</v>
      </c>
    </row>
    <row r="1586" spans="1:6" x14ac:dyDescent="0.2">
      <c r="A1586" s="3">
        <v>1583</v>
      </c>
      <c r="B1586" s="3" t="s">
        <v>2576</v>
      </c>
      <c r="C1586" s="3" t="s">
        <v>2577</v>
      </c>
      <c r="D1586" s="3" t="s">
        <v>2577</v>
      </c>
      <c r="E1586" s="1"/>
      <c r="F1586" s="8" t="s">
        <v>66</v>
      </c>
    </row>
    <row r="1587" spans="1:6" x14ac:dyDescent="0.2">
      <c r="A1587" s="3">
        <v>1584</v>
      </c>
      <c r="B1587" s="3" t="s">
        <v>2578</v>
      </c>
      <c r="C1587" s="3" t="s">
        <v>2579</v>
      </c>
      <c r="D1587" s="3" t="s">
        <v>2579</v>
      </c>
      <c r="E1587" s="1"/>
      <c r="F1587" s="8" t="s">
        <v>66</v>
      </c>
    </row>
    <row r="1588" spans="1:6" x14ac:dyDescent="0.2">
      <c r="A1588" s="3">
        <v>1585</v>
      </c>
      <c r="B1588" s="3" t="s">
        <v>2580</v>
      </c>
      <c r="C1588" s="3" t="s">
        <v>2581</v>
      </c>
      <c r="D1588" s="3" t="s">
        <v>2581</v>
      </c>
      <c r="E1588" s="1"/>
      <c r="F1588" s="8" t="s">
        <v>66</v>
      </c>
    </row>
    <row r="1589" spans="1:6" x14ac:dyDescent="0.2">
      <c r="A1589" s="3">
        <v>1586</v>
      </c>
      <c r="B1589" s="3" t="s">
        <v>2582</v>
      </c>
      <c r="C1589" s="3" t="s">
        <v>2583</v>
      </c>
      <c r="D1589" s="3" t="s">
        <v>2583</v>
      </c>
      <c r="E1589" s="1"/>
      <c r="F1589" s="8" t="s">
        <v>66</v>
      </c>
    </row>
    <row r="1590" spans="1:6" x14ac:dyDescent="0.2">
      <c r="A1590" s="3">
        <v>1587</v>
      </c>
      <c r="B1590" s="3" t="s">
        <v>2584</v>
      </c>
      <c r="C1590" s="3" t="s">
        <v>2585</v>
      </c>
      <c r="D1590" s="3" t="s">
        <v>2585</v>
      </c>
      <c r="E1590" s="1"/>
      <c r="F1590" s="8" t="s">
        <v>66</v>
      </c>
    </row>
    <row r="1591" spans="1:6" x14ac:dyDescent="0.2">
      <c r="A1591" s="3">
        <v>1588</v>
      </c>
      <c r="B1591" s="3" t="s">
        <v>2586</v>
      </c>
      <c r="C1591" s="3" t="s">
        <v>2587</v>
      </c>
      <c r="D1591" s="3" t="s">
        <v>2587</v>
      </c>
      <c r="E1591" s="1"/>
      <c r="F1591" s="8" t="s">
        <v>66</v>
      </c>
    </row>
    <row r="1592" spans="1:6" x14ac:dyDescent="0.2">
      <c r="A1592" s="3">
        <v>1589</v>
      </c>
      <c r="B1592" s="3" t="s">
        <v>2588</v>
      </c>
      <c r="C1592" s="3" t="s">
        <v>2589</v>
      </c>
      <c r="D1592" s="3" t="s">
        <v>2589</v>
      </c>
      <c r="E1592" s="1"/>
      <c r="F1592" s="8" t="s">
        <v>66</v>
      </c>
    </row>
    <row r="1593" spans="1:6" x14ac:dyDescent="0.2">
      <c r="A1593" s="3">
        <v>1590</v>
      </c>
      <c r="B1593" s="3" t="s">
        <v>2590</v>
      </c>
      <c r="C1593" s="3" t="s">
        <v>2589</v>
      </c>
      <c r="D1593" s="3" t="s">
        <v>2589</v>
      </c>
      <c r="E1593" s="1"/>
      <c r="F1593" s="8" t="s">
        <v>66</v>
      </c>
    </row>
    <row r="1594" spans="1:6" x14ac:dyDescent="0.2">
      <c r="A1594" s="3">
        <v>1591</v>
      </c>
      <c r="B1594" s="3" t="s">
        <v>2591</v>
      </c>
      <c r="C1594" s="3" t="s">
        <v>2592</v>
      </c>
      <c r="D1594" s="3" t="s">
        <v>2592</v>
      </c>
      <c r="E1594" s="1"/>
      <c r="F1594" s="8" t="s">
        <v>66</v>
      </c>
    </row>
    <row r="1595" spans="1:6" x14ac:dyDescent="0.2">
      <c r="A1595" s="3">
        <v>1592</v>
      </c>
      <c r="B1595" s="3" t="s">
        <v>2593</v>
      </c>
      <c r="C1595" s="3" t="s">
        <v>2594</v>
      </c>
      <c r="D1595" s="3" t="s">
        <v>2594</v>
      </c>
      <c r="E1595" s="1"/>
      <c r="F1595" s="8" t="s">
        <v>66</v>
      </c>
    </row>
    <row r="1596" spans="1:6" x14ac:dyDescent="0.2">
      <c r="A1596" s="3">
        <v>1593</v>
      </c>
      <c r="B1596" s="3" t="s">
        <v>2595</v>
      </c>
      <c r="C1596" s="3" t="s">
        <v>2596</v>
      </c>
      <c r="D1596" s="3" t="s">
        <v>2596</v>
      </c>
      <c r="E1596" s="1"/>
      <c r="F1596" s="8" t="s">
        <v>66</v>
      </c>
    </row>
    <row r="1597" spans="1:6" x14ac:dyDescent="0.2">
      <c r="A1597" s="3">
        <v>1594</v>
      </c>
      <c r="B1597" s="3" t="s">
        <v>2597</v>
      </c>
      <c r="C1597" s="3" t="s">
        <v>2598</v>
      </c>
      <c r="D1597" s="3" t="s">
        <v>2598</v>
      </c>
      <c r="E1597" s="1"/>
      <c r="F1597" s="8" t="s">
        <v>66</v>
      </c>
    </row>
    <row r="1598" spans="1:6" x14ac:dyDescent="0.2">
      <c r="A1598" s="3">
        <v>1595</v>
      </c>
      <c r="B1598" s="3" t="s">
        <v>2599</v>
      </c>
      <c r="C1598" s="3" t="s">
        <v>2600</v>
      </c>
      <c r="D1598" s="3" t="s">
        <v>2600</v>
      </c>
      <c r="E1598" s="1"/>
      <c r="F1598" s="8" t="s">
        <v>66</v>
      </c>
    </row>
    <row r="1599" spans="1:6" x14ac:dyDescent="0.2">
      <c r="A1599" s="3">
        <v>1596</v>
      </c>
      <c r="B1599" s="3" t="s">
        <v>2601</v>
      </c>
      <c r="C1599" s="3" t="s">
        <v>2592</v>
      </c>
      <c r="D1599" s="3" t="s">
        <v>2592</v>
      </c>
      <c r="E1599" s="1"/>
      <c r="F1599" s="8" t="s">
        <v>66</v>
      </c>
    </row>
    <row r="1600" spans="1:6" x14ac:dyDescent="0.2">
      <c r="A1600" s="3">
        <v>1597</v>
      </c>
      <c r="B1600" s="3" t="s">
        <v>2602</v>
      </c>
      <c r="C1600" s="3" t="s">
        <v>2603</v>
      </c>
      <c r="D1600" s="3" t="s">
        <v>2603</v>
      </c>
      <c r="E1600" s="1"/>
      <c r="F1600" s="8" t="s">
        <v>66</v>
      </c>
    </row>
    <row r="1601" spans="1:6" x14ac:dyDescent="0.2">
      <c r="A1601" s="3">
        <v>1598</v>
      </c>
      <c r="B1601" s="3" t="s">
        <v>2604</v>
      </c>
      <c r="C1601" s="3" t="s">
        <v>2605</v>
      </c>
      <c r="D1601" s="3" t="s">
        <v>2605</v>
      </c>
      <c r="E1601" s="1"/>
      <c r="F1601" s="8" t="s">
        <v>66</v>
      </c>
    </row>
    <row r="1602" spans="1:6" x14ac:dyDescent="0.2">
      <c r="A1602" s="3">
        <v>1599</v>
      </c>
      <c r="B1602" s="3" t="s">
        <v>2606</v>
      </c>
      <c r="C1602" s="3" t="s">
        <v>2607</v>
      </c>
      <c r="D1602" s="3" t="s">
        <v>2607</v>
      </c>
      <c r="E1602" s="1"/>
      <c r="F1602" s="8" t="s">
        <v>66</v>
      </c>
    </row>
    <row r="1603" spans="1:6" x14ac:dyDescent="0.2">
      <c r="A1603" s="3">
        <v>1600</v>
      </c>
      <c r="B1603" s="3" t="s">
        <v>2608</v>
      </c>
      <c r="C1603" s="3" t="s">
        <v>2609</v>
      </c>
      <c r="D1603" s="3" t="s">
        <v>2609</v>
      </c>
      <c r="E1603" s="1"/>
      <c r="F1603" s="8" t="s">
        <v>66</v>
      </c>
    </row>
    <row r="1604" spans="1:6" x14ac:dyDescent="0.2">
      <c r="A1604" s="3">
        <v>1601</v>
      </c>
      <c r="B1604" s="3" t="s">
        <v>2610</v>
      </c>
      <c r="C1604" s="3" t="s">
        <v>2609</v>
      </c>
      <c r="D1604" s="3" t="s">
        <v>2609</v>
      </c>
      <c r="E1604" s="1"/>
      <c r="F1604" s="8" t="s">
        <v>66</v>
      </c>
    </row>
    <row r="1605" spans="1:6" x14ac:dyDescent="0.2">
      <c r="A1605" s="3">
        <v>1602</v>
      </c>
      <c r="B1605" s="3" t="s">
        <v>2611</v>
      </c>
      <c r="C1605" s="3" t="s">
        <v>2612</v>
      </c>
      <c r="D1605" s="3" t="s">
        <v>2612</v>
      </c>
      <c r="E1605" s="1"/>
      <c r="F1605" s="8" t="s">
        <v>66</v>
      </c>
    </row>
    <row r="1606" spans="1:6" x14ac:dyDescent="0.2">
      <c r="A1606" s="3">
        <v>1603</v>
      </c>
      <c r="B1606" s="3" t="s">
        <v>2613</v>
      </c>
      <c r="C1606" s="3" t="s">
        <v>2612</v>
      </c>
      <c r="D1606" s="3" t="s">
        <v>2612</v>
      </c>
      <c r="E1606" s="1"/>
      <c r="F1606" s="8" t="s">
        <v>66</v>
      </c>
    </row>
    <row r="1607" spans="1:6" x14ac:dyDescent="0.2">
      <c r="A1607" s="3">
        <v>1604</v>
      </c>
      <c r="B1607" s="3" t="s">
        <v>2614</v>
      </c>
      <c r="C1607" s="3" t="s">
        <v>2615</v>
      </c>
      <c r="D1607" s="3" t="s">
        <v>2615</v>
      </c>
      <c r="E1607" s="1"/>
      <c r="F1607" s="8" t="s">
        <v>66</v>
      </c>
    </row>
    <row r="1608" spans="1:6" x14ac:dyDescent="0.2">
      <c r="A1608" s="3">
        <v>1605</v>
      </c>
      <c r="B1608" s="3" t="s">
        <v>2616</v>
      </c>
      <c r="C1608" s="3" t="s">
        <v>2615</v>
      </c>
      <c r="D1608" s="3" t="s">
        <v>2615</v>
      </c>
      <c r="E1608" s="1"/>
      <c r="F1608" s="8" t="s">
        <v>66</v>
      </c>
    </row>
    <row r="1609" spans="1:6" x14ac:dyDescent="0.2">
      <c r="A1609" s="3">
        <v>1606</v>
      </c>
      <c r="B1609" s="3" t="s">
        <v>2617</v>
      </c>
      <c r="C1609" s="3" t="s">
        <v>2618</v>
      </c>
      <c r="D1609" s="3" t="s">
        <v>2618</v>
      </c>
      <c r="E1609" s="1"/>
      <c r="F1609" s="8" t="s">
        <v>66</v>
      </c>
    </row>
    <row r="1610" spans="1:6" x14ac:dyDescent="0.2">
      <c r="A1610" s="3">
        <v>1607</v>
      </c>
      <c r="B1610" s="3" t="s">
        <v>2619</v>
      </c>
      <c r="C1610" s="3" t="s">
        <v>2618</v>
      </c>
      <c r="D1610" s="3" t="s">
        <v>2618</v>
      </c>
      <c r="E1610" s="1"/>
      <c r="F1610" s="8" t="s">
        <v>66</v>
      </c>
    </row>
    <row r="1611" spans="1:6" x14ac:dyDescent="0.2">
      <c r="A1611" s="3">
        <v>1608</v>
      </c>
      <c r="B1611" s="3" t="s">
        <v>2620</v>
      </c>
      <c r="C1611" s="3" t="s">
        <v>2621</v>
      </c>
      <c r="D1611" s="3" t="s">
        <v>2621</v>
      </c>
      <c r="E1611" s="1"/>
      <c r="F1611" s="8" t="s">
        <v>66</v>
      </c>
    </row>
    <row r="1612" spans="1:6" x14ac:dyDescent="0.2">
      <c r="A1612" s="3">
        <v>1609</v>
      </c>
      <c r="B1612" s="3" t="s">
        <v>2622</v>
      </c>
      <c r="C1612" s="3" t="s">
        <v>2623</v>
      </c>
      <c r="D1612" s="3" t="s">
        <v>2623</v>
      </c>
      <c r="E1612" s="1"/>
      <c r="F1612" s="8" t="s">
        <v>66</v>
      </c>
    </row>
    <row r="1613" spans="1:6" x14ac:dyDescent="0.2">
      <c r="A1613" s="3">
        <v>1610</v>
      </c>
      <c r="B1613" s="3" t="s">
        <v>2624</v>
      </c>
      <c r="C1613" s="3" t="s">
        <v>2623</v>
      </c>
      <c r="D1613" s="3" t="s">
        <v>2623</v>
      </c>
      <c r="E1613" s="1"/>
      <c r="F1613" s="8" t="s">
        <v>66</v>
      </c>
    </row>
    <row r="1614" spans="1:6" x14ac:dyDescent="0.2">
      <c r="A1614" s="3">
        <v>1611</v>
      </c>
      <c r="B1614" s="3" t="s">
        <v>2625</v>
      </c>
      <c r="C1614" s="3" t="s">
        <v>2626</v>
      </c>
      <c r="D1614" s="3" t="s">
        <v>2626</v>
      </c>
      <c r="E1614" s="1"/>
      <c r="F1614" s="8" t="s">
        <v>66</v>
      </c>
    </row>
    <row r="1615" spans="1:6" x14ac:dyDescent="0.2">
      <c r="A1615" s="3">
        <v>1612</v>
      </c>
      <c r="B1615" s="3" t="s">
        <v>2627</v>
      </c>
      <c r="C1615" s="3" t="s">
        <v>2628</v>
      </c>
      <c r="D1615" s="3" t="s">
        <v>2628</v>
      </c>
      <c r="E1615" s="1"/>
      <c r="F1615" s="8" t="s">
        <v>66</v>
      </c>
    </row>
    <row r="1616" spans="1:6" x14ac:dyDescent="0.2">
      <c r="A1616" s="3">
        <v>1613</v>
      </c>
      <c r="B1616" s="3" t="s">
        <v>2629</v>
      </c>
      <c r="C1616" s="3" t="s">
        <v>2630</v>
      </c>
      <c r="D1616" s="3" t="s">
        <v>2630</v>
      </c>
      <c r="E1616" s="1"/>
      <c r="F1616" s="8" t="s">
        <v>66</v>
      </c>
    </row>
    <row r="1617" spans="1:6" x14ac:dyDescent="0.2">
      <c r="A1617" s="3">
        <v>1614</v>
      </c>
      <c r="B1617" s="3" t="s">
        <v>2631</v>
      </c>
      <c r="C1617" s="3" t="s">
        <v>2630</v>
      </c>
      <c r="D1617" s="3" t="s">
        <v>2630</v>
      </c>
      <c r="E1617" s="1"/>
      <c r="F1617" s="8" t="s">
        <v>66</v>
      </c>
    </row>
    <row r="1618" spans="1:6" x14ac:dyDescent="0.2">
      <c r="A1618" s="3">
        <v>1615</v>
      </c>
      <c r="B1618" s="3" t="s">
        <v>2632</v>
      </c>
      <c r="C1618" s="3" t="s">
        <v>2630</v>
      </c>
      <c r="D1618" s="3" t="s">
        <v>2630</v>
      </c>
      <c r="E1618" s="1"/>
      <c r="F1618" s="8" t="s">
        <v>66</v>
      </c>
    </row>
    <row r="1619" spans="1:6" x14ac:dyDescent="0.2">
      <c r="A1619" s="3">
        <v>1616</v>
      </c>
      <c r="B1619" s="3" t="s">
        <v>2633</v>
      </c>
      <c r="C1619" s="3" t="s">
        <v>2634</v>
      </c>
      <c r="D1619" s="3" t="s">
        <v>2634</v>
      </c>
      <c r="E1619" s="1"/>
      <c r="F1619" s="8" t="s">
        <v>66</v>
      </c>
    </row>
    <row r="1620" spans="1:6" x14ac:dyDescent="0.2">
      <c r="A1620" s="3">
        <v>1617</v>
      </c>
      <c r="B1620" s="3" t="s">
        <v>2635</v>
      </c>
      <c r="C1620" s="3" t="s">
        <v>2634</v>
      </c>
      <c r="D1620" s="3" t="s">
        <v>2634</v>
      </c>
      <c r="E1620" s="1"/>
      <c r="F1620" s="8" t="s">
        <v>66</v>
      </c>
    </row>
    <row r="1621" spans="1:6" x14ac:dyDescent="0.2">
      <c r="A1621" s="3">
        <v>1618</v>
      </c>
      <c r="B1621" s="3" t="s">
        <v>2636</v>
      </c>
      <c r="C1621" s="3" t="s">
        <v>2637</v>
      </c>
      <c r="D1621" s="3" t="s">
        <v>2637</v>
      </c>
      <c r="E1621" s="1"/>
      <c r="F1621" s="8" t="s">
        <v>66</v>
      </c>
    </row>
    <row r="1622" spans="1:6" x14ac:dyDescent="0.2">
      <c r="A1622" s="3">
        <v>1619</v>
      </c>
      <c r="B1622" s="3" t="s">
        <v>2638</v>
      </c>
      <c r="C1622" s="3" t="s">
        <v>2639</v>
      </c>
      <c r="D1622" s="3" t="s">
        <v>2639</v>
      </c>
      <c r="E1622" s="1"/>
      <c r="F1622" s="8" t="s">
        <v>66</v>
      </c>
    </row>
    <row r="1623" spans="1:6" x14ac:dyDescent="0.2">
      <c r="A1623" s="3">
        <v>1620</v>
      </c>
      <c r="B1623" s="3" t="s">
        <v>2640</v>
      </c>
      <c r="C1623" s="3" t="s">
        <v>2639</v>
      </c>
      <c r="D1623" s="3" t="s">
        <v>2639</v>
      </c>
      <c r="E1623" s="1"/>
      <c r="F1623" s="8" t="s">
        <v>66</v>
      </c>
    </row>
    <row r="1624" spans="1:6" x14ac:dyDescent="0.2">
      <c r="A1624" s="3">
        <v>1621</v>
      </c>
      <c r="B1624" s="3" t="s">
        <v>2641</v>
      </c>
      <c r="C1624" s="3" t="s">
        <v>2639</v>
      </c>
      <c r="D1624" s="3" t="s">
        <v>2639</v>
      </c>
      <c r="E1624" s="1"/>
      <c r="F1624" s="8" t="s">
        <v>66</v>
      </c>
    </row>
    <row r="1625" spans="1:6" x14ac:dyDescent="0.2">
      <c r="A1625" s="3">
        <v>1622</v>
      </c>
      <c r="B1625" s="3" t="s">
        <v>2642</v>
      </c>
      <c r="C1625" s="3" t="s">
        <v>2643</v>
      </c>
      <c r="D1625" s="3" t="s">
        <v>2643</v>
      </c>
      <c r="E1625" s="1"/>
      <c r="F1625" s="8" t="s">
        <v>66</v>
      </c>
    </row>
    <row r="1626" spans="1:6" x14ac:dyDescent="0.2">
      <c r="A1626" s="3">
        <v>1623</v>
      </c>
      <c r="B1626" s="3" t="s">
        <v>2644</v>
      </c>
      <c r="C1626" s="3" t="s">
        <v>2643</v>
      </c>
      <c r="D1626" s="3" t="s">
        <v>2643</v>
      </c>
      <c r="E1626" s="1"/>
      <c r="F1626" s="8" t="s">
        <v>66</v>
      </c>
    </row>
    <row r="1627" spans="1:6" x14ac:dyDescent="0.2">
      <c r="A1627" s="3">
        <v>1624</v>
      </c>
      <c r="B1627" s="3" t="s">
        <v>2645</v>
      </c>
      <c r="C1627" s="3" t="s">
        <v>2646</v>
      </c>
      <c r="D1627" s="3" t="s">
        <v>2646</v>
      </c>
      <c r="E1627" s="1"/>
      <c r="F1627" s="8" t="s">
        <v>66</v>
      </c>
    </row>
    <row r="1628" spans="1:6" x14ac:dyDescent="0.2">
      <c r="A1628" s="3">
        <v>1625</v>
      </c>
      <c r="B1628" s="3" t="s">
        <v>2647</v>
      </c>
      <c r="C1628" s="3" t="s">
        <v>2648</v>
      </c>
      <c r="D1628" s="3" t="s">
        <v>2648</v>
      </c>
      <c r="E1628" s="1"/>
      <c r="F1628" s="8" t="s">
        <v>66</v>
      </c>
    </row>
    <row r="1629" spans="1:6" x14ac:dyDescent="0.2">
      <c r="A1629" s="3">
        <v>1626</v>
      </c>
      <c r="B1629" s="3" t="s">
        <v>2649</v>
      </c>
      <c r="C1629" s="3" t="s">
        <v>2650</v>
      </c>
      <c r="D1629" s="3" t="s">
        <v>2650</v>
      </c>
      <c r="E1629" s="1"/>
      <c r="F1629" s="8" t="s">
        <v>66</v>
      </c>
    </row>
    <row r="1630" spans="1:6" x14ac:dyDescent="0.2">
      <c r="A1630" s="3">
        <v>1627</v>
      </c>
      <c r="B1630" s="3" t="s">
        <v>2651</v>
      </c>
      <c r="C1630" s="3" t="s">
        <v>2652</v>
      </c>
      <c r="D1630" s="3" t="s">
        <v>2652</v>
      </c>
      <c r="E1630" s="1"/>
      <c r="F1630" s="8" t="s">
        <v>66</v>
      </c>
    </row>
    <row r="1631" spans="1:6" x14ac:dyDescent="0.2">
      <c r="A1631" s="3">
        <v>1628</v>
      </c>
      <c r="B1631" s="3" t="s">
        <v>2653</v>
      </c>
      <c r="C1631" s="3" t="s">
        <v>2654</v>
      </c>
      <c r="D1631" s="3" t="s">
        <v>2654</v>
      </c>
      <c r="E1631" s="1"/>
      <c r="F1631" s="8" t="s">
        <v>66</v>
      </c>
    </row>
    <row r="1632" spans="1:6" x14ac:dyDescent="0.2">
      <c r="A1632" s="3">
        <v>1629</v>
      </c>
      <c r="B1632" s="3" t="s">
        <v>2655</v>
      </c>
      <c r="C1632" s="3" t="s">
        <v>2656</v>
      </c>
      <c r="D1632" s="3" t="s">
        <v>2656</v>
      </c>
      <c r="E1632" s="1"/>
      <c r="F1632" s="8" t="s">
        <v>66</v>
      </c>
    </row>
    <row r="1633" spans="1:6" x14ac:dyDescent="0.2">
      <c r="A1633" s="3">
        <v>1630</v>
      </c>
      <c r="B1633" s="3" t="s">
        <v>2657</v>
      </c>
      <c r="C1633" s="3" t="s">
        <v>2656</v>
      </c>
      <c r="D1633" s="3" t="s">
        <v>2656</v>
      </c>
      <c r="E1633" s="1"/>
      <c r="F1633" s="8" t="s">
        <v>66</v>
      </c>
    </row>
    <row r="1634" spans="1:6" x14ac:dyDescent="0.2">
      <c r="A1634" s="3">
        <v>1631</v>
      </c>
      <c r="B1634" s="3" t="s">
        <v>2658</v>
      </c>
      <c r="C1634" s="3" t="s">
        <v>2659</v>
      </c>
      <c r="D1634" s="3" t="s">
        <v>2659</v>
      </c>
      <c r="E1634" s="1"/>
      <c r="F1634" s="8" t="s">
        <v>66</v>
      </c>
    </row>
    <row r="1635" spans="1:6" x14ac:dyDescent="0.2">
      <c r="A1635" s="3">
        <v>1632</v>
      </c>
      <c r="B1635" s="3" t="s">
        <v>2660</v>
      </c>
      <c r="C1635" s="3" t="s">
        <v>2659</v>
      </c>
      <c r="D1635" s="3" t="s">
        <v>2659</v>
      </c>
      <c r="E1635" s="1"/>
      <c r="F1635" s="8" t="s">
        <v>66</v>
      </c>
    </row>
    <row r="1636" spans="1:6" x14ac:dyDescent="0.2">
      <c r="A1636" s="3">
        <v>1633</v>
      </c>
      <c r="B1636" s="3" t="s">
        <v>2661</v>
      </c>
      <c r="C1636" s="3" t="s">
        <v>2662</v>
      </c>
      <c r="D1636" s="3" t="s">
        <v>2662</v>
      </c>
      <c r="E1636" s="1"/>
      <c r="F1636" s="8" t="s">
        <v>66</v>
      </c>
    </row>
    <row r="1637" spans="1:6" x14ac:dyDescent="0.2">
      <c r="A1637" s="3">
        <v>1634</v>
      </c>
      <c r="B1637" s="3" t="s">
        <v>2663</v>
      </c>
      <c r="C1637" s="3" t="s">
        <v>2664</v>
      </c>
      <c r="D1637" s="3" t="s">
        <v>2664</v>
      </c>
      <c r="E1637" s="1"/>
      <c r="F1637" s="8" t="s">
        <v>66</v>
      </c>
    </row>
    <row r="1638" spans="1:6" x14ac:dyDescent="0.2">
      <c r="A1638" s="3">
        <v>1635</v>
      </c>
      <c r="B1638" s="3" t="s">
        <v>2665</v>
      </c>
      <c r="C1638" s="3" t="s">
        <v>2664</v>
      </c>
      <c r="D1638" s="3" t="s">
        <v>2664</v>
      </c>
      <c r="E1638" s="1"/>
      <c r="F1638" s="8" t="s">
        <v>66</v>
      </c>
    </row>
    <row r="1639" spans="1:6" x14ac:dyDescent="0.2">
      <c r="A1639" s="3">
        <v>1636</v>
      </c>
      <c r="B1639" s="3" t="s">
        <v>2666</v>
      </c>
      <c r="C1639" s="3" t="s">
        <v>2667</v>
      </c>
      <c r="D1639" s="3" t="s">
        <v>2667</v>
      </c>
      <c r="E1639" s="1"/>
      <c r="F1639" s="8" t="s">
        <v>66</v>
      </c>
    </row>
    <row r="1640" spans="1:6" x14ac:dyDescent="0.2">
      <c r="A1640" s="3">
        <v>1637</v>
      </c>
      <c r="B1640" s="3" t="s">
        <v>2668</v>
      </c>
      <c r="C1640" s="3" t="s">
        <v>2667</v>
      </c>
      <c r="D1640" s="3" t="s">
        <v>2667</v>
      </c>
      <c r="E1640" s="1"/>
      <c r="F1640" s="8" t="s">
        <v>66</v>
      </c>
    </row>
    <row r="1641" spans="1:6" x14ac:dyDescent="0.2">
      <c r="A1641" s="3">
        <v>1638</v>
      </c>
      <c r="B1641" s="3" t="s">
        <v>2669</v>
      </c>
      <c r="C1641" s="3" t="s">
        <v>2670</v>
      </c>
      <c r="D1641" s="3" t="s">
        <v>2670</v>
      </c>
      <c r="E1641" s="1"/>
      <c r="F1641" s="8" t="s">
        <v>66</v>
      </c>
    </row>
    <row r="1642" spans="1:6" x14ac:dyDescent="0.2">
      <c r="A1642" s="3">
        <v>1639</v>
      </c>
      <c r="B1642" s="3" t="s">
        <v>2671</v>
      </c>
      <c r="C1642" s="3" t="s">
        <v>2672</v>
      </c>
      <c r="D1642" s="3" t="s">
        <v>2672</v>
      </c>
      <c r="E1642" s="1"/>
      <c r="F1642" s="8" t="s">
        <v>66</v>
      </c>
    </row>
    <row r="1643" spans="1:6" x14ac:dyDescent="0.2">
      <c r="A1643" s="3">
        <v>1640</v>
      </c>
      <c r="B1643" s="3" t="s">
        <v>2673</v>
      </c>
      <c r="C1643" s="3" t="s">
        <v>2672</v>
      </c>
      <c r="D1643" s="3" t="s">
        <v>2672</v>
      </c>
      <c r="E1643" s="1"/>
      <c r="F1643" s="8" t="s">
        <v>66</v>
      </c>
    </row>
    <row r="1644" spans="1:6" x14ac:dyDescent="0.2">
      <c r="A1644" s="3">
        <v>1641</v>
      </c>
      <c r="B1644" s="3" t="s">
        <v>2674</v>
      </c>
      <c r="C1644" s="3" t="s">
        <v>2675</v>
      </c>
      <c r="D1644" s="3" t="s">
        <v>2675</v>
      </c>
      <c r="E1644" s="1"/>
      <c r="F1644" s="8" t="s">
        <v>66</v>
      </c>
    </row>
    <row r="1645" spans="1:6" x14ac:dyDescent="0.2">
      <c r="A1645" s="3">
        <v>1642</v>
      </c>
      <c r="B1645" s="3" t="s">
        <v>2676</v>
      </c>
      <c r="C1645" s="3" t="s">
        <v>2675</v>
      </c>
      <c r="D1645" s="3" t="s">
        <v>2675</v>
      </c>
      <c r="E1645" s="1"/>
      <c r="F1645" s="8" t="s">
        <v>66</v>
      </c>
    </row>
    <row r="1646" spans="1:6" x14ac:dyDescent="0.2">
      <c r="A1646" s="3">
        <v>1643</v>
      </c>
      <c r="B1646" s="3" t="s">
        <v>2677</v>
      </c>
      <c r="C1646" s="3" t="s">
        <v>2677</v>
      </c>
      <c r="D1646" s="3" t="s">
        <v>2677</v>
      </c>
      <c r="E1646" s="1" t="s">
        <v>2678</v>
      </c>
      <c r="F1646" s="8" t="s">
        <v>66</v>
      </c>
    </row>
    <row r="1647" spans="1:6" x14ac:dyDescent="0.2">
      <c r="A1647" s="3">
        <v>1644</v>
      </c>
      <c r="B1647" s="3" t="s">
        <v>2679</v>
      </c>
      <c r="C1647" s="3" t="s">
        <v>2680</v>
      </c>
      <c r="D1647" s="3" t="s">
        <v>2680</v>
      </c>
      <c r="E1647" s="1"/>
      <c r="F1647" s="8" t="s">
        <v>66</v>
      </c>
    </row>
    <row r="1648" spans="1:6" x14ac:dyDescent="0.2">
      <c r="A1648" s="3">
        <v>1645</v>
      </c>
      <c r="B1648" s="3" t="s">
        <v>2681</v>
      </c>
      <c r="C1648" s="3" t="s">
        <v>2682</v>
      </c>
      <c r="D1648" s="3" t="s">
        <v>2682</v>
      </c>
      <c r="E1648" s="1"/>
      <c r="F1648" s="8" t="s">
        <v>66</v>
      </c>
    </row>
    <row r="1649" spans="1:6" x14ac:dyDescent="0.2">
      <c r="A1649" s="3">
        <v>1646</v>
      </c>
      <c r="B1649" s="3" t="s">
        <v>2683</v>
      </c>
      <c r="C1649" s="3" t="s">
        <v>2684</v>
      </c>
      <c r="D1649" s="3" t="s">
        <v>2684</v>
      </c>
      <c r="E1649" s="1"/>
      <c r="F1649" s="8" t="s">
        <v>66</v>
      </c>
    </row>
    <row r="1650" spans="1:6" x14ac:dyDescent="0.2">
      <c r="A1650" s="3">
        <v>1647</v>
      </c>
      <c r="B1650" s="3" t="s">
        <v>2685</v>
      </c>
      <c r="C1650" s="3" t="s">
        <v>2686</v>
      </c>
      <c r="D1650" s="3" t="s">
        <v>2686</v>
      </c>
      <c r="E1650" s="1"/>
      <c r="F1650" s="8" t="s">
        <v>66</v>
      </c>
    </row>
    <row r="1651" spans="1:6" x14ac:dyDescent="0.2">
      <c r="A1651" s="3">
        <v>1648</v>
      </c>
      <c r="B1651" s="3" t="s">
        <v>2687</v>
      </c>
      <c r="C1651" s="3" t="s">
        <v>2688</v>
      </c>
      <c r="D1651" s="3" t="s">
        <v>2688</v>
      </c>
      <c r="E1651" s="1"/>
      <c r="F1651" s="8" t="s">
        <v>66</v>
      </c>
    </row>
    <row r="1652" spans="1:6" x14ac:dyDescent="0.2">
      <c r="A1652" s="3">
        <v>1649</v>
      </c>
      <c r="B1652" s="3" t="s">
        <v>2689</v>
      </c>
      <c r="C1652" s="3" t="s">
        <v>2688</v>
      </c>
      <c r="D1652" s="3" t="s">
        <v>2688</v>
      </c>
      <c r="E1652" s="1"/>
      <c r="F1652" s="8" t="s">
        <v>66</v>
      </c>
    </row>
    <row r="1653" spans="1:6" x14ac:dyDescent="0.2">
      <c r="A1653" s="3">
        <v>1650</v>
      </c>
      <c r="B1653" s="3" t="s">
        <v>2690</v>
      </c>
      <c r="C1653" s="3" t="s">
        <v>2688</v>
      </c>
      <c r="D1653" s="3" t="s">
        <v>2688</v>
      </c>
      <c r="E1653" s="1"/>
      <c r="F1653" s="8" t="s">
        <v>66</v>
      </c>
    </row>
    <row r="1654" spans="1:6" x14ac:dyDescent="0.2">
      <c r="A1654" s="3">
        <v>1651</v>
      </c>
      <c r="B1654" s="3" t="s">
        <v>2691</v>
      </c>
      <c r="C1654" s="3" t="s">
        <v>2688</v>
      </c>
      <c r="D1654" s="3" t="s">
        <v>2688</v>
      </c>
      <c r="E1654" s="1"/>
      <c r="F1654" s="8" t="s">
        <v>66</v>
      </c>
    </row>
    <row r="1655" spans="1:6" x14ac:dyDescent="0.2">
      <c r="A1655" s="3">
        <v>1652</v>
      </c>
      <c r="B1655" s="3" t="s">
        <v>2692</v>
      </c>
      <c r="C1655" s="3" t="s">
        <v>2693</v>
      </c>
      <c r="D1655" s="3" t="s">
        <v>2693</v>
      </c>
      <c r="E1655" s="1"/>
      <c r="F1655" s="8" t="s">
        <v>66</v>
      </c>
    </row>
    <row r="1656" spans="1:6" x14ac:dyDescent="0.2">
      <c r="A1656" s="3">
        <v>1653</v>
      </c>
      <c r="B1656" s="3" t="s">
        <v>2694</v>
      </c>
      <c r="C1656" s="3" t="s">
        <v>2695</v>
      </c>
      <c r="D1656" s="3" t="s">
        <v>2695</v>
      </c>
      <c r="E1656" s="1"/>
      <c r="F1656" s="8" t="s">
        <v>66</v>
      </c>
    </row>
    <row r="1657" spans="1:6" x14ac:dyDescent="0.2">
      <c r="A1657" s="3">
        <v>1654</v>
      </c>
      <c r="B1657" s="3" t="s">
        <v>2696</v>
      </c>
      <c r="C1657" s="3" t="s">
        <v>2695</v>
      </c>
      <c r="D1657" s="3" t="s">
        <v>2695</v>
      </c>
      <c r="E1657" s="1"/>
      <c r="F1657" s="8" t="s">
        <v>66</v>
      </c>
    </row>
    <row r="1658" spans="1:6" x14ac:dyDescent="0.2">
      <c r="A1658" s="3">
        <v>1655</v>
      </c>
      <c r="B1658" s="3" t="s">
        <v>2697</v>
      </c>
      <c r="C1658" s="3" t="s">
        <v>2698</v>
      </c>
      <c r="D1658" s="3" t="s">
        <v>2698</v>
      </c>
      <c r="E1658" s="1"/>
      <c r="F1658" s="8" t="s">
        <v>66</v>
      </c>
    </row>
    <row r="1659" spans="1:6" x14ac:dyDescent="0.2">
      <c r="A1659" s="3">
        <v>1656</v>
      </c>
      <c r="B1659" s="3" t="s">
        <v>2699</v>
      </c>
      <c r="C1659" s="3" t="s">
        <v>2700</v>
      </c>
      <c r="D1659" s="3" t="s">
        <v>2700</v>
      </c>
      <c r="E1659" s="1"/>
      <c r="F1659" s="8" t="s">
        <v>66</v>
      </c>
    </row>
    <row r="1660" spans="1:6" x14ac:dyDescent="0.2">
      <c r="A1660" s="3">
        <v>1657</v>
      </c>
      <c r="B1660" s="3" t="s">
        <v>2701</v>
      </c>
      <c r="C1660" s="3" t="s">
        <v>2700</v>
      </c>
      <c r="D1660" s="3" t="s">
        <v>2700</v>
      </c>
      <c r="E1660" s="1"/>
      <c r="F1660" s="8" t="s">
        <v>66</v>
      </c>
    </row>
    <row r="1661" spans="1:6" x14ac:dyDescent="0.2">
      <c r="A1661" s="3">
        <v>1658</v>
      </c>
      <c r="B1661" s="3" t="s">
        <v>2702</v>
      </c>
      <c r="C1661" s="3" t="s">
        <v>2700</v>
      </c>
      <c r="D1661" s="3" t="s">
        <v>2700</v>
      </c>
      <c r="E1661" s="1"/>
      <c r="F1661" s="8" t="s">
        <v>66</v>
      </c>
    </row>
    <row r="1662" spans="1:6" x14ac:dyDescent="0.2">
      <c r="A1662" s="3">
        <v>1659</v>
      </c>
      <c r="B1662" s="3" t="s">
        <v>2703</v>
      </c>
      <c r="C1662" s="3" t="s">
        <v>2704</v>
      </c>
      <c r="D1662" s="3" t="s">
        <v>2704</v>
      </c>
      <c r="E1662" s="1"/>
      <c r="F1662" s="8" t="s">
        <v>66</v>
      </c>
    </row>
    <row r="1663" spans="1:6" x14ac:dyDescent="0.2">
      <c r="A1663" s="3">
        <v>1660</v>
      </c>
      <c r="B1663" s="3" t="s">
        <v>2705</v>
      </c>
      <c r="C1663" s="3" t="s">
        <v>2704</v>
      </c>
      <c r="D1663" s="3" t="s">
        <v>2704</v>
      </c>
      <c r="E1663" s="1"/>
      <c r="F1663" s="8" t="s">
        <v>66</v>
      </c>
    </row>
    <row r="1664" spans="1:6" x14ac:dyDescent="0.2">
      <c r="A1664" s="3">
        <v>1661</v>
      </c>
      <c r="B1664" s="3" t="s">
        <v>2706</v>
      </c>
      <c r="C1664" s="3" t="s">
        <v>2707</v>
      </c>
      <c r="D1664" s="3" t="s">
        <v>2707</v>
      </c>
      <c r="E1664" s="1"/>
      <c r="F1664" s="8" t="s">
        <v>66</v>
      </c>
    </row>
    <row r="1665" spans="1:6" x14ac:dyDescent="0.2">
      <c r="A1665" s="3">
        <v>1662</v>
      </c>
      <c r="B1665" s="3" t="s">
        <v>2708</v>
      </c>
      <c r="C1665" s="3" t="s">
        <v>2709</v>
      </c>
      <c r="D1665" s="3" t="s">
        <v>2709</v>
      </c>
      <c r="E1665" s="1"/>
      <c r="F1665" s="8" t="s">
        <v>66</v>
      </c>
    </row>
    <row r="1666" spans="1:6" x14ac:dyDescent="0.2">
      <c r="A1666" s="3">
        <v>1663</v>
      </c>
      <c r="B1666" s="3" t="s">
        <v>2710</v>
      </c>
      <c r="C1666" s="3" t="s">
        <v>2709</v>
      </c>
      <c r="D1666" s="3" t="s">
        <v>2709</v>
      </c>
      <c r="E1666" s="1"/>
      <c r="F1666" s="8" t="s">
        <v>66</v>
      </c>
    </row>
    <row r="1667" spans="1:6" x14ac:dyDescent="0.2">
      <c r="A1667" s="3">
        <v>1664</v>
      </c>
      <c r="B1667" s="3" t="s">
        <v>2711</v>
      </c>
      <c r="C1667" s="3" t="s">
        <v>2712</v>
      </c>
      <c r="D1667" s="3" t="s">
        <v>2712</v>
      </c>
      <c r="E1667" s="3"/>
      <c r="F1667" s="8" t="s">
        <v>66</v>
      </c>
    </row>
    <row r="1668" spans="1:6" x14ac:dyDescent="0.2">
      <c r="A1668" s="3">
        <v>1665</v>
      </c>
      <c r="B1668" s="3" t="s">
        <v>2713</v>
      </c>
      <c r="C1668" s="3" t="s">
        <v>2714</v>
      </c>
      <c r="D1668" s="3" t="s">
        <v>2714</v>
      </c>
      <c r="E1668" s="1"/>
      <c r="F1668" s="8" t="s">
        <v>66</v>
      </c>
    </row>
    <row r="1669" spans="1:6" x14ac:dyDescent="0.2">
      <c r="A1669" s="3">
        <v>1666</v>
      </c>
      <c r="B1669" s="3" t="s">
        <v>2715</v>
      </c>
      <c r="C1669" s="3" t="s">
        <v>2715</v>
      </c>
      <c r="D1669" s="3" t="s">
        <v>2715</v>
      </c>
      <c r="E1669" s="1" t="s">
        <v>2716</v>
      </c>
      <c r="F1669" s="8" t="s">
        <v>66</v>
      </c>
    </row>
    <row r="1670" spans="1:6" x14ac:dyDescent="0.2">
      <c r="A1670" s="3">
        <v>1667</v>
      </c>
      <c r="B1670" s="3" t="s">
        <v>2717</v>
      </c>
      <c r="C1670" s="3" t="s">
        <v>2718</v>
      </c>
      <c r="D1670" s="3" t="s">
        <v>2718</v>
      </c>
      <c r="E1670" s="3"/>
      <c r="F1670" s="8" t="s">
        <v>66</v>
      </c>
    </row>
    <row r="1671" spans="1:6" x14ac:dyDescent="0.2">
      <c r="A1671" s="3">
        <v>1668</v>
      </c>
      <c r="B1671" s="3" t="s">
        <v>2719</v>
      </c>
      <c r="C1671" s="3" t="s">
        <v>2718</v>
      </c>
      <c r="D1671" s="3" t="s">
        <v>2718</v>
      </c>
      <c r="E1671" s="1"/>
      <c r="F1671" s="8" t="s">
        <v>66</v>
      </c>
    </row>
    <row r="1672" spans="1:6" x14ac:dyDescent="0.2">
      <c r="A1672" s="3">
        <v>1669</v>
      </c>
      <c r="B1672" s="3" t="s">
        <v>2720</v>
      </c>
      <c r="C1672" s="3" t="s">
        <v>2721</v>
      </c>
      <c r="D1672" s="3" t="s">
        <v>2721</v>
      </c>
      <c r="E1672" s="1"/>
      <c r="F1672" s="8" t="s">
        <v>66</v>
      </c>
    </row>
    <row r="1673" spans="1:6" x14ac:dyDescent="0.2">
      <c r="A1673" s="3">
        <v>1670</v>
      </c>
      <c r="B1673" s="3" t="s">
        <v>2722</v>
      </c>
      <c r="C1673" s="3" t="s">
        <v>2721</v>
      </c>
      <c r="D1673" s="3" t="s">
        <v>2721</v>
      </c>
      <c r="E1673" s="1"/>
      <c r="F1673" s="8" t="s">
        <v>66</v>
      </c>
    </row>
    <row r="1674" spans="1:6" x14ac:dyDescent="0.2">
      <c r="A1674" s="3">
        <v>1671</v>
      </c>
      <c r="B1674" s="3" t="s">
        <v>2723</v>
      </c>
      <c r="C1674" s="3" t="s">
        <v>2721</v>
      </c>
      <c r="D1674" s="3" t="s">
        <v>2721</v>
      </c>
      <c r="E1674" s="1"/>
      <c r="F1674" s="8" t="s">
        <v>66</v>
      </c>
    </row>
    <row r="1675" spans="1:6" x14ac:dyDescent="0.2">
      <c r="A1675" s="3">
        <v>1672</v>
      </c>
      <c r="B1675" s="3" t="s">
        <v>2724</v>
      </c>
      <c r="C1675" s="3" t="s">
        <v>2725</v>
      </c>
      <c r="D1675" s="3" t="s">
        <v>2725</v>
      </c>
      <c r="E1675" s="1"/>
      <c r="F1675" s="8" t="s">
        <v>66</v>
      </c>
    </row>
    <row r="1676" spans="1:6" x14ac:dyDescent="0.2">
      <c r="A1676" s="3">
        <v>1673</v>
      </c>
      <c r="B1676" s="3" t="s">
        <v>2726</v>
      </c>
      <c r="C1676" s="3" t="s">
        <v>2725</v>
      </c>
      <c r="D1676" s="3" t="s">
        <v>2725</v>
      </c>
      <c r="E1676" s="1"/>
      <c r="F1676" s="8" t="s">
        <v>66</v>
      </c>
    </row>
    <row r="1677" spans="1:6" x14ac:dyDescent="0.2">
      <c r="A1677" s="3">
        <v>1674</v>
      </c>
      <c r="B1677" s="3" t="s">
        <v>2727</v>
      </c>
      <c r="C1677" s="3" t="s">
        <v>2725</v>
      </c>
      <c r="D1677" s="3" t="s">
        <v>2725</v>
      </c>
      <c r="E1677" s="1"/>
      <c r="F1677" s="8" t="s">
        <v>66</v>
      </c>
    </row>
    <row r="1678" spans="1:6" x14ac:dyDescent="0.2">
      <c r="A1678" s="3">
        <v>1675</v>
      </c>
      <c r="B1678" s="3" t="s">
        <v>2728</v>
      </c>
      <c r="C1678" s="3" t="s">
        <v>2725</v>
      </c>
      <c r="D1678" s="3" t="s">
        <v>2725</v>
      </c>
      <c r="E1678" s="1"/>
      <c r="F1678" s="8" t="s">
        <v>66</v>
      </c>
    </row>
    <row r="1679" spans="1:6" x14ac:dyDescent="0.2">
      <c r="A1679" s="3">
        <v>1676</v>
      </c>
      <c r="B1679" s="3" t="s">
        <v>2729</v>
      </c>
      <c r="C1679" s="3" t="s">
        <v>2725</v>
      </c>
      <c r="D1679" s="3" t="s">
        <v>2725</v>
      </c>
      <c r="E1679" s="1"/>
      <c r="F1679" s="8" t="s">
        <v>66</v>
      </c>
    </row>
    <row r="1680" spans="1:6" x14ac:dyDescent="0.2">
      <c r="A1680" s="3">
        <v>1677</v>
      </c>
      <c r="B1680" s="3" t="s">
        <v>2730</v>
      </c>
      <c r="C1680" s="3" t="s">
        <v>2725</v>
      </c>
      <c r="D1680" s="3" t="s">
        <v>2725</v>
      </c>
      <c r="E1680" s="1"/>
      <c r="F1680" s="8" t="s">
        <v>66</v>
      </c>
    </row>
    <row r="1681" spans="1:6" x14ac:dyDescent="0.2">
      <c r="A1681" s="3">
        <v>1678</v>
      </c>
      <c r="B1681" s="3" t="s">
        <v>2731</v>
      </c>
      <c r="C1681" s="3" t="s">
        <v>2725</v>
      </c>
      <c r="D1681" s="3" t="s">
        <v>2725</v>
      </c>
      <c r="E1681" s="1"/>
      <c r="F1681" s="8" t="s">
        <v>66</v>
      </c>
    </row>
    <row r="1682" spans="1:6" x14ac:dyDescent="0.2">
      <c r="A1682" s="3">
        <v>1679</v>
      </c>
      <c r="B1682" s="3" t="s">
        <v>2732</v>
      </c>
      <c r="C1682" s="3" t="s">
        <v>2725</v>
      </c>
      <c r="D1682" s="3" t="s">
        <v>2725</v>
      </c>
      <c r="E1682" s="1"/>
      <c r="F1682" s="8" t="s">
        <v>66</v>
      </c>
    </row>
    <row r="1683" spans="1:6" x14ac:dyDescent="0.2">
      <c r="A1683" s="3">
        <v>1680</v>
      </c>
      <c r="B1683" s="3" t="s">
        <v>2733</v>
      </c>
      <c r="C1683" s="3" t="s">
        <v>2725</v>
      </c>
      <c r="D1683" s="3" t="s">
        <v>2725</v>
      </c>
      <c r="E1683" s="1"/>
      <c r="F1683" s="8" t="s">
        <v>66</v>
      </c>
    </row>
    <row r="1684" spans="1:6" x14ac:dyDescent="0.2">
      <c r="A1684" s="3">
        <v>1681</v>
      </c>
      <c r="B1684" s="3" t="s">
        <v>2734</v>
      </c>
      <c r="C1684" s="3" t="s">
        <v>2735</v>
      </c>
      <c r="D1684" s="3" t="s">
        <v>2735</v>
      </c>
      <c r="E1684" s="1"/>
      <c r="F1684" s="8" t="s">
        <v>66</v>
      </c>
    </row>
    <row r="1685" spans="1:6" x14ac:dyDescent="0.2">
      <c r="A1685" s="3">
        <v>1682</v>
      </c>
      <c r="B1685" s="3" t="s">
        <v>2736</v>
      </c>
      <c r="C1685" s="3" t="s">
        <v>2736</v>
      </c>
      <c r="D1685" s="3" t="s">
        <v>2736</v>
      </c>
      <c r="E1685" s="1" t="s">
        <v>2737</v>
      </c>
      <c r="F1685" s="8" t="s">
        <v>66</v>
      </c>
    </row>
    <row r="1686" spans="1:6" x14ac:dyDescent="0.2">
      <c r="A1686" s="3">
        <v>1683</v>
      </c>
      <c r="B1686" s="3" t="s">
        <v>2738</v>
      </c>
      <c r="C1686" s="3" t="s">
        <v>2739</v>
      </c>
      <c r="D1686" s="3" t="s">
        <v>2739</v>
      </c>
      <c r="E1686" s="1"/>
      <c r="F1686" s="8" t="s">
        <v>66</v>
      </c>
    </row>
    <row r="1687" spans="1:6" x14ac:dyDescent="0.2">
      <c r="A1687" s="3">
        <v>1684</v>
      </c>
      <c r="B1687" s="3" t="s">
        <v>2740</v>
      </c>
      <c r="C1687" s="3" t="s">
        <v>2741</v>
      </c>
      <c r="D1687" s="3" t="s">
        <v>2741</v>
      </c>
      <c r="E1687" s="1"/>
      <c r="F1687" s="8" t="s">
        <v>66</v>
      </c>
    </row>
    <row r="1688" spans="1:6" x14ac:dyDescent="0.2">
      <c r="A1688" s="3">
        <v>1685</v>
      </c>
      <c r="B1688" s="3" t="s">
        <v>2742</v>
      </c>
      <c r="C1688" s="3" t="s">
        <v>2741</v>
      </c>
      <c r="D1688" s="3" t="s">
        <v>2741</v>
      </c>
      <c r="E1688" s="1"/>
      <c r="F1688" s="8" t="s">
        <v>66</v>
      </c>
    </row>
    <row r="1689" spans="1:6" x14ac:dyDescent="0.2">
      <c r="A1689" s="3">
        <v>1686</v>
      </c>
      <c r="B1689" s="3" t="s">
        <v>2743</v>
      </c>
      <c r="C1689" s="3" t="s">
        <v>2741</v>
      </c>
      <c r="D1689" s="3" t="s">
        <v>2741</v>
      </c>
      <c r="E1689" s="1"/>
      <c r="F1689" s="8" t="s">
        <v>66</v>
      </c>
    </row>
    <row r="1690" spans="1:6" x14ac:dyDescent="0.2">
      <c r="A1690" s="3">
        <v>1687</v>
      </c>
      <c r="B1690" s="3" t="s">
        <v>2744</v>
      </c>
      <c r="C1690" s="3" t="s">
        <v>2745</v>
      </c>
      <c r="D1690" s="3" t="s">
        <v>2745</v>
      </c>
      <c r="E1690" s="1"/>
      <c r="F1690" s="8" t="s">
        <v>66</v>
      </c>
    </row>
    <row r="1691" spans="1:6" x14ac:dyDescent="0.2">
      <c r="A1691" s="3">
        <v>1688</v>
      </c>
      <c r="B1691" s="3" t="s">
        <v>2746</v>
      </c>
      <c r="C1691" s="3" t="s">
        <v>2747</v>
      </c>
      <c r="D1691" s="3" t="s">
        <v>2747</v>
      </c>
      <c r="E1691" s="1"/>
      <c r="F1691" s="8" t="s">
        <v>66</v>
      </c>
    </row>
    <row r="1692" spans="1:6" x14ac:dyDescent="0.2">
      <c r="A1692" s="3">
        <v>1689</v>
      </c>
      <c r="B1692" s="3" t="s">
        <v>2748</v>
      </c>
      <c r="C1692" s="3" t="s">
        <v>2745</v>
      </c>
      <c r="D1692" s="3" t="s">
        <v>2745</v>
      </c>
      <c r="E1692" s="1"/>
      <c r="F1692" s="8" t="s">
        <v>66</v>
      </c>
    </row>
    <row r="1693" spans="1:6" x14ac:dyDescent="0.2">
      <c r="A1693" s="3">
        <v>1690</v>
      </c>
      <c r="B1693" s="3" t="s">
        <v>2749</v>
      </c>
      <c r="C1693" s="3" t="s">
        <v>2750</v>
      </c>
      <c r="D1693" s="3" t="s">
        <v>2750</v>
      </c>
      <c r="E1693" s="1"/>
      <c r="F1693" s="8" t="s">
        <v>66</v>
      </c>
    </row>
    <row r="1694" spans="1:6" x14ac:dyDescent="0.2">
      <c r="A1694" s="3">
        <v>1691</v>
      </c>
      <c r="B1694" s="3" t="s">
        <v>2751</v>
      </c>
      <c r="C1694" s="3" t="s">
        <v>2752</v>
      </c>
      <c r="D1694" s="3" t="s">
        <v>2752</v>
      </c>
      <c r="E1694" s="1"/>
      <c r="F1694" s="8" t="s">
        <v>66</v>
      </c>
    </row>
    <row r="1695" spans="1:6" x14ac:dyDescent="0.2">
      <c r="A1695" s="3">
        <v>1692</v>
      </c>
      <c r="B1695" s="3" t="s">
        <v>2753</v>
      </c>
      <c r="C1695" s="3" t="s">
        <v>2754</v>
      </c>
      <c r="D1695" s="3" t="s">
        <v>2754</v>
      </c>
      <c r="E1695" s="1"/>
      <c r="F1695" s="8" t="s">
        <v>66</v>
      </c>
    </row>
    <row r="1696" spans="1:6" x14ac:dyDescent="0.2">
      <c r="A1696" s="3">
        <v>1693</v>
      </c>
      <c r="B1696" s="3" t="s">
        <v>2755</v>
      </c>
      <c r="C1696" s="3" t="s">
        <v>2756</v>
      </c>
      <c r="D1696" s="3" t="s">
        <v>2756</v>
      </c>
      <c r="E1696" s="1"/>
      <c r="F1696" s="8" t="s">
        <v>66</v>
      </c>
    </row>
    <row r="1697" spans="1:6" x14ac:dyDescent="0.2">
      <c r="A1697" s="3">
        <v>1694</v>
      </c>
      <c r="B1697" s="3" t="s">
        <v>2757</v>
      </c>
      <c r="C1697" s="3" t="s">
        <v>2756</v>
      </c>
      <c r="D1697" s="3" t="s">
        <v>2756</v>
      </c>
      <c r="E1697" s="1"/>
      <c r="F1697" s="8" t="s">
        <v>66</v>
      </c>
    </row>
    <row r="1698" spans="1:6" x14ac:dyDescent="0.2">
      <c r="A1698" s="3">
        <v>1695</v>
      </c>
      <c r="B1698" s="3" t="s">
        <v>2758</v>
      </c>
      <c r="C1698" s="3" t="s">
        <v>2759</v>
      </c>
      <c r="D1698" s="3" t="s">
        <v>2759</v>
      </c>
      <c r="E1698" s="1"/>
      <c r="F1698" s="8" t="s">
        <v>66</v>
      </c>
    </row>
    <row r="1699" spans="1:6" x14ac:dyDescent="0.2">
      <c r="A1699" s="3">
        <v>1696</v>
      </c>
      <c r="B1699" s="3" t="s">
        <v>2760</v>
      </c>
      <c r="C1699" s="3" t="s">
        <v>2760</v>
      </c>
      <c r="D1699" s="3" t="s">
        <v>2760</v>
      </c>
      <c r="E1699" s="1"/>
      <c r="F1699" s="8" t="s">
        <v>66</v>
      </c>
    </row>
    <row r="1700" spans="1:6" x14ac:dyDescent="0.2">
      <c r="A1700" s="3">
        <v>1697</v>
      </c>
      <c r="B1700" s="3" t="s">
        <v>2761</v>
      </c>
      <c r="C1700" s="3" t="s">
        <v>2762</v>
      </c>
      <c r="D1700" s="3" t="s">
        <v>2762</v>
      </c>
      <c r="E1700" s="1"/>
      <c r="F1700" s="8" t="s">
        <v>66</v>
      </c>
    </row>
    <row r="1701" spans="1:6" x14ac:dyDescent="0.2">
      <c r="A1701" s="3">
        <v>1698</v>
      </c>
      <c r="B1701" s="3" t="s">
        <v>2763</v>
      </c>
      <c r="C1701" s="3" t="s">
        <v>2764</v>
      </c>
      <c r="D1701" s="3" t="s">
        <v>2764</v>
      </c>
      <c r="E1701" s="1"/>
      <c r="F1701" s="8" t="s">
        <v>66</v>
      </c>
    </row>
    <row r="1702" spans="1:6" x14ac:dyDescent="0.2">
      <c r="A1702" s="3">
        <v>1699</v>
      </c>
      <c r="B1702" s="3" t="s">
        <v>2765</v>
      </c>
      <c r="C1702" s="3" t="s">
        <v>2764</v>
      </c>
      <c r="D1702" s="3" t="s">
        <v>2764</v>
      </c>
      <c r="E1702" s="1"/>
      <c r="F1702" s="8" t="s">
        <v>66</v>
      </c>
    </row>
    <row r="1703" spans="1:6" x14ac:dyDescent="0.2">
      <c r="A1703" s="3">
        <v>1700</v>
      </c>
      <c r="B1703" s="3" t="s">
        <v>2766</v>
      </c>
      <c r="C1703" s="3" t="s">
        <v>2764</v>
      </c>
      <c r="D1703" s="3" t="s">
        <v>2764</v>
      </c>
      <c r="E1703" s="1"/>
      <c r="F1703" s="8" t="s">
        <v>66</v>
      </c>
    </row>
    <row r="1704" spans="1:6" x14ac:dyDescent="0.2">
      <c r="A1704" s="3">
        <v>1701</v>
      </c>
      <c r="B1704" s="3" t="s">
        <v>2767</v>
      </c>
      <c r="C1704" s="3" t="s">
        <v>2764</v>
      </c>
      <c r="D1704" s="3" t="s">
        <v>2764</v>
      </c>
      <c r="E1704" s="1"/>
      <c r="F1704" s="8" t="s">
        <v>66</v>
      </c>
    </row>
    <row r="1705" spans="1:6" x14ac:dyDescent="0.2">
      <c r="A1705" s="3">
        <v>1702</v>
      </c>
      <c r="B1705" s="3" t="s">
        <v>2768</v>
      </c>
      <c r="C1705" s="3" t="s">
        <v>2764</v>
      </c>
      <c r="D1705" s="3" t="s">
        <v>2764</v>
      </c>
      <c r="E1705" s="1"/>
      <c r="F1705" s="8" t="s">
        <v>66</v>
      </c>
    </row>
    <row r="1706" spans="1:6" x14ac:dyDescent="0.2">
      <c r="A1706" s="3">
        <v>1703</v>
      </c>
      <c r="B1706" s="3" t="s">
        <v>2769</v>
      </c>
      <c r="C1706" s="3" t="s">
        <v>2770</v>
      </c>
      <c r="D1706" s="3" t="s">
        <v>2770</v>
      </c>
      <c r="E1706" s="1"/>
      <c r="F1706" s="8" t="s">
        <v>66</v>
      </c>
    </row>
    <row r="1707" spans="1:6" x14ac:dyDescent="0.2">
      <c r="A1707" s="3">
        <v>1704</v>
      </c>
      <c r="B1707" s="3" t="s">
        <v>2771</v>
      </c>
      <c r="C1707" s="3" t="s">
        <v>2770</v>
      </c>
      <c r="D1707" s="3" t="s">
        <v>2770</v>
      </c>
      <c r="E1707" s="1"/>
      <c r="F1707" s="8" t="s">
        <v>66</v>
      </c>
    </row>
    <row r="1708" spans="1:6" x14ac:dyDescent="0.2">
      <c r="A1708" s="3">
        <v>1705</v>
      </c>
      <c r="B1708" s="3" t="s">
        <v>2772</v>
      </c>
      <c r="C1708" s="3" t="s">
        <v>2773</v>
      </c>
      <c r="D1708" s="3" t="s">
        <v>2773</v>
      </c>
      <c r="E1708" s="1"/>
      <c r="F1708" s="8" t="s">
        <v>66</v>
      </c>
    </row>
    <row r="1709" spans="1:6" x14ac:dyDescent="0.2">
      <c r="A1709" s="3">
        <v>1706</v>
      </c>
      <c r="B1709" s="3" t="s">
        <v>2774</v>
      </c>
      <c r="C1709" s="3" t="s">
        <v>2773</v>
      </c>
      <c r="D1709" s="3" t="s">
        <v>2773</v>
      </c>
      <c r="E1709" s="1"/>
      <c r="F1709" s="8" t="s">
        <v>66</v>
      </c>
    </row>
    <row r="1710" spans="1:6" x14ac:dyDescent="0.2">
      <c r="A1710" s="3">
        <v>1707</v>
      </c>
      <c r="B1710" s="3" t="s">
        <v>2775</v>
      </c>
      <c r="C1710" s="3" t="s">
        <v>2776</v>
      </c>
      <c r="D1710" s="3" t="s">
        <v>2776</v>
      </c>
      <c r="E1710" s="1"/>
      <c r="F1710" s="8" t="s">
        <v>66</v>
      </c>
    </row>
    <row r="1711" spans="1:6" x14ac:dyDescent="0.2">
      <c r="A1711" s="3">
        <v>1708</v>
      </c>
      <c r="B1711" s="3" t="s">
        <v>2777</v>
      </c>
      <c r="C1711" s="3" t="s">
        <v>2778</v>
      </c>
      <c r="D1711" s="3" t="s">
        <v>2778</v>
      </c>
      <c r="E1711" s="1"/>
      <c r="F1711" s="8" t="s">
        <v>66</v>
      </c>
    </row>
    <row r="1712" spans="1:6" x14ac:dyDescent="0.2">
      <c r="A1712" s="3">
        <v>1709</v>
      </c>
      <c r="B1712" s="3" t="s">
        <v>2779</v>
      </c>
      <c r="C1712" s="3" t="s">
        <v>2778</v>
      </c>
      <c r="D1712" s="3" t="s">
        <v>2778</v>
      </c>
      <c r="E1712" s="1"/>
      <c r="F1712" s="8" t="s">
        <v>66</v>
      </c>
    </row>
    <row r="1713" spans="1:6" x14ac:dyDescent="0.2">
      <c r="A1713" s="3">
        <v>1710</v>
      </c>
      <c r="B1713" s="3" t="s">
        <v>2780</v>
      </c>
      <c r="C1713" s="3" t="s">
        <v>2778</v>
      </c>
      <c r="D1713" s="3" t="s">
        <v>2778</v>
      </c>
      <c r="E1713" s="1"/>
      <c r="F1713" s="8" t="s">
        <v>66</v>
      </c>
    </row>
    <row r="1714" spans="1:6" x14ac:dyDescent="0.2">
      <c r="A1714" s="3">
        <v>1711</v>
      </c>
      <c r="B1714" s="3" t="s">
        <v>2781</v>
      </c>
      <c r="C1714" s="3" t="s">
        <v>2778</v>
      </c>
      <c r="D1714" s="3" t="s">
        <v>2778</v>
      </c>
      <c r="E1714" s="1"/>
      <c r="F1714" s="8" t="s">
        <v>66</v>
      </c>
    </row>
    <row r="1715" spans="1:6" x14ac:dyDescent="0.2">
      <c r="A1715" s="3">
        <v>1712</v>
      </c>
      <c r="B1715" s="3" t="s">
        <v>2782</v>
      </c>
      <c r="C1715" s="3" t="s">
        <v>2783</v>
      </c>
      <c r="D1715" s="3" t="s">
        <v>2783</v>
      </c>
      <c r="E1715" s="1"/>
      <c r="F1715" s="8" t="s">
        <v>66</v>
      </c>
    </row>
    <row r="1716" spans="1:6" x14ac:dyDescent="0.2">
      <c r="A1716" s="3">
        <v>1713</v>
      </c>
      <c r="B1716" s="3" t="s">
        <v>2784</v>
      </c>
      <c r="C1716" s="3" t="s">
        <v>2785</v>
      </c>
      <c r="D1716" s="3" t="s">
        <v>2785</v>
      </c>
      <c r="E1716" s="1"/>
      <c r="F1716" s="8" t="s">
        <v>66</v>
      </c>
    </row>
    <row r="1717" spans="1:6" x14ac:dyDescent="0.2">
      <c r="A1717" s="3">
        <v>1714</v>
      </c>
      <c r="B1717" s="3" t="s">
        <v>2786</v>
      </c>
      <c r="C1717" s="3" t="s">
        <v>2787</v>
      </c>
      <c r="D1717" s="3" t="s">
        <v>2787</v>
      </c>
      <c r="E1717" s="1"/>
      <c r="F1717" s="8" t="s">
        <v>66</v>
      </c>
    </row>
    <row r="1718" spans="1:6" x14ac:dyDescent="0.2">
      <c r="A1718" s="3">
        <v>1715</v>
      </c>
      <c r="B1718" s="3" t="s">
        <v>2788</v>
      </c>
      <c r="C1718" s="3" t="s">
        <v>2789</v>
      </c>
      <c r="D1718" s="3" t="s">
        <v>2789</v>
      </c>
      <c r="E1718" s="1"/>
      <c r="F1718" s="8" t="s">
        <v>66</v>
      </c>
    </row>
    <row r="1719" spans="1:6" x14ac:dyDescent="0.2">
      <c r="A1719" s="3">
        <v>1716</v>
      </c>
      <c r="B1719" s="3" t="s">
        <v>2790</v>
      </c>
      <c r="C1719" s="3" t="s">
        <v>2791</v>
      </c>
      <c r="D1719" s="3" t="s">
        <v>2791</v>
      </c>
      <c r="E1719" s="1"/>
      <c r="F1719" s="8" t="s">
        <v>66</v>
      </c>
    </row>
    <row r="1720" spans="1:6" x14ac:dyDescent="0.2">
      <c r="A1720" s="3">
        <v>1717</v>
      </c>
      <c r="B1720" s="3" t="s">
        <v>2792</v>
      </c>
      <c r="C1720" s="3" t="s">
        <v>2793</v>
      </c>
      <c r="D1720" s="3" t="s">
        <v>2793</v>
      </c>
      <c r="E1720" s="1"/>
      <c r="F1720" s="8" t="s">
        <v>66</v>
      </c>
    </row>
    <row r="1721" spans="1:6" x14ac:dyDescent="0.2">
      <c r="A1721" s="3">
        <v>1718</v>
      </c>
      <c r="B1721" s="3" t="s">
        <v>2794</v>
      </c>
      <c r="C1721" s="3" t="s">
        <v>2795</v>
      </c>
      <c r="D1721" s="3" t="s">
        <v>2795</v>
      </c>
      <c r="E1721" s="1"/>
      <c r="F1721" s="8" t="s">
        <v>66</v>
      </c>
    </row>
    <row r="1722" spans="1:6" x14ac:dyDescent="0.2">
      <c r="A1722" s="3">
        <v>1719</v>
      </c>
      <c r="B1722" s="3" t="s">
        <v>2796</v>
      </c>
      <c r="C1722" s="3" t="s">
        <v>2795</v>
      </c>
      <c r="D1722" s="3" t="s">
        <v>2795</v>
      </c>
      <c r="E1722" s="1"/>
      <c r="F1722" s="8" t="s">
        <v>66</v>
      </c>
    </row>
    <row r="1723" spans="1:6" x14ac:dyDescent="0.2">
      <c r="A1723" s="3">
        <v>1720</v>
      </c>
      <c r="B1723" s="3" t="s">
        <v>2797</v>
      </c>
      <c r="C1723" s="3" t="s">
        <v>2798</v>
      </c>
      <c r="D1723" s="3" t="s">
        <v>2798</v>
      </c>
      <c r="E1723" s="1"/>
      <c r="F1723" s="8" t="s">
        <v>66</v>
      </c>
    </row>
    <row r="1724" spans="1:6" x14ac:dyDescent="0.2">
      <c r="A1724" s="3">
        <v>1721</v>
      </c>
      <c r="B1724" s="3" t="s">
        <v>2799</v>
      </c>
      <c r="C1724" s="3" t="s">
        <v>2800</v>
      </c>
      <c r="D1724" s="3" t="s">
        <v>2800</v>
      </c>
      <c r="E1724" s="1"/>
      <c r="F1724" s="8" t="s">
        <v>66</v>
      </c>
    </row>
    <row r="1725" spans="1:6" x14ac:dyDescent="0.2">
      <c r="A1725" s="3">
        <v>1722</v>
      </c>
      <c r="B1725" s="3" t="s">
        <v>2801</v>
      </c>
      <c r="C1725" s="3" t="s">
        <v>2802</v>
      </c>
      <c r="D1725" s="3" t="s">
        <v>2802</v>
      </c>
      <c r="E1725" s="1"/>
      <c r="F1725" s="8" t="s">
        <v>66</v>
      </c>
    </row>
    <row r="1726" spans="1:6" x14ac:dyDescent="0.2">
      <c r="A1726" s="3">
        <v>1723</v>
      </c>
      <c r="B1726" s="3" t="s">
        <v>2803</v>
      </c>
      <c r="C1726" s="3" t="s">
        <v>2802</v>
      </c>
      <c r="D1726" s="3" t="s">
        <v>2802</v>
      </c>
      <c r="E1726" s="1"/>
      <c r="F1726" s="8" t="s">
        <v>66</v>
      </c>
    </row>
    <row r="1727" spans="1:6" x14ac:dyDescent="0.2">
      <c r="A1727" s="3">
        <v>1724</v>
      </c>
      <c r="B1727" s="3" t="s">
        <v>2804</v>
      </c>
      <c r="C1727" s="3" t="s">
        <v>2804</v>
      </c>
      <c r="D1727" s="3" t="s">
        <v>2804</v>
      </c>
      <c r="E1727" s="1" t="s">
        <v>2805</v>
      </c>
      <c r="F1727" s="8" t="s">
        <v>66</v>
      </c>
    </row>
    <row r="1728" spans="1:6" x14ac:dyDescent="0.2">
      <c r="A1728" s="3">
        <v>1725</v>
      </c>
      <c r="B1728" s="3" t="s">
        <v>2806</v>
      </c>
      <c r="C1728" s="3" t="s">
        <v>2807</v>
      </c>
      <c r="D1728" s="3" t="s">
        <v>2807</v>
      </c>
      <c r="E1728" s="1"/>
      <c r="F1728" s="8" t="s">
        <v>66</v>
      </c>
    </row>
    <row r="1729" spans="1:6" x14ac:dyDescent="0.2">
      <c r="A1729" s="3">
        <v>1726</v>
      </c>
      <c r="B1729" s="3" t="s">
        <v>2808</v>
      </c>
      <c r="C1729" s="3" t="s">
        <v>2807</v>
      </c>
      <c r="D1729" s="3" t="s">
        <v>2807</v>
      </c>
      <c r="E1729" s="1"/>
      <c r="F1729" s="8" t="s">
        <v>66</v>
      </c>
    </row>
    <row r="1730" spans="1:6" x14ac:dyDescent="0.2">
      <c r="A1730" s="3">
        <v>1727</v>
      </c>
      <c r="B1730" s="3" t="s">
        <v>2809</v>
      </c>
      <c r="C1730" s="3" t="s">
        <v>2807</v>
      </c>
      <c r="D1730" s="3" t="s">
        <v>2807</v>
      </c>
      <c r="E1730" s="1"/>
      <c r="F1730" s="8" t="s">
        <v>66</v>
      </c>
    </row>
    <row r="1731" spans="1:6" x14ac:dyDescent="0.2">
      <c r="A1731" s="3">
        <v>1728</v>
      </c>
      <c r="B1731" s="3" t="s">
        <v>2810</v>
      </c>
      <c r="C1731" s="3" t="s">
        <v>2811</v>
      </c>
      <c r="D1731" s="3" t="s">
        <v>2811</v>
      </c>
      <c r="E1731" s="1"/>
      <c r="F1731" s="8" t="s">
        <v>66</v>
      </c>
    </row>
    <row r="1732" spans="1:6" x14ac:dyDescent="0.2">
      <c r="A1732" s="3">
        <v>1729</v>
      </c>
      <c r="B1732" s="3" t="s">
        <v>2812</v>
      </c>
      <c r="C1732" s="3" t="s">
        <v>2813</v>
      </c>
      <c r="D1732" s="3" t="s">
        <v>2813</v>
      </c>
      <c r="E1732" s="1"/>
      <c r="F1732" s="8" t="s">
        <v>66</v>
      </c>
    </row>
    <row r="1733" spans="1:6" x14ac:dyDescent="0.2">
      <c r="A1733" s="3">
        <v>1730</v>
      </c>
      <c r="B1733" s="3" t="s">
        <v>2814</v>
      </c>
      <c r="C1733" s="3" t="s">
        <v>2813</v>
      </c>
      <c r="D1733" s="3" t="s">
        <v>2813</v>
      </c>
      <c r="E1733" s="1"/>
      <c r="F1733" s="8" t="s">
        <v>66</v>
      </c>
    </row>
    <row r="1734" spans="1:6" x14ac:dyDescent="0.2">
      <c r="A1734" s="3">
        <v>1731</v>
      </c>
      <c r="B1734" s="3" t="s">
        <v>2815</v>
      </c>
      <c r="C1734" s="3" t="s">
        <v>2816</v>
      </c>
      <c r="D1734" s="3" t="s">
        <v>2816</v>
      </c>
      <c r="E1734" s="1"/>
      <c r="F1734" s="8" t="s">
        <v>66</v>
      </c>
    </row>
    <row r="1735" spans="1:6" x14ac:dyDescent="0.2">
      <c r="A1735" s="3">
        <v>1732</v>
      </c>
      <c r="B1735" s="3" t="s">
        <v>2817</v>
      </c>
      <c r="C1735" s="3" t="s">
        <v>2816</v>
      </c>
      <c r="D1735" s="3" t="s">
        <v>2816</v>
      </c>
      <c r="E1735" s="1"/>
      <c r="F1735" s="8" t="s">
        <v>66</v>
      </c>
    </row>
    <row r="1736" spans="1:6" x14ac:dyDescent="0.2">
      <c r="A1736" s="3">
        <v>1733</v>
      </c>
      <c r="B1736" s="3" t="s">
        <v>2818</v>
      </c>
      <c r="C1736" s="3" t="s">
        <v>2819</v>
      </c>
      <c r="D1736" s="3" t="s">
        <v>2819</v>
      </c>
      <c r="E1736" s="1"/>
      <c r="F1736" s="8" t="s">
        <v>66</v>
      </c>
    </row>
    <row r="1737" spans="1:6" x14ac:dyDescent="0.2">
      <c r="A1737" s="3">
        <v>1734</v>
      </c>
      <c r="B1737" s="3" t="s">
        <v>2820</v>
      </c>
      <c r="C1737" s="3" t="s">
        <v>2821</v>
      </c>
      <c r="D1737" s="3" t="s">
        <v>2821</v>
      </c>
      <c r="E1737" s="1"/>
      <c r="F1737" s="8" t="s">
        <v>66</v>
      </c>
    </row>
    <row r="1738" spans="1:6" x14ac:dyDescent="0.2">
      <c r="A1738" s="3">
        <v>1735</v>
      </c>
      <c r="B1738" s="3" t="s">
        <v>2822</v>
      </c>
      <c r="C1738" s="3" t="s">
        <v>2823</v>
      </c>
      <c r="D1738" s="3" t="s">
        <v>2823</v>
      </c>
      <c r="E1738" s="1"/>
      <c r="F1738" s="8" t="s">
        <v>66</v>
      </c>
    </row>
    <row r="1739" spans="1:6" x14ac:dyDescent="0.2">
      <c r="A1739" s="3">
        <v>1736</v>
      </c>
      <c r="B1739" s="3" t="s">
        <v>2824</v>
      </c>
      <c r="C1739" s="3" t="s">
        <v>2823</v>
      </c>
      <c r="D1739" s="3" t="s">
        <v>2823</v>
      </c>
      <c r="E1739" s="1"/>
      <c r="F1739" s="8" t="s">
        <v>66</v>
      </c>
    </row>
    <row r="1740" spans="1:6" x14ac:dyDescent="0.2">
      <c r="A1740" s="3">
        <v>1737</v>
      </c>
      <c r="B1740" s="3" t="s">
        <v>2825</v>
      </c>
      <c r="C1740" s="3" t="s">
        <v>2823</v>
      </c>
      <c r="D1740" s="3" t="s">
        <v>2823</v>
      </c>
      <c r="E1740" s="1"/>
      <c r="F1740" s="8" t="s">
        <v>66</v>
      </c>
    </row>
    <row r="1741" spans="1:6" x14ac:dyDescent="0.2">
      <c r="A1741" s="3">
        <v>1738</v>
      </c>
      <c r="B1741" s="3" t="s">
        <v>2826</v>
      </c>
      <c r="C1741" s="3" t="s">
        <v>2823</v>
      </c>
      <c r="D1741" s="3" t="s">
        <v>2823</v>
      </c>
      <c r="E1741" s="1"/>
      <c r="F1741" s="8" t="s">
        <v>66</v>
      </c>
    </row>
    <row r="1742" spans="1:6" x14ac:dyDescent="0.2">
      <c r="A1742" s="3">
        <v>1739</v>
      </c>
      <c r="B1742" s="3" t="s">
        <v>2827</v>
      </c>
      <c r="C1742" s="3" t="s">
        <v>2823</v>
      </c>
      <c r="D1742" s="3" t="s">
        <v>2823</v>
      </c>
      <c r="E1742" s="1"/>
      <c r="F1742" s="8" t="s">
        <v>66</v>
      </c>
    </row>
    <row r="1743" spans="1:6" x14ac:dyDescent="0.2">
      <c r="A1743" s="3">
        <v>1740</v>
      </c>
      <c r="B1743" s="3" t="s">
        <v>2828</v>
      </c>
      <c r="C1743" s="3" t="s">
        <v>2823</v>
      </c>
      <c r="D1743" s="3" t="s">
        <v>2823</v>
      </c>
      <c r="E1743" s="1"/>
      <c r="F1743" s="8" t="s">
        <v>66</v>
      </c>
    </row>
    <row r="1744" spans="1:6" x14ac:dyDescent="0.2">
      <c r="A1744" s="3">
        <v>1741</v>
      </c>
      <c r="B1744" s="3" t="s">
        <v>2829</v>
      </c>
      <c r="C1744" s="3" t="s">
        <v>2823</v>
      </c>
      <c r="D1744" s="3" t="s">
        <v>2823</v>
      </c>
      <c r="E1744" s="1"/>
      <c r="F1744" s="8" t="s">
        <v>66</v>
      </c>
    </row>
    <row r="1745" spans="1:6" x14ac:dyDescent="0.2">
      <c r="A1745" s="3">
        <v>1742</v>
      </c>
      <c r="B1745" s="3" t="s">
        <v>2830</v>
      </c>
      <c r="C1745" s="3" t="s">
        <v>2831</v>
      </c>
      <c r="D1745" s="3" t="s">
        <v>2831</v>
      </c>
      <c r="E1745" s="1"/>
      <c r="F1745" s="8" t="s">
        <v>66</v>
      </c>
    </row>
    <row r="1746" spans="1:6" x14ac:dyDescent="0.2">
      <c r="A1746" s="3">
        <v>1743</v>
      </c>
      <c r="B1746" s="3" t="s">
        <v>2832</v>
      </c>
      <c r="C1746" s="3" t="s">
        <v>2833</v>
      </c>
      <c r="D1746" s="3" t="s">
        <v>2833</v>
      </c>
      <c r="E1746" s="1"/>
      <c r="F1746" s="8" t="s">
        <v>66</v>
      </c>
    </row>
    <row r="1747" spans="1:6" x14ac:dyDescent="0.2">
      <c r="A1747" s="3">
        <v>1744</v>
      </c>
      <c r="B1747" s="3" t="s">
        <v>2834</v>
      </c>
      <c r="C1747" s="3" t="s">
        <v>2835</v>
      </c>
      <c r="D1747" s="3" t="s">
        <v>2835</v>
      </c>
      <c r="E1747" s="1"/>
      <c r="F1747" s="8" t="s">
        <v>66</v>
      </c>
    </row>
    <row r="1748" spans="1:6" x14ac:dyDescent="0.2">
      <c r="A1748" s="3">
        <v>1745</v>
      </c>
      <c r="B1748" s="3" t="s">
        <v>2836</v>
      </c>
      <c r="C1748" s="3" t="s">
        <v>2835</v>
      </c>
      <c r="D1748" s="3" t="s">
        <v>2835</v>
      </c>
      <c r="E1748" s="1"/>
      <c r="F1748" s="8" t="s">
        <v>66</v>
      </c>
    </row>
    <row r="1749" spans="1:6" x14ac:dyDescent="0.2">
      <c r="A1749" s="3">
        <v>1746</v>
      </c>
      <c r="B1749" s="3" t="s">
        <v>2837</v>
      </c>
      <c r="C1749" s="3" t="s">
        <v>2835</v>
      </c>
      <c r="D1749" s="3" t="s">
        <v>2835</v>
      </c>
      <c r="E1749" s="1"/>
      <c r="F1749" s="8" t="s">
        <v>66</v>
      </c>
    </row>
    <row r="1750" spans="1:6" x14ac:dyDescent="0.2">
      <c r="A1750" s="3">
        <v>1747</v>
      </c>
      <c r="B1750" s="3" t="s">
        <v>2838</v>
      </c>
      <c r="C1750" s="3" t="s">
        <v>2835</v>
      </c>
      <c r="D1750" s="3" t="s">
        <v>2835</v>
      </c>
      <c r="E1750" s="1"/>
      <c r="F1750" s="8" t="s">
        <v>66</v>
      </c>
    </row>
    <row r="1751" spans="1:6" x14ac:dyDescent="0.2">
      <c r="A1751" s="3">
        <v>1748</v>
      </c>
      <c r="B1751" s="3" t="s">
        <v>2839</v>
      </c>
      <c r="C1751" s="3" t="s">
        <v>2840</v>
      </c>
      <c r="D1751" s="3" t="s">
        <v>2840</v>
      </c>
      <c r="E1751" s="1"/>
      <c r="F1751" s="8" t="s">
        <v>66</v>
      </c>
    </row>
    <row r="1752" spans="1:6" x14ac:dyDescent="0.2">
      <c r="A1752" s="3">
        <v>1749</v>
      </c>
      <c r="B1752" s="3" t="s">
        <v>2841</v>
      </c>
      <c r="C1752" s="3" t="s">
        <v>2842</v>
      </c>
      <c r="D1752" s="3" t="s">
        <v>2842</v>
      </c>
      <c r="E1752" s="1"/>
      <c r="F1752" s="8" t="s">
        <v>66</v>
      </c>
    </row>
    <row r="1753" spans="1:6" x14ac:dyDescent="0.2">
      <c r="A1753" s="3">
        <v>1750</v>
      </c>
      <c r="B1753" s="3" t="s">
        <v>2843</v>
      </c>
      <c r="C1753" s="3" t="s">
        <v>2842</v>
      </c>
      <c r="D1753" s="3" t="s">
        <v>2842</v>
      </c>
      <c r="E1753" s="1"/>
      <c r="F1753" s="8" t="s">
        <v>66</v>
      </c>
    </row>
    <row r="1754" spans="1:6" x14ac:dyDescent="0.2">
      <c r="A1754" s="3">
        <v>1751</v>
      </c>
      <c r="B1754" s="3" t="s">
        <v>2844</v>
      </c>
      <c r="C1754" s="3" t="s">
        <v>2845</v>
      </c>
      <c r="D1754" s="3" t="s">
        <v>2845</v>
      </c>
      <c r="E1754" s="1"/>
      <c r="F1754" s="8" t="s">
        <v>66</v>
      </c>
    </row>
    <row r="1755" spans="1:6" x14ac:dyDescent="0.2">
      <c r="A1755" s="3">
        <v>1752</v>
      </c>
      <c r="B1755" s="3" t="s">
        <v>2846</v>
      </c>
      <c r="C1755" s="3" t="s">
        <v>2847</v>
      </c>
      <c r="D1755" s="3" t="s">
        <v>2847</v>
      </c>
      <c r="E1755" s="1"/>
      <c r="F1755" s="8" t="s">
        <v>66</v>
      </c>
    </row>
    <row r="1756" spans="1:6" x14ac:dyDescent="0.2">
      <c r="A1756" s="3">
        <v>1753</v>
      </c>
      <c r="B1756" s="3" t="s">
        <v>2848</v>
      </c>
      <c r="C1756" s="3" t="s">
        <v>2849</v>
      </c>
      <c r="D1756" s="3" t="s">
        <v>2849</v>
      </c>
      <c r="E1756" s="1"/>
      <c r="F1756" s="8" t="s">
        <v>66</v>
      </c>
    </row>
    <row r="1757" spans="1:6" x14ac:dyDescent="0.2">
      <c r="A1757" s="3">
        <v>1754</v>
      </c>
      <c r="B1757" s="3" t="s">
        <v>2850</v>
      </c>
      <c r="C1757" s="3" t="s">
        <v>2849</v>
      </c>
      <c r="D1757" s="3" t="s">
        <v>2849</v>
      </c>
      <c r="E1757" s="1"/>
      <c r="F1757" s="8" t="s">
        <v>66</v>
      </c>
    </row>
    <row r="1758" spans="1:6" x14ac:dyDescent="0.2">
      <c r="A1758" s="3">
        <v>1755</v>
      </c>
      <c r="B1758" s="3" t="s">
        <v>2851</v>
      </c>
      <c r="C1758" s="3" t="s">
        <v>2849</v>
      </c>
      <c r="D1758" s="3" t="s">
        <v>2849</v>
      </c>
      <c r="E1758" s="1"/>
      <c r="F1758" s="8" t="s">
        <v>66</v>
      </c>
    </row>
    <row r="1759" spans="1:6" x14ac:dyDescent="0.2">
      <c r="A1759" s="3">
        <v>1756</v>
      </c>
      <c r="B1759" s="3" t="s">
        <v>2852</v>
      </c>
      <c r="C1759" s="3" t="s">
        <v>2853</v>
      </c>
      <c r="D1759" s="3" t="s">
        <v>2853</v>
      </c>
      <c r="E1759" s="1"/>
      <c r="F1759" s="8" t="s">
        <v>66</v>
      </c>
    </row>
    <row r="1760" spans="1:6" x14ac:dyDescent="0.2">
      <c r="A1760" s="3">
        <v>1757</v>
      </c>
      <c r="B1760" s="3" t="s">
        <v>2854</v>
      </c>
      <c r="C1760" s="3" t="s">
        <v>2855</v>
      </c>
      <c r="D1760" s="3" t="s">
        <v>2855</v>
      </c>
      <c r="E1760" s="1"/>
      <c r="F1760" s="8" t="s">
        <v>66</v>
      </c>
    </row>
    <row r="1761" spans="1:6" x14ac:dyDescent="0.2">
      <c r="A1761" s="3">
        <v>1758</v>
      </c>
      <c r="B1761" s="3" t="s">
        <v>2856</v>
      </c>
      <c r="C1761" s="3" t="s">
        <v>2857</v>
      </c>
      <c r="D1761" s="3" t="s">
        <v>2857</v>
      </c>
      <c r="E1761" s="1"/>
      <c r="F1761" s="8" t="s">
        <v>66</v>
      </c>
    </row>
    <row r="1762" spans="1:6" x14ac:dyDescent="0.2">
      <c r="A1762" s="3">
        <v>1759</v>
      </c>
      <c r="B1762" s="3" t="s">
        <v>2858</v>
      </c>
      <c r="C1762" s="3" t="s">
        <v>2859</v>
      </c>
      <c r="D1762" s="3" t="s">
        <v>2859</v>
      </c>
      <c r="E1762" s="1"/>
      <c r="F1762" s="8" t="s">
        <v>66</v>
      </c>
    </row>
    <row r="1763" spans="1:6" x14ac:dyDescent="0.2">
      <c r="A1763" s="3">
        <v>1760</v>
      </c>
      <c r="B1763" s="3" t="s">
        <v>2860</v>
      </c>
      <c r="C1763" s="3" t="s">
        <v>2859</v>
      </c>
      <c r="D1763" s="3" t="s">
        <v>2859</v>
      </c>
      <c r="E1763" s="1"/>
      <c r="F1763" s="8" t="s">
        <v>66</v>
      </c>
    </row>
    <row r="1764" spans="1:6" x14ac:dyDescent="0.2">
      <c r="A1764" s="3">
        <v>1761</v>
      </c>
      <c r="B1764" s="3" t="s">
        <v>2861</v>
      </c>
      <c r="C1764" s="3" t="s">
        <v>2859</v>
      </c>
      <c r="D1764" s="3" t="s">
        <v>2859</v>
      </c>
      <c r="E1764" s="1"/>
      <c r="F1764" s="8" t="s">
        <v>66</v>
      </c>
    </row>
    <row r="1765" spans="1:6" x14ac:dyDescent="0.2">
      <c r="A1765" s="3">
        <v>1762</v>
      </c>
      <c r="B1765" s="3" t="s">
        <v>2862</v>
      </c>
      <c r="C1765" s="3" t="s">
        <v>2863</v>
      </c>
      <c r="D1765" s="3" t="s">
        <v>2863</v>
      </c>
      <c r="E1765" s="1"/>
      <c r="F1765" s="8" t="s">
        <v>66</v>
      </c>
    </row>
    <row r="1766" spans="1:6" x14ac:dyDescent="0.2">
      <c r="A1766" s="3">
        <v>1763</v>
      </c>
      <c r="B1766" s="3" t="s">
        <v>2864</v>
      </c>
      <c r="C1766" s="3" t="s">
        <v>2865</v>
      </c>
      <c r="D1766" s="3" t="s">
        <v>2865</v>
      </c>
      <c r="E1766" s="1"/>
      <c r="F1766" s="8" t="s">
        <v>66</v>
      </c>
    </row>
    <row r="1767" spans="1:6" x14ac:dyDescent="0.2">
      <c r="A1767" s="3">
        <v>1764</v>
      </c>
      <c r="B1767" s="3" t="s">
        <v>2866</v>
      </c>
      <c r="C1767" s="3" t="s">
        <v>2865</v>
      </c>
      <c r="D1767" s="3" t="s">
        <v>2865</v>
      </c>
      <c r="E1767" s="1"/>
      <c r="F1767" s="8" t="s">
        <v>66</v>
      </c>
    </row>
    <row r="1768" spans="1:6" x14ac:dyDescent="0.2">
      <c r="A1768" s="3">
        <v>1765</v>
      </c>
      <c r="B1768" s="3" t="s">
        <v>2867</v>
      </c>
      <c r="C1768" s="3" t="s">
        <v>2868</v>
      </c>
      <c r="D1768" s="3" t="s">
        <v>2868</v>
      </c>
      <c r="E1768" s="1"/>
      <c r="F1768" s="8" t="s">
        <v>66</v>
      </c>
    </row>
    <row r="1769" spans="1:6" x14ac:dyDescent="0.2">
      <c r="A1769" s="3">
        <v>1766</v>
      </c>
      <c r="B1769" s="3" t="s">
        <v>2869</v>
      </c>
      <c r="C1769" s="3" t="s">
        <v>2868</v>
      </c>
      <c r="D1769" s="3" t="s">
        <v>2868</v>
      </c>
      <c r="E1769" s="1"/>
      <c r="F1769" s="8" t="s">
        <v>66</v>
      </c>
    </row>
    <row r="1770" spans="1:6" x14ac:dyDescent="0.2">
      <c r="A1770" s="3">
        <v>1767</v>
      </c>
      <c r="B1770" s="3" t="s">
        <v>2870</v>
      </c>
      <c r="C1770" s="3" t="s">
        <v>2868</v>
      </c>
      <c r="D1770" s="3" t="s">
        <v>2868</v>
      </c>
      <c r="E1770" s="1"/>
      <c r="F1770" s="8" t="s">
        <v>66</v>
      </c>
    </row>
    <row r="1771" spans="1:6" x14ac:dyDescent="0.2">
      <c r="A1771" s="3">
        <v>1768</v>
      </c>
      <c r="B1771" s="3" t="s">
        <v>2871</v>
      </c>
      <c r="C1771" s="3" t="s">
        <v>2868</v>
      </c>
      <c r="D1771" s="3" t="s">
        <v>2868</v>
      </c>
      <c r="E1771" s="1"/>
      <c r="F1771" s="8" t="s">
        <v>66</v>
      </c>
    </row>
    <row r="1772" spans="1:6" x14ac:dyDescent="0.2">
      <c r="A1772" s="3">
        <v>1769</v>
      </c>
      <c r="B1772" s="3" t="s">
        <v>2872</v>
      </c>
      <c r="C1772" s="3" t="s">
        <v>2873</v>
      </c>
      <c r="D1772" s="3" t="s">
        <v>2873</v>
      </c>
      <c r="E1772" s="1"/>
      <c r="F1772" s="8" t="s">
        <v>66</v>
      </c>
    </row>
    <row r="1773" spans="1:6" x14ac:dyDescent="0.2">
      <c r="A1773" s="3">
        <v>1770</v>
      </c>
      <c r="B1773" s="3" t="s">
        <v>2874</v>
      </c>
      <c r="C1773" s="3" t="s">
        <v>2875</v>
      </c>
      <c r="D1773" s="3" t="s">
        <v>2875</v>
      </c>
      <c r="E1773" s="1"/>
      <c r="F1773" s="8" t="s">
        <v>66</v>
      </c>
    </row>
    <row r="1774" spans="1:6" x14ac:dyDescent="0.2">
      <c r="A1774" s="3">
        <v>1771</v>
      </c>
      <c r="B1774" s="3" t="s">
        <v>2876</v>
      </c>
      <c r="C1774" s="3" t="s">
        <v>2877</v>
      </c>
      <c r="D1774" s="3" t="s">
        <v>2877</v>
      </c>
      <c r="E1774" s="1"/>
      <c r="F1774" s="8" t="s">
        <v>66</v>
      </c>
    </row>
    <row r="1775" spans="1:6" x14ac:dyDescent="0.2">
      <c r="A1775" s="3">
        <v>1772</v>
      </c>
      <c r="B1775" s="3" t="s">
        <v>2878</v>
      </c>
      <c r="C1775" s="3" t="s">
        <v>2879</v>
      </c>
      <c r="D1775" s="3" t="s">
        <v>2879</v>
      </c>
      <c r="E1775" s="1"/>
      <c r="F1775" s="8" t="s">
        <v>66</v>
      </c>
    </row>
    <row r="1776" spans="1:6" x14ac:dyDescent="0.2">
      <c r="A1776" s="3">
        <v>1773</v>
      </c>
      <c r="B1776" s="3" t="s">
        <v>2880</v>
      </c>
      <c r="C1776" s="3" t="s">
        <v>2881</v>
      </c>
      <c r="D1776" s="3" t="s">
        <v>2881</v>
      </c>
      <c r="E1776" s="1"/>
      <c r="F1776" s="8" t="s">
        <v>66</v>
      </c>
    </row>
    <row r="1777" spans="1:6" x14ac:dyDescent="0.2">
      <c r="A1777" s="3">
        <v>1774</v>
      </c>
      <c r="B1777" s="3" t="s">
        <v>2882</v>
      </c>
      <c r="C1777" s="3" t="s">
        <v>2881</v>
      </c>
      <c r="D1777" s="3" t="s">
        <v>2881</v>
      </c>
      <c r="E1777" s="1"/>
      <c r="F1777" s="8" t="s">
        <v>66</v>
      </c>
    </row>
    <row r="1778" spans="1:6" x14ac:dyDescent="0.2">
      <c r="A1778" s="3">
        <v>1775</v>
      </c>
      <c r="B1778" s="3" t="s">
        <v>2883</v>
      </c>
      <c r="C1778" s="3" t="s">
        <v>2881</v>
      </c>
      <c r="D1778" s="3" t="s">
        <v>2881</v>
      </c>
      <c r="E1778" s="1"/>
      <c r="F1778" s="8" t="s">
        <v>66</v>
      </c>
    </row>
    <row r="1779" spans="1:6" x14ac:dyDescent="0.2">
      <c r="A1779" s="3">
        <v>1776</v>
      </c>
      <c r="B1779" s="3" t="s">
        <v>2884</v>
      </c>
      <c r="C1779" s="3" t="s">
        <v>2881</v>
      </c>
      <c r="D1779" s="3" t="s">
        <v>2881</v>
      </c>
      <c r="E1779" s="1"/>
      <c r="F1779" s="8" t="s">
        <v>66</v>
      </c>
    </row>
    <row r="1780" spans="1:6" x14ac:dyDescent="0.2">
      <c r="A1780" s="3">
        <v>1777</v>
      </c>
      <c r="B1780" s="3" t="s">
        <v>2885</v>
      </c>
      <c r="C1780" s="3" t="s">
        <v>2886</v>
      </c>
      <c r="D1780" s="3" t="s">
        <v>2886</v>
      </c>
      <c r="E1780" s="1"/>
      <c r="F1780" s="8" t="s">
        <v>66</v>
      </c>
    </row>
    <row r="1781" spans="1:6" x14ac:dyDescent="0.2">
      <c r="A1781" s="3">
        <v>1778</v>
      </c>
      <c r="B1781" s="3" t="s">
        <v>2887</v>
      </c>
      <c r="C1781" s="3" t="s">
        <v>2886</v>
      </c>
      <c r="D1781" s="3" t="s">
        <v>2886</v>
      </c>
      <c r="E1781" s="1"/>
      <c r="F1781" s="8" t="s">
        <v>66</v>
      </c>
    </row>
    <row r="1782" spans="1:6" x14ac:dyDescent="0.2">
      <c r="A1782" s="3">
        <v>1779</v>
      </c>
      <c r="B1782" s="3" t="s">
        <v>2888</v>
      </c>
      <c r="C1782" s="3" t="s">
        <v>2881</v>
      </c>
      <c r="D1782" s="3" t="s">
        <v>2881</v>
      </c>
      <c r="E1782" s="1"/>
      <c r="F1782" s="8" t="s">
        <v>66</v>
      </c>
    </row>
    <row r="1783" spans="1:6" x14ac:dyDescent="0.2">
      <c r="A1783" s="3">
        <v>1780</v>
      </c>
      <c r="B1783" s="3" t="s">
        <v>2889</v>
      </c>
      <c r="C1783" s="3" t="s">
        <v>2890</v>
      </c>
      <c r="D1783" s="3" t="s">
        <v>2890</v>
      </c>
      <c r="E1783" s="1"/>
      <c r="F1783" s="8" t="s">
        <v>66</v>
      </c>
    </row>
    <row r="1784" spans="1:6" x14ac:dyDescent="0.2">
      <c r="A1784" s="3">
        <v>1781</v>
      </c>
      <c r="B1784" s="3" t="s">
        <v>2891</v>
      </c>
      <c r="C1784" s="3" t="s">
        <v>2892</v>
      </c>
      <c r="D1784" s="3" t="s">
        <v>2892</v>
      </c>
      <c r="E1784" s="1"/>
      <c r="F1784" s="8" t="s">
        <v>66</v>
      </c>
    </row>
    <row r="1785" spans="1:6" x14ac:dyDescent="0.2">
      <c r="A1785" s="3">
        <v>1782</v>
      </c>
      <c r="B1785" s="3" t="s">
        <v>2893</v>
      </c>
      <c r="C1785" s="3" t="s">
        <v>2894</v>
      </c>
      <c r="D1785" s="3" t="s">
        <v>2894</v>
      </c>
      <c r="E1785" s="1"/>
      <c r="F1785" s="8" t="s">
        <v>66</v>
      </c>
    </row>
    <row r="1786" spans="1:6" x14ac:dyDescent="0.2">
      <c r="A1786" s="3">
        <v>1783</v>
      </c>
      <c r="B1786" s="3" t="s">
        <v>2895</v>
      </c>
      <c r="C1786" s="3" t="s">
        <v>2896</v>
      </c>
      <c r="D1786" s="3" t="s">
        <v>2896</v>
      </c>
      <c r="E1786" s="1"/>
      <c r="F1786" s="8" t="s">
        <v>66</v>
      </c>
    </row>
    <row r="1787" spans="1:6" x14ac:dyDescent="0.2">
      <c r="A1787" s="3">
        <v>1784</v>
      </c>
      <c r="B1787" s="3" t="s">
        <v>2897</v>
      </c>
      <c r="C1787" s="3" t="s">
        <v>2898</v>
      </c>
      <c r="D1787" s="3" t="s">
        <v>2898</v>
      </c>
      <c r="E1787" s="1"/>
      <c r="F1787" s="8" t="s">
        <v>66</v>
      </c>
    </row>
    <row r="1788" spans="1:6" x14ac:dyDescent="0.2">
      <c r="A1788" s="3">
        <v>1785</v>
      </c>
      <c r="B1788" s="3" t="s">
        <v>2899</v>
      </c>
      <c r="C1788" s="3" t="s">
        <v>2900</v>
      </c>
      <c r="D1788" s="3" t="s">
        <v>2900</v>
      </c>
      <c r="E1788" s="1"/>
      <c r="F1788" s="8" t="s">
        <v>66</v>
      </c>
    </row>
    <row r="1789" spans="1:6" x14ac:dyDescent="0.2">
      <c r="A1789" s="3">
        <v>1786</v>
      </c>
      <c r="B1789" s="3" t="s">
        <v>2901</v>
      </c>
      <c r="C1789" s="3" t="s">
        <v>2902</v>
      </c>
      <c r="D1789" s="3" t="s">
        <v>2902</v>
      </c>
      <c r="E1789" s="1"/>
      <c r="F1789" s="8" t="s">
        <v>66</v>
      </c>
    </row>
    <row r="1790" spans="1:6" x14ac:dyDescent="0.2">
      <c r="A1790" s="3">
        <v>1787</v>
      </c>
      <c r="B1790" s="3" t="s">
        <v>2903</v>
      </c>
      <c r="C1790" s="3" t="s">
        <v>2902</v>
      </c>
      <c r="D1790" s="3" t="s">
        <v>2902</v>
      </c>
      <c r="E1790" s="1"/>
      <c r="F1790" s="8" t="s">
        <v>66</v>
      </c>
    </row>
    <row r="1791" spans="1:6" x14ac:dyDescent="0.2">
      <c r="A1791" s="3">
        <v>1788</v>
      </c>
      <c r="B1791" s="3" t="s">
        <v>2904</v>
      </c>
      <c r="C1791" s="3" t="s">
        <v>2905</v>
      </c>
      <c r="D1791" s="3" t="s">
        <v>2905</v>
      </c>
      <c r="E1791" s="1"/>
      <c r="F1791" s="8" t="s">
        <v>66</v>
      </c>
    </row>
    <row r="1792" spans="1:6" x14ac:dyDescent="0.2">
      <c r="A1792" s="3">
        <v>1789</v>
      </c>
      <c r="B1792" s="3" t="s">
        <v>2906</v>
      </c>
      <c r="C1792" s="3" t="s">
        <v>2905</v>
      </c>
      <c r="D1792" s="3" t="s">
        <v>2905</v>
      </c>
      <c r="E1792" s="1"/>
      <c r="F1792" s="8" t="s">
        <v>66</v>
      </c>
    </row>
    <row r="1793" spans="1:6" x14ac:dyDescent="0.2">
      <c r="A1793" s="3">
        <v>1790</v>
      </c>
      <c r="B1793" s="3" t="s">
        <v>2907</v>
      </c>
      <c r="C1793" s="3" t="s">
        <v>2905</v>
      </c>
      <c r="D1793" s="3" t="s">
        <v>2905</v>
      </c>
      <c r="E1793" s="1"/>
      <c r="F1793" s="8" t="s">
        <v>66</v>
      </c>
    </row>
    <row r="1794" spans="1:6" x14ac:dyDescent="0.2">
      <c r="A1794" s="3">
        <v>1791</v>
      </c>
      <c r="B1794" s="3" t="s">
        <v>2908</v>
      </c>
      <c r="C1794" s="3" t="s">
        <v>2909</v>
      </c>
      <c r="D1794" s="3" t="s">
        <v>2909</v>
      </c>
      <c r="E1794" s="1"/>
      <c r="F1794" s="8" t="s">
        <v>66</v>
      </c>
    </row>
    <row r="1795" spans="1:6" x14ac:dyDescent="0.2">
      <c r="A1795" s="3">
        <v>1792</v>
      </c>
      <c r="B1795" s="3" t="s">
        <v>2910</v>
      </c>
      <c r="C1795" s="3" t="s">
        <v>2911</v>
      </c>
      <c r="D1795" s="3" t="s">
        <v>2911</v>
      </c>
      <c r="E1795" s="1"/>
      <c r="F1795" s="8" t="s">
        <v>66</v>
      </c>
    </row>
    <row r="1796" spans="1:6" x14ac:dyDescent="0.2">
      <c r="A1796" s="3">
        <v>1793</v>
      </c>
      <c r="B1796" s="3" t="s">
        <v>2912</v>
      </c>
      <c r="C1796" s="3" t="s">
        <v>2911</v>
      </c>
      <c r="D1796" s="3" t="s">
        <v>2911</v>
      </c>
      <c r="E1796" s="1"/>
      <c r="F1796" s="8" t="s">
        <v>66</v>
      </c>
    </row>
    <row r="1797" spans="1:6" x14ac:dyDescent="0.2">
      <c r="A1797" s="3">
        <v>1794</v>
      </c>
      <c r="B1797" s="3" t="s">
        <v>2913</v>
      </c>
      <c r="C1797" s="3" t="s">
        <v>2914</v>
      </c>
      <c r="D1797" s="3" t="s">
        <v>2914</v>
      </c>
      <c r="E1797" s="1"/>
      <c r="F1797" s="8" t="s">
        <v>66</v>
      </c>
    </row>
    <row r="1798" spans="1:6" x14ac:dyDescent="0.2">
      <c r="A1798" s="3">
        <v>1795</v>
      </c>
      <c r="B1798" s="3" t="s">
        <v>2915</v>
      </c>
      <c r="C1798" s="3" t="s">
        <v>2916</v>
      </c>
      <c r="D1798" s="3" t="s">
        <v>2916</v>
      </c>
      <c r="E1798" s="1"/>
      <c r="F1798" s="8" t="s">
        <v>66</v>
      </c>
    </row>
    <row r="1799" spans="1:6" x14ac:dyDescent="0.2">
      <c r="A1799" s="3">
        <v>1796</v>
      </c>
      <c r="B1799" s="3" t="s">
        <v>2917</v>
      </c>
      <c r="C1799" s="3" t="s">
        <v>2918</v>
      </c>
      <c r="D1799" s="3" t="s">
        <v>2918</v>
      </c>
      <c r="E1799" s="1"/>
      <c r="F1799" s="8" t="s">
        <v>66</v>
      </c>
    </row>
    <row r="1800" spans="1:6" x14ac:dyDescent="0.2">
      <c r="A1800" s="3">
        <v>1797</v>
      </c>
      <c r="B1800" s="3" t="s">
        <v>2919</v>
      </c>
      <c r="C1800" s="3" t="s">
        <v>2920</v>
      </c>
      <c r="D1800" s="3" t="s">
        <v>2920</v>
      </c>
      <c r="E1800" s="1"/>
      <c r="F1800" s="8" t="s">
        <v>66</v>
      </c>
    </row>
    <row r="1801" spans="1:6" x14ac:dyDescent="0.2">
      <c r="A1801" s="3">
        <v>1798</v>
      </c>
      <c r="B1801" s="3" t="s">
        <v>2921</v>
      </c>
      <c r="C1801" s="3" t="s">
        <v>2922</v>
      </c>
      <c r="D1801" s="3" t="s">
        <v>2922</v>
      </c>
      <c r="E1801" s="1"/>
      <c r="F1801" s="8" t="s">
        <v>66</v>
      </c>
    </row>
    <row r="1802" spans="1:6" x14ac:dyDescent="0.2">
      <c r="A1802" s="3">
        <v>1799</v>
      </c>
      <c r="B1802" s="3" t="s">
        <v>2923</v>
      </c>
      <c r="C1802" s="3" t="s">
        <v>2922</v>
      </c>
      <c r="D1802" s="3" t="s">
        <v>2922</v>
      </c>
      <c r="E1802" s="1"/>
      <c r="F1802" s="8" t="s">
        <v>66</v>
      </c>
    </row>
    <row r="1803" spans="1:6" x14ac:dyDescent="0.2">
      <c r="A1803" s="3">
        <v>1800</v>
      </c>
      <c r="B1803" s="3" t="s">
        <v>2924</v>
      </c>
      <c r="C1803" s="3" t="s">
        <v>2922</v>
      </c>
      <c r="D1803" s="3" t="s">
        <v>2922</v>
      </c>
      <c r="E1803" s="1"/>
      <c r="F1803" s="8" t="s">
        <v>66</v>
      </c>
    </row>
    <row r="1804" spans="1:6" x14ac:dyDescent="0.2">
      <c r="A1804" s="3">
        <v>1801</v>
      </c>
      <c r="B1804" s="3" t="s">
        <v>2925</v>
      </c>
      <c r="C1804" s="3" t="s">
        <v>2926</v>
      </c>
      <c r="D1804" s="3" t="s">
        <v>2926</v>
      </c>
      <c r="E1804" s="1"/>
      <c r="F1804" s="8" t="s">
        <v>66</v>
      </c>
    </row>
    <row r="1805" spans="1:6" x14ac:dyDescent="0.2">
      <c r="A1805" s="3">
        <v>1802</v>
      </c>
      <c r="B1805" s="3" t="s">
        <v>2927</v>
      </c>
      <c r="C1805" s="3" t="s">
        <v>2928</v>
      </c>
      <c r="D1805" s="3" t="s">
        <v>2928</v>
      </c>
      <c r="E1805" s="1"/>
      <c r="F1805" s="8" t="s">
        <v>66</v>
      </c>
    </row>
    <row r="1806" spans="1:6" x14ac:dyDescent="0.2">
      <c r="A1806" s="3">
        <v>1803</v>
      </c>
      <c r="B1806" s="3" t="s">
        <v>2929</v>
      </c>
      <c r="C1806" s="3" t="s">
        <v>2930</v>
      </c>
      <c r="D1806" s="3" t="s">
        <v>2930</v>
      </c>
      <c r="E1806" s="1"/>
      <c r="F1806" s="8" t="s">
        <v>66</v>
      </c>
    </row>
    <row r="1807" spans="1:6" x14ac:dyDescent="0.2">
      <c r="A1807" s="3">
        <v>1804</v>
      </c>
      <c r="B1807" s="3" t="s">
        <v>2931</v>
      </c>
      <c r="C1807" s="3" t="s">
        <v>2930</v>
      </c>
      <c r="D1807" s="3" t="s">
        <v>2930</v>
      </c>
      <c r="E1807" s="1"/>
      <c r="F1807" s="8" t="s">
        <v>66</v>
      </c>
    </row>
    <row r="1808" spans="1:6" x14ac:dyDescent="0.2">
      <c r="A1808" s="3">
        <v>1805</v>
      </c>
      <c r="B1808" s="3" t="s">
        <v>2932</v>
      </c>
      <c r="C1808" s="3" t="s">
        <v>2930</v>
      </c>
      <c r="D1808" s="3" t="s">
        <v>2930</v>
      </c>
      <c r="E1808" s="1"/>
      <c r="F1808" s="8" t="s">
        <v>66</v>
      </c>
    </row>
    <row r="1809" spans="1:6" x14ac:dyDescent="0.2">
      <c r="A1809" s="3">
        <v>1806</v>
      </c>
      <c r="B1809" s="3" t="s">
        <v>2933</v>
      </c>
      <c r="C1809" s="3" t="s">
        <v>2934</v>
      </c>
      <c r="D1809" s="3" t="s">
        <v>2934</v>
      </c>
      <c r="E1809" s="1"/>
      <c r="F1809" s="8" t="s">
        <v>66</v>
      </c>
    </row>
    <row r="1810" spans="1:6" x14ac:dyDescent="0.2">
      <c r="A1810" s="3">
        <v>1807</v>
      </c>
      <c r="B1810" s="3" t="s">
        <v>2935</v>
      </c>
      <c r="C1810" s="3" t="s">
        <v>2936</v>
      </c>
      <c r="D1810" s="3" t="s">
        <v>2936</v>
      </c>
      <c r="E1810" s="1"/>
      <c r="F1810" s="8" t="s">
        <v>66</v>
      </c>
    </row>
    <row r="1811" spans="1:6" x14ac:dyDescent="0.2">
      <c r="A1811" s="3">
        <v>1808</v>
      </c>
      <c r="B1811" s="3" t="s">
        <v>2937</v>
      </c>
      <c r="C1811" s="3" t="s">
        <v>2936</v>
      </c>
      <c r="D1811" s="3" t="s">
        <v>2936</v>
      </c>
      <c r="E1811" s="1"/>
      <c r="F1811" s="8" t="s">
        <v>66</v>
      </c>
    </row>
    <row r="1812" spans="1:6" x14ac:dyDescent="0.2">
      <c r="A1812" s="3">
        <v>1809</v>
      </c>
      <c r="B1812" s="3" t="s">
        <v>2938</v>
      </c>
      <c r="C1812" s="3" t="s">
        <v>2939</v>
      </c>
      <c r="D1812" s="3" t="s">
        <v>2939</v>
      </c>
      <c r="E1812" s="1"/>
      <c r="F1812" s="8" t="s">
        <v>66</v>
      </c>
    </row>
    <row r="1813" spans="1:6" x14ac:dyDescent="0.2">
      <c r="A1813" s="3">
        <v>1810</v>
      </c>
      <c r="B1813" s="3" t="s">
        <v>2940</v>
      </c>
      <c r="C1813" s="3" t="s">
        <v>2941</v>
      </c>
      <c r="D1813" s="3" t="s">
        <v>2941</v>
      </c>
      <c r="E1813" s="1"/>
      <c r="F1813" s="8" t="s">
        <v>66</v>
      </c>
    </row>
    <row r="1814" spans="1:6" x14ac:dyDescent="0.2">
      <c r="A1814" s="3">
        <v>1811</v>
      </c>
      <c r="B1814" s="3" t="s">
        <v>2942</v>
      </c>
      <c r="C1814" s="3" t="s">
        <v>2943</v>
      </c>
      <c r="D1814" s="3" t="s">
        <v>2943</v>
      </c>
      <c r="E1814" s="1"/>
      <c r="F1814" s="8" t="s">
        <v>66</v>
      </c>
    </row>
    <row r="1815" spans="1:6" x14ac:dyDescent="0.2">
      <c r="A1815" s="3">
        <v>1812</v>
      </c>
      <c r="B1815" s="3" t="s">
        <v>2944</v>
      </c>
      <c r="C1815" s="3" t="s">
        <v>2945</v>
      </c>
      <c r="D1815" s="3" t="s">
        <v>2945</v>
      </c>
      <c r="E1815" s="1"/>
      <c r="F1815" s="8" t="s">
        <v>66</v>
      </c>
    </row>
    <row r="1816" spans="1:6" x14ac:dyDescent="0.2">
      <c r="A1816" s="3">
        <v>1813</v>
      </c>
      <c r="B1816" s="3" t="s">
        <v>2946</v>
      </c>
      <c r="C1816" s="3" t="s">
        <v>2947</v>
      </c>
      <c r="D1816" s="3" t="s">
        <v>2947</v>
      </c>
      <c r="E1816" s="1"/>
      <c r="F1816" s="8" t="s">
        <v>66</v>
      </c>
    </row>
    <row r="1817" spans="1:6" x14ac:dyDescent="0.2">
      <c r="A1817" s="3">
        <v>1814</v>
      </c>
      <c r="B1817" s="3" t="s">
        <v>2948</v>
      </c>
      <c r="C1817" s="3" t="s">
        <v>2949</v>
      </c>
      <c r="D1817" s="3" t="s">
        <v>2949</v>
      </c>
      <c r="E1817" s="1"/>
      <c r="F1817" s="8" t="s">
        <v>66</v>
      </c>
    </row>
    <row r="1818" spans="1:6" x14ac:dyDescent="0.2">
      <c r="A1818" s="3">
        <v>1815</v>
      </c>
      <c r="B1818" s="3" t="s">
        <v>2950</v>
      </c>
      <c r="C1818" s="3" t="s">
        <v>2951</v>
      </c>
      <c r="D1818" s="3" t="s">
        <v>2951</v>
      </c>
      <c r="E1818" s="1"/>
      <c r="F1818" s="8" t="s">
        <v>66</v>
      </c>
    </row>
    <row r="1819" spans="1:6" x14ac:dyDescent="0.2">
      <c r="A1819" s="3">
        <v>1816</v>
      </c>
      <c r="B1819" s="3" t="s">
        <v>2952</v>
      </c>
      <c r="C1819" s="3" t="s">
        <v>2953</v>
      </c>
      <c r="D1819" s="3" t="s">
        <v>2953</v>
      </c>
      <c r="E1819" s="1"/>
      <c r="F1819" s="8" t="s">
        <v>66</v>
      </c>
    </row>
    <row r="1820" spans="1:6" x14ac:dyDescent="0.2">
      <c r="A1820" s="3">
        <v>1817</v>
      </c>
      <c r="B1820" s="3" t="s">
        <v>2954</v>
      </c>
      <c r="C1820" s="3" t="s">
        <v>2953</v>
      </c>
      <c r="D1820" s="3" t="s">
        <v>2953</v>
      </c>
      <c r="E1820" s="1"/>
      <c r="F1820" s="8" t="s">
        <v>66</v>
      </c>
    </row>
    <row r="1821" spans="1:6" x14ac:dyDescent="0.2">
      <c r="A1821" s="3">
        <v>1818</v>
      </c>
      <c r="B1821" s="3" t="s">
        <v>2955</v>
      </c>
      <c r="C1821" s="3" t="s">
        <v>2956</v>
      </c>
      <c r="D1821" s="3" t="s">
        <v>2956</v>
      </c>
      <c r="E1821" s="1"/>
      <c r="F1821" s="8" t="s">
        <v>66</v>
      </c>
    </row>
    <row r="1822" spans="1:6" x14ac:dyDescent="0.2">
      <c r="A1822" s="3">
        <v>1819</v>
      </c>
      <c r="B1822" s="3" t="s">
        <v>2957</v>
      </c>
      <c r="C1822" s="3" t="s">
        <v>2958</v>
      </c>
      <c r="D1822" s="3" t="s">
        <v>2958</v>
      </c>
      <c r="E1822" s="1"/>
      <c r="F1822" s="8" t="s">
        <v>66</v>
      </c>
    </row>
    <row r="1823" spans="1:6" x14ac:dyDescent="0.2">
      <c r="A1823" s="3">
        <v>1820</v>
      </c>
      <c r="B1823" s="3" t="s">
        <v>2959</v>
      </c>
      <c r="C1823" s="3" t="s">
        <v>2960</v>
      </c>
      <c r="D1823" s="3" t="s">
        <v>2960</v>
      </c>
      <c r="E1823" s="1"/>
      <c r="F1823" s="8" t="s">
        <v>66</v>
      </c>
    </row>
    <row r="1824" spans="1:6" x14ac:dyDescent="0.2">
      <c r="A1824" s="3">
        <v>1821</v>
      </c>
      <c r="B1824" s="3" t="s">
        <v>2961</v>
      </c>
      <c r="C1824" s="3" t="s">
        <v>2960</v>
      </c>
      <c r="D1824" s="3" t="s">
        <v>2960</v>
      </c>
      <c r="E1824" s="1"/>
      <c r="F1824" s="8" t="s">
        <v>66</v>
      </c>
    </row>
    <row r="1825" spans="1:6" x14ac:dyDescent="0.2">
      <c r="A1825" s="3">
        <v>1822</v>
      </c>
      <c r="B1825" s="3" t="s">
        <v>2962</v>
      </c>
      <c r="C1825" s="3" t="s">
        <v>2963</v>
      </c>
      <c r="D1825" s="3" t="s">
        <v>2963</v>
      </c>
      <c r="E1825" s="1"/>
      <c r="F1825" s="8" t="s">
        <v>66</v>
      </c>
    </row>
    <row r="1826" spans="1:6" x14ac:dyDescent="0.2">
      <c r="A1826" s="3">
        <v>1823</v>
      </c>
      <c r="B1826" s="3" t="s">
        <v>2964</v>
      </c>
      <c r="C1826" s="3" t="s">
        <v>2965</v>
      </c>
      <c r="D1826" s="3" t="s">
        <v>2965</v>
      </c>
      <c r="E1826" s="1"/>
      <c r="F1826" s="8" t="s">
        <v>66</v>
      </c>
    </row>
    <row r="1827" spans="1:6" x14ac:dyDescent="0.2">
      <c r="A1827" s="3">
        <v>1824</v>
      </c>
      <c r="B1827" s="3" t="s">
        <v>2966</v>
      </c>
      <c r="C1827" s="3" t="s">
        <v>2967</v>
      </c>
      <c r="D1827" s="3" t="s">
        <v>2967</v>
      </c>
      <c r="E1827" s="1"/>
      <c r="F1827" s="8" t="s">
        <v>66</v>
      </c>
    </row>
    <row r="1828" spans="1:6" x14ac:dyDescent="0.2">
      <c r="A1828" s="3">
        <v>1825</v>
      </c>
      <c r="B1828" s="3" t="s">
        <v>2968</v>
      </c>
      <c r="C1828" s="3" t="s">
        <v>2969</v>
      </c>
      <c r="D1828" s="3" t="s">
        <v>2969</v>
      </c>
      <c r="E1828" s="1"/>
      <c r="F1828" s="8" t="s">
        <v>66</v>
      </c>
    </row>
    <row r="1829" spans="1:6" x14ac:dyDescent="0.2">
      <c r="A1829" s="3">
        <v>1826</v>
      </c>
      <c r="B1829" s="3" t="s">
        <v>2970</v>
      </c>
      <c r="C1829" s="3" t="s">
        <v>2971</v>
      </c>
      <c r="D1829" s="3" t="s">
        <v>2971</v>
      </c>
      <c r="E1829" s="1"/>
      <c r="F1829" s="8" t="s">
        <v>66</v>
      </c>
    </row>
    <row r="1830" spans="1:6" x14ac:dyDescent="0.2">
      <c r="A1830" s="3">
        <v>1827</v>
      </c>
      <c r="B1830" s="3" t="s">
        <v>2972</v>
      </c>
      <c r="C1830" s="3" t="s">
        <v>2973</v>
      </c>
      <c r="D1830" s="3" t="s">
        <v>2973</v>
      </c>
      <c r="E1830" s="1"/>
      <c r="F1830" s="8" t="s">
        <v>66</v>
      </c>
    </row>
    <row r="1831" spans="1:6" x14ac:dyDescent="0.2">
      <c r="A1831" s="3">
        <v>1828</v>
      </c>
      <c r="B1831" s="3" t="s">
        <v>2974</v>
      </c>
      <c r="C1831" s="3" t="s">
        <v>2975</v>
      </c>
      <c r="D1831" s="3" t="s">
        <v>2975</v>
      </c>
      <c r="E1831" s="1"/>
      <c r="F1831" s="8" t="s">
        <v>66</v>
      </c>
    </row>
    <row r="1832" spans="1:6" x14ac:dyDescent="0.2">
      <c r="A1832" s="3">
        <v>1829</v>
      </c>
      <c r="B1832" s="3" t="s">
        <v>2976</v>
      </c>
      <c r="C1832" s="3" t="s">
        <v>2975</v>
      </c>
      <c r="D1832" s="3" t="s">
        <v>2975</v>
      </c>
      <c r="E1832" s="1"/>
      <c r="F1832" s="8" t="s">
        <v>66</v>
      </c>
    </row>
    <row r="1833" spans="1:6" x14ac:dyDescent="0.2">
      <c r="A1833" s="3">
        <v>1830</v>
      </c>
      <c r="B1833" s="3" t="s">
        <v>2977</v>
      </c>
      <c r="C1833" s="3" t="s">
        <v>2978</v>
      </c>
      <c r="D1833" s="3" t="s">
        <v>2978</v>
      </c>
      <c r="E1833" s="1"/>
      <c r="F1833" s="8" t="s">
        <v>66</v>
      </c>
    </row>
    <row r="1834" spans="1:6" x14ac:dyDescent="0.2">
      <c r="A1834" s="3">
        <v>1831</v>
      </c>
      <c r="B1834" s="3" t="s">
        <v>2979</v>
      </c>
      <c r="C1834" s="3" t="s">
        <v>2980</v>
      </c>
      <c r="D1834" s="3" t="s">
        <v>2980</v>
      </c>
      <c r="E1834" s="1"/>
      <c r="F1834" s="8" t="s">
        <v>66</v>
      </c>
    </row>
    <row r="1835" spans="1:6" x14ac:dyDescent="0.2">
      <c r="A1835" s="3">
        <v>1832</v>
      </c>
      <c r="B1835" s="3" t="s">
        <v>2981</v>
      </c>
      <c r="C1835" s="3" t="s">
        <v>2980</v>
      </c>
      <c r="D1835" s="3" t="s">
        <v>2980</v>
      </c>
      <c r="E1835" s="1"/>
      <c r="F1835" s="8" t="s">
        <v>66</v>
      </c>
    </row>
    <row r="1836" spans="1:6" x14ac:dyDescent="0.2">
      <c r="A1836" s="3">
        <v>1833</v>
      </c>
      <c r="B1836" s="3" t="s">
        <v>2982</v>
      </c>
      <c r="C1836" s="3" t="s">
        <v>2983</v>
      </c>
      <c r="D1836" s="3" t="s">
        <v>2983</v>
      </c>
      <c r="E1836" s="1"/>
      <c r="F1836" s="8" t="s">
        <v>66</v>
      </c>
    </row>
    <row r="1837" spans="1:6" x14ac:dyDescent="0.2">
      <c r="A1837" s="3">
        <v>1834</v>
      </c>
      <c r="B1837" s="3" t="s">
        <v>2984</v>
      </c>
      <c r="C1837" s="3" t="s">
        <v>2985</v>
      </c>
      <c r="D1837" s="3" t="s">
        <v>2985</v>
      </c>
      <c r="E1837" s="1"/>
      <c r="F1837" s="8" t="s">
        <v>66</v>
      </c>
    </row>
    <row r="1838" spans="1:6" x14ac:dyDescent="0.2">
      <c r="A1838" s="3">
        <v>1835</v>
      </c>
      <c r="B1838" s="3" t="s">
        <v>2986</v>
      </c>
      <c r="C1838" s="3" t="s">
        <v>2985</v>
      </c>
      <c r="D1838" s="3" t="s">
        <v>2985</v>
      </c>
      <c r="E1838" s="1"/>
      <c r="F1838" s="8" t="s">
        <v>66</v>
      </c>
    </row>
    <row r="1839" spans="1:6" x14ac:dyDescent="0.2">
      <c r="A1839" s="3">
        <v>1836</v>
      </c>
      <c r="B1839" s="3" t="s">
        <v>2987</v>
      </c>
      <c r="C1839" s="3" t="s">
        <v>2988</v>
      </c>
      <c r="D1839" s="3" t="s">
        <v>2988</v>
      </c>
      <c r="E1839" s="1"/>
      <c r="F1839" s="8" t="s">
        <v>66</v>
      </c>
    </row>
    <row r="1840" spans="1:6" x14ac:dyDescent="0.2">
      <c r="A1840" s="3">
        <v>1837</v>
      </c>
      <c r="B1840" s="3" t="s">
        <v>2989</v>
      </c>
      <c r="C1840" s="3" t="s">
        <v>2988</v>
      </c>
      <c r="D1840" s="3" t="s">
        <v>2988</v>
      </c>
      <c r="E1840" s="1"/>
      <c r="F1840" s="8" t="s">
        <v>66</v>
      </c>
    </row>
    <row r="1841" spans="1:6" x14ac:dyDescent="0.2">
      <c r="A1841" s="3">
        <v>1838</v>
      </c>
      <c r="B1841" s="3" t="s">
        <v>2990</v>
      </c>
      <c r="C1841" s="3" t="s">
        <v>2991</v>
      </c>
      <c r="D1841" s="3" t="s">
        <v>2991</v>
      </c>
      <c r="E1841" s="1"/>
      <c r="F1841" s="8" t="s">
        <v>66</v>
      </c>
    </row>
    <row r="1842" spans="1:6" x14ac:dyDescent="0.2">
      <c r="A1842" s="3">
        <v>1839</v>
      </c>
      <c r="B1842" s="3" t="s">
        <v>2992</v>
      </c>
      <c r="C1842" s="3" t="s">
        <v>2993</v>
      </c>
      <c r="D1842" s="3" t="s">
        <v>2993</v>
      </c>
      <c r="E1842" s="1"/>
      <c r="F1842" s="8" t="s">
        <v>66</v>
      </c>
    </row>
    <row r="1843" spans="1:6" x14ac:dyDescent="0.2">
      <c r="A1843" s="3">
        <v>1840</v>
      </c>
      <c r="B1843" s="3" t="s">
        <v>2994</v>
      </c>
      <c r="C1843" s="3" t="s">
        <v>2995</v>
      </c>
      <c r="D1843" s="3" t="s">
        <v>2995</v>
      </c>
      <c r="E1843" s="1"/>
      <c r="F1843" s="8" t="s">
        <v>66</v>
      </c>
    </row>
    <row r="1844" spans="1:6" x14ac:dyDescent="0.2">
      <c r="A1844" s="3">
        <v>1841</v>
      </c>
      <c r="B1844" s="3" t="s">
        <v>2996</v>
      </c>
      <c r="C1844" s="3" t="s">
        <v>2997</v>
      </c>
      <c r="D1844" s="3" t="s">
        <v>2997</v>
      </c>
      <c r="E1844" s="1"/>
      <c r="F1844" s="8" t="s">
        <v>66</v>
      </c>
    </row>
    <row r="1845" spans="1:6" x14ac:dyDescent="0.2">
      <c r="A1845" s="3">
        <v>1842</v>
      </c>
      <c r="B1845" s="3" t="s">
        <v>2998</v>
      </c>
      <c r="C1845" s="3" t="s">
        <v>2999</v>
      </c>
      <c r="D1845" s="3" t="s">
        <v>2999</v>
      </c>
      <c r="E1845" s="1"/>
      <c r="F1845" s="8" t="s">
        <v>66</v>
      </c>
    </row>
    <row r="1846" spans="1:6" x14ac:dyDescent="0.2">
      <c r="A1846" s="3">
        <v>1843</v>
      </c>
      <c r="B1846" s="3" t="s">
        <v>3000</v>
      </c>
      <c r="C1846" s="3" t="s">
        <v>2999</v>
      </c>
      <c r="D1846" s="3" t="s">
        <v>2999</v>
      </c>
      <c r="E1846" s="1"/>
      <c r="F1846" s="8" t="s">
        <v>66</v>
      </c>
    </row>
    <row r="1847" spans="1:6" x14ac:dyDescent="0.2">
      <c r="A1847" s="3">
        <v>1844</v>
      </c>
      <c r="B1847" s="3" t="s">
        <v>3001</v>
      </c>
      <c r="C1847" s="3" t="s">
        <v>2999</v>
      </c>
      <c r="D1847" s="3" t="s">
        <v>2999</v>
      </c>
      <c r="E1847" s="1"/>
      <c r="F1847" s="8" t="s">
        <v>66</v>
      </c>
    </row>
    <row r="1848" spans="1:6" x14ac:dyDescent="0.2">
      <c r="A1848" s="3">
        <v>1845</v>
      </c>
      <c r="B1848" s="3" t="s">
        <v>3002</v>
      </c>
      <c r="C1848" s="3" t="s">
        <v>3003</v>
      </c>
      <c r="D1848" s="3" t="s">
        <v>3003</v>
      </c>
      <c r="E1848" s="1"/>
      <c r="F1848" s="8" t="s">
        <v>66</v>
      </c>
    </row>
    <row r="1849" spans="1:6" x14ac:dyDescent="0.2">
      <c r="A1849" s="3">
        <v>1846</v>
      </c>
      <c r="B1849" s="3" t="s">
        <v>3004</v>
      </c>
      <c r="C1849" s="3" t="s">
        <v>3005</v>
      </c>
      <c r="D1849" s="3" t="s">
        <v>3005</v>
      </c>
      <c r="E1849" s="1"/>
      <c r="F1849" s="8" t="s">
        <v>66</v>
      </c>
    </row>
    <row r="1850" spans="1:6" x14ac:dyDescent="0.2">
      <c r="A1850" s="3">
        <v>1847</v>
      </c>
      <c r="B1850" s="3" t="s">
        <v>3006</v>
      </c>
      <c r="C1850" s="3" t="s">
        <v>3007</v>
      </c>
      <c r="D1850" s="3" t="s">
        <v>3007</v>
      </c>
      <c r="E1850" s="1"/>
      <c r="F1850" s="8" t="s">
        <v>66</v>
      </c>
    </row>
    <row r="1851" spans="1:6" x14ac:dyDescent="0.2">
      <c r="A1851" s="3">
        <v>1848</v>
      </c>
      <c r="B1851" s="3" t="s">
        <v>3008</v>
      </c>
      <c r="C1851" s="3" t="s">
        <v>3007</v>
      </c>
      <c r="D1851" s="3" t="s">
        <v>3007</v>
      </c>
      <c r="E1851" s="1"/>
      <c r="F1851" s="8" t="s">
        <v>66</v>
      </c>
    </row>
    <row r="1852" spans="1:6" x14ac:dyDescent="0.2">
      <c r="A1852" s="3">
        <v>1849</v>
      </c>
      <c r="B1852" s="3" t="s">
        <v>3009</v>
      </c>
      <c r="C1852" s="3" t="s">
        <v>3010</v>
      </c>
      <c r="D1852" s="3" t="s">
        <v>3010</v>
      </c>
      <c r="E1852" s="1"/>
      <c r="F1852" s="8" t="s">
        <v>66</v>
      </c>
    </row>
    <row r="1853" spans="1:6" x14ac:dyDescent="0.2">
      <c r="A1853" s="3">
        <v>1850</v>
      </c>
      <c r="B1853" s="3" t="s">
        <v>3011</v>
      </c>
      <c r="C1853" s="3" t="s">
        <v>3012</v>
      </c>
      <c r="D1853" s="3" t="s">
        <v>3012</v>
      </c>
      <c r="E1853" s="1"/>
      <c r="F1853" s="8" t="s">
        <v>66</v>
      </c>
    </row>
    <row r="1854" spans="1:6" x14ac:dyDescent="0.2">
      <c r="A1854" s="3">
        <v>1851</v>
      </c>
      <c r="B1854" s="3" t="s">
        <v>3013</v>
      </c>
      <c r="C1854" s="3" t="s">
        <v>3013</v>
      </c>
      <c r="D1854" s="3" t="s">
        <v>3013</v>
      </c>
      <c r="E1854" s="1" t="s">
        <v>3014</v>
      </c>
      <c r="F1854" s="8" t="s">
        <v>66</v>
      </c>
    </row>
    <row r="1855" spans="1:6" ht="21" x14ac:dyDescent="0.2">
      <c r="A1855" s="3">
        <v>1852</v>
      </c>
      <c r="B1855" s="3" t="s">
        <v>3015</v>
      </c>
      <c r="C1855" s="3" t="s">
        <v>3015</v>
      </c>
      <c r="D1855" s="3" t="s">
        <v>3015</v>
      </c>
      <c r="E1855" s="1" t="s">
        <v>3016</v>
      </c>
      <c r="F1855" s="8" t="s">
        <v>66</v>
      </c>
    </row>
    <row r="1856" spans="1:6" x14ac:dyDescent="0.2">
      <c r="A1856" s="3">
        <v>1853</v>
      </c>
      <c r="B1856" s="3" t="s">
        <v>3017</v>
      </c>
      <c r="C1856" s="3" t="s">
        <v>3018</v>
      </c>
      <c r="D1856" s="3" t="s">
        <v>3018</v>
      </c>
      <c r="E1856" s="1"/>
      <c r="F1856" s="8" t="s">
        <v>66</v>
      </c>
    </row>
    <row r="1857" spans="1:6" x14ac:dyDescent="0.2">
      <c r="A1857" s="3">
        <v>1854</v>
      </c>
      <c r="B1857" s="3" t="s">
        <v>3019</v>
      </c>
      <c r="C1857" s="3" t="s">
        <v>3018</v>
      </c>
      <c r="D1857" s="3" t="s">
        <v>3018</v>
      </c>
      <c r="E1857" s="1"/>
      <c r="F1857" s="8" t="s">
        <v>66</v>
      </c>
    </row>
    <row r="1858" spans="1:6" x14ac:dyDescent="0.2">
      <c r="A1858" s="3">
        <v>1855</v>
      </c>
      <c r="B1858" s="3" t="s">
        <v>3020</v>
      </c>
      <c r="C1858" s="3" t="s">
        <v>3018</v>
      </c>
      <c r="D1858" s="3" t="s">
        <v>3018</v>
      </c>
      <c r="E1858" s="1"/>
      <c r="F1858" s="8" t="s">
        <v>66</v>
      </c>
    </row>
    <row r="1859" spans="1:6" x14ac:dyDescent="0.2">
      <c r="A1859" s="3">
        <v>1856</v>
      </c>
      <c r="B1859" s="3" t="s">
        <v>3021</v>
      </c>
      <c r="C1859" s="3" t="s">
        <v>3022</v>
      </c>
      <c r="D1859" s="3" t="s">
        <v>3022</v>
      </c>
      <c r="E1859" s="1"/>
      <c r="F1859" s="8" t="s">
        <v>66</v>
      </c>
    </row>
    <row r="1860" spans="1:6" x14ac:dyDescent="0.2">
      <c r="A1860" s="3">
        <v>1857</v>
      </c>
      <c r="B1860" s="3" t="s">
        <v>3023</v>
      </c>
      <c r="C1860" s="3" t="s">
        <v>3022</v>
      </c>
      <c r="D1860" s="3" t="s">
        <v>3022</v>
      </c>
      <c r="E1860" s="1"/>
      <c r="F1860" s="8" t="s">
        <v>66</v>
      </c>
    </row>
    <row r="1861" spans="1:6" x14ac:dyDescent="0.2">
      <c r="A1861" s="3">
        <v>1858</v>
      </c>
      <c r="B1861" s="3" t="s">
        <v>3024</v>
      </c>
      <c r="C1861" s="3" t="s">
        <v>3025</v>
      </c>
      <c r="D1861" s="3" t="s">
        <v>3025</v>
      </c>
      <c r="E1861" s="1"/>
      <c r="F1861" s="8" t="s">
        <v>66</v>
      </c>
    </row>
    <row r="1862" spans="1:6" x14ac:dyDescent="0.2">
      <c r="A1862" s="3">
        <v>1859</v>
      </c>
      <c r="B1862" s="3" t="s">
        <v>3026</v>
      </c>
      <c r="C1862" s="3" t="s">
        <v>3027</v>
      </c>
      <c r="D1862" s="3" t="s">
        <v>3027</v>
      </c>
      <c r="E1862" s="1"/>
      <c r="F1862" s="8" t="s">
        <v>66</v>
      </c>
    </row>
    <row r="1863" spans="1:6" x14ac:dyDescent="0.2">
      <c r="A1863" s="3">
        <v>1860</v>
      </c>
      <c r="B1863" s="3" t="s">
        <v>3028</v>
      </c>
      <c r="C1863" s="3" t="s">
        <v>3029</v>
      </c>
      <c r="D1863" s="3" t="s">
        <v>3029</v>
      </c>
      <c r="E1863" s="1"/>
      <c r="F1863" s="8" t="s">
        <v>66</v>
      </c>
    </row>
    <row r="1864" spans="1:6" x14ac:dyDescent="0.2">
      <c r="A1864" s="3">
        <v>1861</v>
      </c>
      <c r="B1864" s="3" t="s">
        <v>3030</v>
      </c>
      <c r="C1864" s="3" t="s">
        <v>3031</v>
      </c>
      <c r="D1864" s="3" t="s">
        <v>3031</v>
      </c>
      <c r="E1864" s="1"/>
      <c r="F1864" s="8" t="s">
        <v>66</v>
      </c>
    </row>
    <row r="1865" spans="1:6" x14ac:dyDescent="0.2">
      <c r="A1865" s="3">
        <v>1862</v>
      </c>
      <c r="B1865" s="3" t="s">
        <v>3032</v>
      </c>
      <c r="C1865" s="3" t="s">
        <v>3031</v>
      </c>
      <c r="D1865" s="3" t="s">
        <v>3031</v>
      </c>
      <c r="E1865" s="1"/>
      <c r="F1865" s="8" t="s">
        <v>66</v>
      </c>
    </row>
    <row r="1866" spans="1:6" x14ac:dyDescent="0.2">
      <c r="A1866" s="3">
        <v>1863</v>
      </c>
      <c r="B1866" s="3" t="s">
        <v>3033</v>
      </c>
      <c r="C1866" s="3" t="s">
        <v>3034</v>
      </c>
      <c r="D1866" s="3" t="s">
        <v>3034</v>
      </c>
      <c r="E1866" s="1"/>
      <c r="F1866" s="8" t="s">
        <v>66</v>
      </c>
    </row>
    <row r="1867" spans="1:6" x14ac:dyDescent="0.2">
      <c r="A1867" s="3">
        <v>1864</v>
      </c>
      <c r="B1867" s="3" t="s">
        <v>3035</v>
      </c>
      <c r="C1867" s="3" t="s">
        <v>3036</v>
      </c>
      <c r="D1867" s="3" t="s">
        <v>3036</v>
      </c>
      <c r="E1867" s="1"/>
      <c r="F1867" s="8" t="s">
        <v>66</v>
      </c>
    </row>
    <row r="1868" spans="1:6" x14ac:dyDescent="0.2">
      <c r="A1868" s="3">
        <v>1865</v>
      </c>
      <c r="B1868" s="3" t="s">
        <v>3037</v>
      </c>
      <c r="C1868" s="3" t="s">
        <v>3036</v>
      </c>
      <c r="D1868" s="3" t="s">
        <v>3036</v>
      </c>
      <c r="E1868" s="1"/>
      <c r="F1868" s="8" t="s">
        <v>66</v>
      </c>
    </row>
    <row r="1869" spans="1:6" x14ac:dyDescent="0.2">
      <c r="A1869" s="3">
        <v>1866</v>
      </c>
      <c r="B1869" s="3" t="s">
        <v>3038</v>
      </c>
      <c r="C1869" s="3" t="s">
        <v>3039</v>
      </c>
      <c r="D1869" s="3" t="s">
        <v>3039</v>
      </c>
      <c r="E1869" s="1"/>
      <c r="F1869" s="8" t="s">
        <v>66</v>
      </c>
    </row>
    <row r="1870" spans="1:6" x14ac:dyDescent="0.2">
      <c r="A1870" s="3">
        <v>1867</v>
      </c>
      <c r="B1870" s="3" t="s">
        <v>3040</v>
      </c>
      <c r="C1870" s="3" t="s">
        <v>3039</v>
      </c>
      <c r="D1870" s="3" t="s">
        <v>3039</v>
      </c>
      <c r="E1870" s="1"/>
      <c r="F1870" s="8" t="s">
        <v>66</v>
      </c>
    </row>
    <row r="1871" spans="1:6" x14ac:dyDescent="0.2">
      <c r="A1871" s="3">
        <v>1868</v>
      </c>
      <c r="B1871" s="3" t="s">
        <v>3041</v>
      </c>
      <c r="C1871" s="3" t="s">
        <v>3042</v>
      </c>
      <c r="D1871" s="3" t="s">
        <v>3042</v>
      </c>
      <c r="E1871" s="1"/>
      <c r="F1871" s="8" t="s">
        <v>66</v>
      </c>
    </row>
    <row r="1872" spans="1:6" x14ac:dyDescent="0.2">
      <c r="A1872" s="3">
        <v>1869</v>
      </c>
      <c r="B1872" s="3" t="s">
        <v>3043</v>
      </c>
      <c r="C1872" s="3" t="s">
        <v>3042</v>
      </c>
      <c r="D1872" s="3" t="s">
        <v>3042</v>
      </c>
      <c r="E1872" s="1"/>
      <c r="F1872" s="8" t="s">
        <v>66</v>
      </c>
    </row>
    <row r="1873" spans="1:6" x14ac:dyDescent="0.2">
      <c r="A1873" s="3">
        <v>1870</v>
      </c>
      <c r="B1873" s="3" t="s">
        <v>3044</v>
      </c>
      <c r="C1873" s="3" t="s">
        <v>3045</v>
      </c>
      <c r="D1873" s="3" t="s">
        <v>3045</v>
      </c>
      <c r="E1873" s="1"/>
      <c r="F1873" s="8" t="s">
        <v>66</v>
      </c>
    </row>
    <row r="1874" spans="1:6" x14ac:dyDescent="0.2">
      <c r="A1874" s="3">
        <v>1871</v>
      </c>
      <c r="B1874" s="3" t="s">
        <v>3046</v>
      </c>
      <c r="C1874" s="3" t="s">
        <v>3047</v>
      </c>
      <c r="D1874" s="3" t="s">
        <v>3047</v>
      </c>
      <c r="E1874" s="1"/>
      <c r="F1874" s="8" t="s">
        <v>66</v>
      </c>
    </row>
    <row r="1875" spans="1:6" x14ac:dyDescent="0.2">
      <c r="A1875" s="3">
        <v>1872</v>
      </c>
      <c r="B1875" s="3" t="s">
        <v>3048</v>
      </c>
      <c r="C1875" s="3" t="s">
        <v>3049</v>
      </c>
      <c r="D1875" s="3" t="s">
        <v>3049</v>
      </c>
      <c r="E1875" s="1"/>
      <c r="F1875" s="8" t="s">
        <v>66</v>
      </c>
    </row>
    <row r="1876" spans="1:6" x14ac:dyDescent="0.2">
      <c r="A1876" s="3">
        <v>1873</v>
      </c>
      <c r="B1876" s="3" t="s">
        <v>3050</v>
      </c>
      <c r="C1876" s="3" t="s">
        <v>3049</v>
      </c>
      <c r="D1876" s="3" t="s">
        <v>3049</v>
      </c>
      <c r="E1876" s="1"/>
      <c r="F1876" s="8" t="s">
        <v>66</v>
      </c>
    </row>
    <row r="1877" spans="1:6" x14ac:dyDescent="0.2">
      <c r="A1877" s="3">
        <v>1874</v>
      </c>
      <c r="B1877" s="3" t="s">
        <v>3051</v>
      </c>
      <c r="C1877" s="3" t="s">
        <v>3052</v>
      </c>
      <c r="D1877" s="3" t="s">
        <v>3052</v>
      </c>
      <c r="E1877" s="1"/>
      <c r="F1877" s="8" t="s">
        <v>66</v>
      </c>
    </row>
    <row r="1878" spans="1:6" x14ac:dyDescent="0.2">
      <c r="A1878" s="3">
        <v>1875</v>
      </c>
      <c r="B1878" s="3" t="s">
        <v>3053</v>
      </c>
      <c r="C1878" s="3" t="s">
        <v>3054</v>
      </c>
      <c r="D1878" s="3" t="s">
        <v>3054</v>
      </c>
      <c r="E1878" s="1"/>
      <c r="F1878" s="8" t="s">
        <v>66</v>
      </c>
    </row>
    <row r="1879" spans="1:6" x14ac:dyDescent="0.2">
      <c r="A1879" s="3">
        <v>1876</v>
      </c>
      <c r="B1879" s="3" t="s">
        <v>3055</v>
      </c>
      <c r="C1879" s="3" t="s">
        <v>3056</v>
      </c>
      <c r="D1879" s="3" t="s">
        <v>3056</v>
      </c>
      <c r="E1879" s="1"/>
      <c r="F1879" s="8" t="s">
        <v>66</v>
      </c>
    </row>
    <row r="1880" spans="1:6" x14ac:dyDescent="0.2">
      <c r="A1880" s="3">
        <v>1877</v>
      </c>
      <c r="B1880" s="3" t="s">
        <v>3057</v>
      </c>
      <c r="C1880" s="3" t="s">
        <v>3058</v>
      </c>
      <c r="D1880" s="3" t="s">
        <v>3058</v>
      </c>
      <c r="E1880" s="1"/>
      <c r="F1880" s="8" t="s">
        <v>66</v>
      </c>
    </row>
    <row r="1881" spans="1:6" x14ac:dyDescent="0.2">
      <c r="A1881" s="3">
        <v>1878</v>
      </c>
      <c r="B1881" s="3" t="s">
        <v>3059</v>
      </c>
      <c r="C1881" s="3" t="s">
        <v>3058</v>
      </c>
      <c r="D1881" s="3" t="s">
        <v>3058</v>
      </c>
      <c r="E1881" s="1"/>
      <c r="F1881" s="8" t="s">
        <v>66</v>
      </c>
    </row>
    <row r="1882" spans="1:6" x14ac:dyDescent="0.2">
      <c r="A1882" s="3">
        <v>1879</v>
      </c>
      <c r="B1882" s="3" t="s">
        <v>3060</v>
      </c>
      <c r="C1882" s="3" t="s">
        <v>3058</v>
      </c>
      <c r="D1882" s="3" t="s">
        <v>3058</v>
      </c>
      <c r="E1882" s="1"/>
      <c r="F1882" s="8" t="s">
        <v>66</v>
      </c>
    </row>
    <row r="1883" spans="1:6" x14ac:dyDescent="0.2">
      <c r="A1883" s="3">
        <v>1880</v>
      </c>
      <c r="B1883" s="3" t="s">
        <v>3061</v>
      </c>
      <c r="C1883" s="3" t="s">
        <v>3062</v>
      </c>
      <c r="D1883" s="3" t="s">
        <v>3062</v>
      </c>
      <c r="E1883" s="1"/>
      <c r="F1883" s="8" t="s">
        <v>66</v>
      </c>
    </row>
    <row r="1884" spans="1:6" x14ac:dyDescent="0.2">
      <c r="A1884" s="3">
        <v>1881</v>
      </c>
      <c r="B1884" s="3" t="s">
        <v>3063</v>
      </c>
      <c r="C1884" s="3" t="s">
        <v>3064</v>
      </c>
      <c r="D1884" s="3" t="s">
        <v>3064</v>
      </c>
      <c r="E1884" s="1"/>
      <c r="F1884" s="8" t="s">
        <v>66</v>
      </c>
    </row>
    <row r="1885" spans="1:6" x14ac:dyDescent="0.2">
      <c r="A1885" s="3">
        <v>1882</v>
      </c>
      <c r="B1885" s="3" t="s">
        <v>3065</v>
      </c>
      <c r="C1885" s="3" t="s">
        <v>3064</v>
      </c>
      <c r="D1885" s="3" t="s">
        <v>3064</v>
      </c>
      <c r="E1885" s="1"/>
      <c r="F1885" s="8" t="s">
        <v>66</v>
      </c>
    </row>
    <row r="1886" spans="1:6" x14ac:dyDescent="0.2">
      <c r="A1886" s="3">
        <v>1883</v>
      </c>
      <c r="B1886" s="3" t="s">
        <v>3066</v>
      </c>
      <c r="C1886" s="3" t="s">
        <v>3067</v>
      </c>
      <c r="D1886" s="3" t="s">
        <v>3067</v>
      </c>
      <c r="E1886" s="1"/>
      <c r="F1886" s="8" t="s">
        <v>66</v>
      </c>
    </row>
    <row r="1887" spans="1:6" x14ac:dyDescent="0.2">
      <c r="A1887" s="3">
        <v>1884</v>
      </c>
      <c r="B1887" s="3" t="s">
        <v>3068</v>
      </c>
      <c r="C1887" s="3" t="s">
        <v>3067</v>
      </c>
      <c r="D1887" s="3" t="s">
        <v>3067</v>
      </c>
      <c r="E1887" s="1"/>
      <c r="F1887" s="8" t="s">
        <v>66</v>
      </c>
    </row>
    <row r="1888" spans="1:6" x14ac:dyDescent="0.2">
      <c r="A1888" s="3">
        <v>1885</v>
      </c>
      <c r="B1888" s="3" t="s">
        <v>3069</v>
      </c>
      <c r="C1888" s="3" t="s">
        <v>3070</v>
      </c>
      <c r="D1888" s="3" t="s">
        <v>3070</v>
      </c>
      <c r="E1888" s="1"/>
      <c r="F1888" s="8" t="s">
        <v>66</v>
      </c>
    </row>
    <row r="1889" spans="1:6" x14ac:dyDescent="0.2">
      <c r="A1889" s="3">
        <v>1886</v>
      </c>
      <c r="B1889" s="3" t="s">
        <v>3071</v>
      </c>
      <c r="C1889" s="3" t="s">
        <v>3072</v>
      </c>
      <c r="D1889" s="3" t="s">
        <v>3072</v>
      </c>
      <c r="E1889" s="1"/>
      <c r="F1889" s="8" t="s">
        <v>66</v>
      </c>
    </row>
    <row r="1890" spans="1:6" x14ac:dyDescent="0.2">
      <c r="A1890" s="3">
        <v>1887</v>
      </c>
      <c r="B1890" s="3" t="s">
        <v>3073</v>
      </c>
      <c r="C1890" s="3" t="s">
        <v>3074</v>
      </c>
      <c r="D1890" s="3" t="s">
        <v>3074</v>
      </c>
      <c r="E1890" s="1"/>
      <c r="F1890" s="8" t="s">
        <v>66</v>
      </c>
    </row>
    <row r="1891" spans="1:6" x14ac:dyDescent="0.2">
      <c r="A1891" s="3">
        <v>1888</v>
      </c>
      <c r="B1891" s="3" t="s">
        <v>3075</v>
      </c>
      <c r="C1891" s="3" t="s">
        <v>3076</v>
      </c>
      <c r="D1891" s="3" t="s">
        <v>3076</v>
      </c>
      <c r="E1891" s="1"/>
      <c r="F1891" s="8" t="s">
        <v>66</v>
      </c>
    </row>
    <row r="1892" spans="1:6" x14ac:dyDescent="0.2">
      <c r="A1892" s="3">
        <v>1889</v>
      </c>
      <c r="B1892" s="3" t="s">
        <v>3077</v>
      </c>
      <c r="C1892" s="3" t="s">
        <v>3076</v>
      </c>
      <c r="D1892" s="3" t="s">
        <v>3076</v>
      </c>
      <c r="E1892" s="1"/>
      <c r="F1892" s="8" t="s">
        <v>66</v>
      </c>
    </row>
    <row r="1893" spans="1:6" x14ac:dyDescent="0.2">
      <c r="A1893" s="3">
        <v>1890</v>
      </c>
      <c r="B1893" s="3" t="s">
        <v>3078</v>
      </c>
      <c r="C1893" s="3" t="s">
        <v>3079</v>
      </c>
      <c r="D1893" s="3" t="s">
        <v>3079</v>
      </c>
      <c r="E1893" s="1"/>
      <c r="F1893" s="8" t="s">
        <v>66</v>
      </c>
    </row>
    <row r="1894" spans="1:6" x14ac:dyDescent="0.2">
      <c r="A1894" s="3">
        <v>1891</v>
      </c>
      <c r="B1894" s="3" t="s">
        <v>3080</v>
      </c>
      <c r="C1894" s="3" t="s">
        <v>3079</v>
      </c>
      <c r="D1894" s="3" t="s">
        <v>3079</v>
      </c>
      <c r="E1894" s="1"/>
      <c r="F1894" s="8" t="s">
        <v>66</v>
      </c>
    </row>
    <row r="1895" spans="1:6" x14ac:dyDescent="0.2">
      <c r="A1895" s="3">
        <v>1892</v>
      </c>
      <c r="B1895" s="3" t="s">
        <v>3081</v>
      </c>
      <c r="C1895" s="3" t="s">
        <v>3082</v>
      </c>
      <c r="D1895" s="3" t="s">
        <v>3082</v>
      </c>
      <c r="E1895" s="1"/>
      <c r="F1895" s="8" t="s">
        <v>66</v>
      </c>
    </row>
    <row r="1896" spans="1:6" x14ac:dyDescent="0.2">
      <c r="A1896" s="3">
        <v>1893</v>
      </c>
      <c r="B1896" s="3" t="s">
        <v>3083</v>
      </c>
      <c r="C1896" s="3" t="s">
        <v>3084</v>
      </c>
      <c r="D1896" s="3" t="s">
        <v>3084</v>
      </c>
      <c r="E1896" s="1"/>
      <c r="F1896" s="8" t="s">
        <v>66</v>
      </c>
    </row>
    <row r="1897" spans="1:6" x14ac:dyDescent="0.2">
      <c r="A1897" s="3">
        <v>1894</v>
      </c>
      <c r="B1897" s="3" t="s">
        <v>3085</v>
      </c>
      <c r="C1897" s="3" t="s">
        <v>3086</v>
      </c>
      <c r="D1897" s="3" t="s">
        <v>3086</v>
      </c>
      <c r="E1897" s="1"/>
      <c r="F1897" s="8" t="s">
        <v>66</v>
      </c>
    </row>
    <row r="1898" spans="1:6" x14ac:dyDescent="0.2">
      <c r="A1898" s="3">
        <v>1895</v>
      </c>
      <c r="B1898" s="3" t="s">
        <v>3087</v>
      </c>
      <c r="C1898" s="3" t="s">
        <v>3086</v>
      </c>
      <c r="D1898" s="3" t="s">
        <v>3086</v>
      </c>
      <c r="E1898" s="1"/>
      <c r="F1898" s="8" t="s">
        <v>66</v>
      </c>
    </row>
    <row r="1899" spans="1:6" x14ac:dyDescent="0.2">
      <c r="A1899" s="3">
        <v>1896</v>
      </c>
      <c r="B1899" s="3" t="s">
        <v>3088</v>
      </c>
      <c r="C1899" s="3" t="s">
        <v>3089</v>
      </c>
      <c r="D1899" s="3" t="s">
        <v>3089</v>
      </c>
      <c r="E1899" s="1"/>
      <c r="F1899" s="8" t="s">
        <v>66</v>
      </c>
    </row>
    <row r="1900" spans="1:6" x14ac:dyDescent="0.2">
      <c r="A1900" s="3">
        <v>1897</v>
      </c>
      <c r="B1900" s="3" t="s">
        <v>3090</v>
      </c>
      <c r="C1900" s="3" t="s">
        <v>3091</v>
      </c>
      <c r="D1900" s="3" t="s">
        <v>3091</v>
      </c>
      <c r="E1900" s="1"/>
      <c r="F1900" s="8" t="s">
        <v>66</v>
      </c>
    </row>
    <row r="1901" spans="1:6" x14ac:dyDescent="0.2">
      <c r="A1901" s="3">
        <v>1898</v>
      </c>
      <c r="B1901" s="3" t="s">
        <v>3092</v>
      </c>
      <c r="C1901" s="3" t="s">
        <v>3093</v>
      </c>
      <c r="D1901" s="3" t="s">
        <v>3093</v>
      </c>
      <c r="E1901" s="1"/>
      <c r="F1901" s="8" t="s">
        <v>66</v>
      </c>
    </row>
    <row r="1902" spans="1:6" x14ac:dyDescent="0.2">
      <c r="A1902" s="3">
        <v>1899</v>
      </c>
      <c r="B1902" s="3" t="s">
        <v>3094</v>
      </c>
      <c r="C1902" s="3" t="s">
        <v>3095</v>
      </c>
      <c r="D1902" s="3" t="s">
        <v>3095</v>
      </c>
      <c r="E1902" s="1"/>
      <c r="F1902" s="8" t="s">
        <v>66</v>
      </c>
    </row>
    <row r="1903" spans="1:6" x14ac:dyDescent="0.2">
      <c r="A1903" s="3">
        <v>1900</v>
      </c>
      <c r="B1903" s="3" t="s">
        <v>3096</v>
      </c>
      <c r="C1903" s="3" t="s">
        <v>3095</v>
      </c>
      <c r="D1903" s="3" t="s">
        <v>3095</v>
      </c>
      <c r="E1903" s="1"/>
      <c r="F1903" s="8" t="s">
        <v>66</v>
      </c>
    </row>
    <row r="1904" spans="1:6" x14ac:dyDescent="0.2">
      <c r="A1904" s="3">
        <v>1901</v>
      </c>
      <c r="B1904" s="3" t="s">
        <v>3097</v>
      </c>
      <c r="C1904" s="3" t="s">
        <v>3098</v>
      </c>
      <c r="D1904" s="3" t="s">
        <v>3098</v>
      </c>
      <c r="E1904" s="1"/>
      <c r="F1904" s="8" t="s">
        <v>66</v>
      </c>
    </row>
    <row r="1905" spans="1:6" x14ac:dyDescent="0.2">
      <c r="A1905" s="3">
        <v>1902</v>
      </c>
      <c r="B1905" s="3" t="s">
        <v>3099</v>
      </c>
      <c r="C1905" s="3" t="s">
        <v>3100</v>
      </c>
      <c r="D1905" s="3" t="s">
        <v>3100</v>
      </c>
      <c r="E1905" s="1"/>
      <c r="F1905" s="8" t="s">
        <v>66</v>
      </c>
    </row>
    <row r="1906" spans="1:6" x14ac:dyDescent="0.2">
      <c r="A1906" s="3">
        <v>1903</v>
      </c>
      <c r="B1906" s="3" t="s">
        <v>3101</v>
      </c>
      <c r="C1906" s="3" t="s">
        <v>3100</v>
      </c>
      <c r="D1906" s="3" t="s">
        <v>3100</v>
      </c>
      <c r="E1906" s="1"/>
      <c r="F1906" s="8" t="s">
        <v>66</v>
      </c>
    </row>
    <row r="1907" spans="1:6" x14ac:dyDescent="0.2">
      <c r="A1907" s="3">
        <v>1904</v>
      </c>
      <c r="B1907" s="3" t="s">
        <v>3102</v>
      </c>
      <c r="C1907" s="3" t="s">
        <v>3100</v>
      </c>
      <c r="D1907" s="3" t="s">
        <v>3100</v>
      </c>
      <c r="E1907" s="1"/>
      <c r="F1907" s="8" t="s">
        <v>66</v>
      </c>
    </row>
    <row r="1908" spans="1:6" x14ac:dyDescent="0.2">
      <c r="A1908" s="3">
        <v>1905</v>
      </c>
      <c r="B1908" s="3" t="s">
        <v>3103</v>
      </c>
      <c r="C1908" s="3" t="s">
        <v>3104</v>
      </c>
      <c r="D1908" s="3" t="s">
        <v>3104</v>
      </c>
      <c r="E1908" s="1"/>
      <c r="F1908" s="8" t="s">
        <v>66</v>
      </c>
    </row>
    <row r="1909" spans="1:6" x14ac:dyDescent="0.2">
      <c r="A1909" s="3">
        <v>1906</v>
      </c>
      <c r="B1909" s="3" t="s">
        <v>3105</v>
      </c>
      <c r="C1909" s="3" t="s">
        <v>3106</v>
      </c>
      <c r="D1909" s="3" t="s">
        <v>3106</v>
      </c>
      <c r="E1909" s="1"/>
      <c r="F1909" s="8" t="s">
        <v>66</v>
      </c>
    </row>
    <row r="1910" spans="1:6" x14ac:dyDescent="0.2">
      <c r="A1910" s="3">
        <v>1907</v>
      </c>
      <c r="B1910" s="3" t="s">
        <v>3107</v>
      </c>
      <c r="C1910" s="3" t="s">
        <v>3108</v>
      </c>
      <c r="D1910" s="3" t="s">
        <v>3108</v>
      </c>
      <c r="E1910" s="1"/>
      <c r="F1910" s="8" t="s">
        <v>66</v>
      </c>
    </row>
    <row r="1911" spans="1:6" x14ac:dyDescent="0.2">
      <c r="A1911" s="3">
        <v>1908</v>
      </c>
      <c r="B1911" s="3" t="s">
        <v>3109</v>
      </c>
      <c r="C1911" s="3" t="s">
        <v>3110</v>
      </c>
      <c r="D1911" s="3" t="s">
        <v>3110</v>
      </c>
      <c r="E1911" s="1"/>
      <c r="F1911" s="8" t="s">
        <v>66</v>
      </c>
    </row>
    <row r="1912" spans="1:6" x14ac:dyDescent="0.2">
      <c r="A1912" s="3">
        <v>1909</v>
      </c>
      <c r="B1912" s="3" t="s">
        <v>3111</v>
      </c>
      <c r="C1912" s="3" t="s">
        <v>3110</v>
      </c>
      <c r="D1912" s="3" t="s">
        <v>3110</v>
      </c>
      <c r="E1912" s="1"/>
      <c r="F1912" s="8" t="s">
        <v>66</v>
      </c>
    </row>
    <row r="1913" spans="1:6" x14ac:dyDescent="0.2">
      <c r="A1913" s="3">
        <v>1910</v>
      </c>
      <c r="B1913" s="3" t="s">
        <v>3112</v>
      </c>
      <c r="C1913" s="3" t="s">
        <v>3113</v>
      </c>
      <c r="D1913" s="3" t="s">
        <v>3113</v>
      </c>
      <c r="E1913" s="1"/>
      <c r="F1913" s="8" t="s">
        <v>66</v>
      </c>
    </row>
    <row r="1914" spans="1:6" x14ac:dyDescent="0.2">
      <c r="A1914" s="3">
        <v>1911</v>
      </c>
      <c r="B1914" s="3" t="s">
        <v>3114</v>
      </c>
      <c r="C1914" s="3" t="s">
        <v>3113</v>
      </c>
      <c r="D1914" s="3" t="s">
        <v>3113</v>
      </c>
      <c r="E1914" s="1"/>
      <c r="F1914" s="8" t="s">
        <v>66</v>
      </c>
    </row>
    <row r="1915" spans="1:6" x14ac:dyDescent="0.2">
      <c r="A1915" s="3">
        <v>1912</v>
      </c>
      <c r="B1915" s="3" t="s">
        <v>3115</v>
      </c>
      <c r="C1915" s="3" t="s">
        <v>3113</v>
      </c>
      <c r="D1915" s="3" t="s">
        <v>3113</v>
      </c>
      <c r="E1915" s="1"/>
      <c r="F1915" s="8" t="s">
        <v>66</v>
      </c>
    </row>
    <row r="1916" spans="1:6" x14ac:dyDescent="0.2">
      <c r="A1916" s="3">
        <v>1913</v>
      </c>
      <c r="B1916" s="3" t="s">
        <v>3116</v>
      </c>
      <c r="C1916" s="3" t="s">
        <v>3113</v>
      </c>
      <c r="D1916" s="3" t="s">
        <v>3113</v>
      </c>
      <c r="E1916" s="1"/>
      <c r="F1916" s="8" t="s">
        <v>66</v>
      </c>
    </row>
    <row r="1917" spans="1:6" x14ac:dyDescent="0.2">
      <c r="A1917" s="3">
        <v>1914</v>
      </c>
      <c r="B1917" s="3" t="s">
        <v>3117</v>
      </c>
      <c r="C1917" s="3" t="s">
        <v>3118</v>
      </c>
      <c r="D1917" s="3" t="s">
        <v>3118</v>
      </c>
      <c r="E1917" s="1"/>
      <c r="F1917" s="8" t="s">
        <v>66</v>
      </c>
    </row>
    <row r="1918" spans="1:6" x14ac:dyDescent="0.2">
      <c r="A1918" s="3">
        <v>1915</v>
      </c>
      <c r="B1918" s="3" t="s">
        <v>3119</v>
      </c>
      <c r="C1918" s="3" t="s">
        <v>3120</v>
      </c>
      <c r="D1918" s="3" t="s">
        <v>3120</v>
      </c>
      <c r="E1918" s="1"/>
      <c r="F1918" s="8" t="s">
        <v>66</v>
      </c>
    </row>
    <row r="1919" spans="1:6" x14ac:dyDescent="0.2">
      <c r="A1919" s="3">
        <v>1916</v>
      </c>
      <c r="B1919" s="3" t="s">
        <v>3121</v>
      </c>
      <c r="C1919" s="3" t="s">
        <v>3122</v>
      </c>
      <c r="D1919" s="3" t="s">
        <v>3122</v>
      </c>
      <c r="E1919" s="1"/>
      <c r="F1919" s="8" t="s">
        <v>66</v>
      </c>
    </row>
    <row r="1920" spans="1:6" x14ac:dyDescent="0.2">
      <c r="A1920" s="3">
        <v>1917</v>
      </c>
      <c r="B1920" s="3" t="s">
        <v>3123</v>
      </c>
      <c r="C1920" s="3" t="s">
        <v>3124</v>
      </c>
      <c r="D1920" s="3" t="s">
        <v>3124</v>
      </c>
      <c r="E1920" s="1"/>
      <c r="F1920" s="8" t="s">
        <v>66</v>
      </c>
    </row>
    <row r="1921" spans="1:6" x14ac:dyDescent="0.2">
      <c r="A1921" s="3">
        <v>1918</v>
      </c>
      <c r="B1921" s="3" t="s">
        <v>3125</v>
      </c>
      <c r="C1921" s="3" t="s">
        <v>3126</v>
      </c>
      <c r="D1921" s="3" t="s">
        <v>3126</v>
      </c>
      <c r="E1921" s="1"/>
      <c r="F1921" s="8" t="s">
        <v>66</v>
      </c>
    </row>
    <row r="1922" spans="1:6" x14ac:dyDescent="0.2">
      <c r="A1922" s="3">
        <v>1919</v>
      </c>
      <c r="B1922" s="3" t="s">
        <v>3127</v>
      </c>
      <c r="C1922" s="3" t="s">
        <v>3128</v>
      </c>
      <c r="D1922" s="3" t="s">
        <v>3128</v>
      </c>
      <c r="E1922" s="1"/>
      <c r="F1922" s="8" t="s">
        <v>66</v>
      </c>
    </row>
    <row r="1923" spans="1:6" x14ac:dyDescent="0.2">
      <c r="A1923" s="3">
        <v>1920</v>
      </c>
      <c r="B1923" s="3" t="s">
        <v>3129</v>
      </c>
      <c r="C1923" s="3" t="s">
        <v>3128</v>
      </c>
      <c r="D1923" s="3" t="s">
        <v>3128</v>
      </c>
      <c r="E1923" s="1"/>
      <c r="F1923" s="8" t="s">
        <v>66</v>
      </c>
    </row>
    <row r="1924" spans="1:6" x14ac:dyDescent="0.2">
      <c r="A1924" s="3">
        <v>1921</v>
      </c>
      <c r="B1924" s="3" t="s">
        <v>3130</v>
      </c>
      <c r="C1924" s="3" t="s">
        <v>3128</v>
      </c>
      <c r="D1924" s="3" t="s">
        <v>3128</v>
      </c>
      <c r="E1924" s="1"/>
      <c r="F1924" s="8" t="s">
        <v>66</v>
      </c>
    </row>
    <row r="1925" spans="1:6" x14ac:dyDescent="0.2">
      <c r="A1925" s="3">
        <v>1922</v>
      </c>
      <c r="B1925" s="3" t="s">
        <v>3131</v>
      </c>
      <c r="C1925" s="3" t="s">
        <v>3132</v>
      </c>
      <c r="D1925" s="3" t="s">
        <v>3132</v>
      </c>
      <c r="E1925" s="1"/>
      <c r="F1925" s="8" t="s">
        <v>66</v>
      </c>
    </row>
    <row r="1926" spans="1:6" x14ac:dyDescent="0.2">
      <c r="A1926" s="3">
        <v>1923</v>
      </c>
      <c r="B1926" s="3" t="s">
        <v>3133</v>
      </c>
      <c r="C1926" s="3" t="s">
        <v>3132</v>
      </c>
      <c r="D1926" s="3" t="s">
        <v>3132</v>
      </c>
      <c r="E1926" s="1"/>
      <c r="F1926" s="8" t="s">
        <v>66</v>
      </c>
    </row>
    <row r="1927" spans="1:6" x14ac:dyDescent="0.2">
      <c r="A1927" s="3">
        <v>1924</v>
      </c>
      <c r="B1927" s="3" t="s">
        <v>3134</v>
      </c>
      <c r="C1927" s="3" t="s">
        <v>3135</v>
      </c>
      <c r="D1927" s="3" t="s">
        <v>3135</v>
      </c>
      <c r="E1927" s="1"/>
      <c r="F1927" s="8" t="s">
        <v>66</v>
      </c>
    </row>
    <row r="1928" spans="1:6" x14ac:dyDescent="0.2">
      <c r="A1928" s="3">
        <v>1925</v>
      </c>
      <c r="B1928" s="3" t="s">
        <v>3136</v>
      </c>
      <c r="C1928" s="3" t="s">
        <v>3137</v>
      </c>
      <c r="D1928" s="3" t="s">
        <v>3137</v>
      </c>
      <c r="E1928" s="1"/>
      <c r="F1928" s="8" t="s">
        <v>66</v>
      </c>
    </row>
    <row r="1929" spans="1:6" x14ac:dyDescent="0.2">
      <c r="A1929" s="3">
        <v>1926</v>
      </c>
      <c r="B1929" s="3" t="s">
        <v>3138</v>
      </c>
      <c r="C1929" s="3" t="s">
        <v>3137</v>
      </c>
      <c r="D1929" s="3" t="s">
        <v>3137</v>
      </c>
      <c r="E1929" s="1"/>
      <c r="F1929" s="8" t="s">
        <v>66</v>
      </c>
    </row>
    <row r="1930" spans="1:6" x14ac:dyDescent="0.2">
      <c r="A1930" s="3">
        <v>1927</v>
      </c>
      <c r="B1930" s="3" t="s">
        <v>3139</v>
      </c>
      <c r="C1930" s="3" t="s">
        <v>3137</v>
      </c>
      <c r="D1930" s="3" t="s">
        <v>3137</v>
      </c>
      <c r="E1930" s="1"/>
      <c r="F1930" s="8" t="s">
        <v>66</v>
      </c>
    </row>
    <row r="1931" spans="1:6" x14ac:dyDescent="0.2">
      <c r="A1931" s="3">
        <v>1928</v>
      </c>
      <c r="B1931" s="3" t="s">
        <v>3140</v>
      </c>
      <c r="C1931" s="3" t="s">
        <v>3141</v>
      </c>
      <c r="D1931" s="3" t="s">
        <v>3141</v>
      </c>
      <c r="E1931" s="1"/>
      <c r="F1931" s="8" t="s">
        <v>66</v>
      </c>
    </row>
    <row r="1932" spans="1:6" x14ac:dyDescent="0.2">
      <c r="A1932" s="3">
        <v>1929</v>
      </c>
      <c r="B1932" s="3" t="s">
        <v>3142</v>
      </c>
      <c r="C1932" s="3" t="s">
        <v>3141</v>
      </c>
      <c r="D1932" s="3" t="s">
        <v>3141</v>
      </c>
      <c r="E1932" s="1"/>
      <c r="F1932" s="8" t="s">
        <v>66</v>
      </c>
    </row>
    <row r="1933" spans="1:6" x14ac:dyDescent="0.2">
      <c r="A1933" s="3">
        <v>1930</v>
      </c>
      <c r="B1933" s="3" t="s">
        <v>3143</v>
      </c>
      <c r="C1933" s="3" t="s">
        <v>3144</v>
      </c>
      <c r="D1933" s="3" t="s">
        <v>3144</v>
      </c>
      <c r="E1933" s="1"/>
      <c r="F1933" s="8" t="s">
        <v>66</v>
      </c>
    </row>
    <row r="1934" spans="1:6" x14ac:dyDescent="0.2">
      <c r="A1934" s="3">
        <v>1931</v>
      </c>
      <c r="B1934" s="3" t="s">
        <v>3145</v>
      </c>
      <c r="C1934" s="3" t="s">
        <v>3144</v>
      </c>
      <c r="D1934" s="3" t="s">
        <v>3144</v>
      </c>
      <c r="E1934" s="1"/>
      <c r="F1934" s="8" t="s">
        <v>66</v>
      </c>
    </row>
    <row r="1935" spans="1:6" x14ac:dyDescent="0.2">
      <c r="A1935" s="3">
        <v>1932</v>
      </c>
      <c r="B1935" s="3" t="s">
        <v>3146</v>
      </c>
      <c r="C1935" s="3" t="s">
        <v>3144</v>
      </c>
      <c r="D1935" s="3" t="s">
        <v>3144</v>
      </c>
      <c r="E1935" s="1"/>
      <c r="F1935" s="8" t="s">
        <v>66</v>
      </c>
    </row>
    <row r="1936" spans="1:6" x14ac:dyDescent="0.2">
      <c r="A1936" s="3">
        <v>1933</v>
      </c>
      <c r="B1936" s="3" t="s">
        <v>3147</v>
      </c>
      <c r="C1936" s="3" t="s">
        <v>3148</v>
      </c>
      <c r="D1936" s="3" t="s">
        <v>3148</v>
      </c>
      <c r="E1936" s="1"/>
      <c r="F1936" s="8" t="s">
        <v>66</v>
      </c>
    </row>
    <row r="1937" spans="1:6" x14ac:dyDescent="0.2">
      <c r="A1937" s="3">
        <v>1934</v>
      </c>
      <c r="B1937" s="3" t="s">
        <v>3149</v>
      </c>
      <c r="C1937" s="3" t="s">
        <v>3150</v>
      </c>
      <c r="D1937" s="3" t="s">
        <v>3150</v>
      </c>
      <c r="E1937" s="1"/>
      <c r="F1937" s="8" t="s">
        <v>66</v>
      </c>
    </row>
    <row r="1938" spans="1:6" x14ac:dyDescent="0.2">
      <c r="A1938" s="3">
        <v>1935</v>
      </c>
      <c r="B1938" s="3" t="s">
        <v>3151</v>
      </c>
      <c r="C1938" s="3" t="s">
        <v>3152</v>
      </c>
      <c r="D1938" s="3" t="s">
        <v>3152</v>
      </c>
      <c r="E1938" s="1"/>
      <c r="F1938" s="8" t="s">
        <v>66</v>
      </c>
    </row>
    <row r="1939" spans="1:6" x14ac:dyDescent="0.2">
      <c r="A1939" s="3">
        <v>1936</v>
      </c>
      <c r="B1939" s="3" t="s">
        <v>3153</v>
      </c>
      <c r="C1939" s="3" t="s">
        <v>3154</v>
      </c>
      <c r="D1939" s="3" t="s">
        <v>3154</v>
      </c>
      <c r="E1939" s="1"/>
      <c r="F1939" s="8" t="s">
        <v>66</v>
      </c>
    </row>
    <row r="1940" spans="1:6" x14ac:dyDescent="0.2">
      <c r="A1940" s="3">
        <v>1937</v>
      </c>
      <c r="B1940" s="3" t="s">
        <v>3155</v>
      </c>
      <c r="C1940" s="3" t="s">
        <v>3156</v>
      </c>
      <c r="D1940" s="3" t="s">
        <v>3156</v>
      </c>
      <c r="E1940" s="1"/>
      <c r="F1940" s="8" t="s">
        <v>66</v>
      </c>
    </row>
    <row r="1941" spans="1:6" x14ac:dyDescent="0.2">
      <c r="A1941" s="3">
        <v>1938</v>
      </c>
      <c r="B1941" s="3" t="s">
        <v>3157</v>
      </c>
      <c r="C1941" s="3" t="s">
        <v>3156</v>
      </c>
      <c r="D1941" s="3" t="s">
        <v>3156</v>
      </c>
      <c r="E1941" s="1"/>
      <c r="F1941" s="8" t="s">
        <v>66</v>
      </c>
    </row>
    <row r="1942" spans="1:6" x14ac:dyDescent="0.2">
      <c r="A1942" s="3">
        <v>1939</v>
      </c>
      <c r="B1942" s="3" t="s">
        <v>3158</v>
      </c>
      <c r="C1942" s="3" t="s">
        <v>3156</v>
      </c>
      <c r="D1942" s="3" t="s">
        <v>3156</v>
      </c>
      <c r="E1942" s="1"/>
      <c r="F1942" s="8" t="s">
        <v>66</v>
      </c>
    </row>
    <row r="1943" spans="1:6" x14ac:dyDescent="0.2">
      <c r="A1943" s="3">
        <v>1940</v>
      </c>
      <c r="B1943" s="3" t="s">
        <v>3159</v>
      </c>
      <c r="C1943" s="3" t="s">
        <v>3156</v>
      </c>
      <c r="D1943" s="3" t="s">
        <v>3156</v>
      </c>
      <c r="E1943" s="1"/>
      <c r="F1943" s="8" t="s">
        <v>66</v>
      </c>
    </row>
    <row r="1944" spans="1:6" x14ac:dyDescent="0.2">
      <c r="A1944" s="3">
        <v>1941</v>
      </c>
      <c r="B1944" s="3" t="s">
        <v>3160</v>
      </c>
      <c r="C1944" s="3" t="s">
        <v>3156</v>
      </c>
      <c r="D1944" s="3" t="s">
        <v>3156</v>
      </c>
      <c r="E1944" s="1"/>
      <c r="F1944" s="8" t="s">
        <v>66</v>
      </c>
    </row>
    <row r="1945" spans="1:6" x14ac:dyDescent="0.2">
      <c r="A1945" s="3">
        <v>1942</v>
      </c>
      <c r="B1945" s="3" t="s">
        <v>3161</v>
      </c>
      <c r="C1945" s="3" t="s">
        <v>3156</v>
      </c>
      <c r="D1945" s="3" t="s">
        <v>3156</v>
      </c>
      <c r="E1945" s="1"/>
      <c r="F1945" s="8" t="s">
        <v>66</v>
      </c>
    </row>
    <row r="1946" spans="1:6" x14ac:dyDescent="0.2">
      <c r="A1946" s="3">
        <v>1943</v>
      </c>
      <c r="B1946" s="3" t="s">
        <v>3162</v>
      </c>
      <c r="C1946" s="3" t="s">
        <v>3163</v>
      </c>
      <c r="D1946" s="3" t="s">
        <v>3163</v>
      </c>
      <c r="E1946" s="1"/>
      <c r="F1946" s="8" t="s">
        <v>66</v>
      </c>
    </row>
    <row r="1947" spans="1:6" x14ac:dyDescent="0.2">
      <c r="A1947" s="3">
        <v>1944</v>
      </c>
      <c r="B1947" s="3" t="s">
        <v>3164</v>
      </c>
      <c r="C1947" s="3" t="s">
        <v>3163</v>
      </c>
      <c r="D1947" s="3" t="s">
        <v>3163</v>
      </c>
      <c r="E1947" s="1"/>
      <c r="F1947" s="8" t="s">
        <v>66</v>
      </c>
    </row>
    <row r="1948" spans="1:6" x14ac:dyDescent="0.2">
      <c r="A1948" s="3">
        <v>1945</v>
      </c>
      <c r="B1948" s="3" t="s">
        <v>3165</v>
      </c>
      <c r="C1948" s="3" t="s">
        <v>3166</v>
      </c>
      <c r="D1948" s="3" t="s">
        <v>3166</v>
      </c>
      <c r="E1948" s="1"/>
      <c r="F1948" s="8" t="s">
        <v>66</v>
      </c>
    </row>
    <row r="1949" spans="1:6" x14ac:dyDescent="0.2">
      <c r="A1949" s="3">
        <v>1946</v>
      </c>
      <c r="B1949" s="3" t="s">
        <v>3167</v>
      </c>
      <c r="C1949" s="3" t="s">
        <v>3166</v>
      </c>
      <c r="D1949" s="3" t="s">
        <v>3166</v>
      </c>
      <c r="E1949" s="1"/>
      <c r="F1949" s="8" t="s">
        <v>66</v>
      </c>
    </row>
    <row r="1950" spans="1:6" x14ac:dyDescent="0.2">
      <c r="A1950" s="3">
        <v>1947</v>
      </c>
      <c r="B1950" s="3" t="s">
        <v>3168</v>
      </c>
      <c r="C1950" s="3" t="s">
        <v>3166</v>
      </c>
      <c r="D1950" s="3" t="s">
        <v>3166</v>
      </c>
      <c r="E1950" s="1"/>
      <c r="F1950" s="8" t="s">
        <v>66</v>
      </c>
    </row>
    <row r="1951" spans="1:6" x14ac:dyDescent="0.2">
      <c r="A1951" s="3">
        <v>1948</v>
      </c>
      <c r="B1951" s="3" t="s">
        <v>3169</v>
      </c>
      <c r="C1951" s="3" t="s">
        <v>3170</v>
      </c>
      <c r="D1951" s="3" t="s">
        <v>3170</v>
      </c>
      <c r="E1951" s="1"/>
      <c r="F1951" s="8" t="s">
        <v>66</v>
      </c>
    </row>
    <row r="1952" spans="1:6" x14ac:dyDescent="0.2">
      <c r="A1952" s="3">
        <v>1949</v>
      </c>
      <c r="B1952" s="3" t="s">
        <v>3171</v>
      </c>
      <c r="C1952" s="3" t="s">
        <v>3172</v>
      </c>
      <c r="D1952" s="3" t="s">
        <v>3172</v>
      </c>
      <c r="E1952" s="1" t="s">
        <v>3173</v>
      </c>
      <c r="F1952" s="8" t="s">
        <v>66</v>
      </c>
    </row>
    <row r="1953" spans="1:6" x14ac:dyDescent="0.2">
      <c r="A1953" s="3">
        <v>1950</v>
      </c>
      <c r="B1953" s="3" t="s">
        <v>3174</v>
      </c>
      <c r="C1953" s="3" t="s">
        <v>3175</v>
      </c>
      <c r="D1953" s="3" t="s">
        <v>3175</v>
      </c>
      <c r="E1953" s="1"/>
      <c r="F1953" s="8" t="s">
        <v>66</v>
      </c>
    </row>
    <row r="1954" spans="1:6" x14ac:dyDescent="0.2">
      <c r="A1954" s="3">
        <v>1951</v>
      </c>
      <c r="B1954" s="3" t="s">
        <v>3176</v>
      </c>
      <c r="C1954" s="3" t="s">
        <v>3175</v>
      </c>
      <c r="D1954" s="3" t="s">
        <v>3175</v>
      </c>
      <c r="E1954" s="1"/>
      <c r="F1954" s="8" t="s">
        <v>66</v>
      </c>
    </row>
    <row r="1955" spans="1:6" x14ac:dyDescent="0.2">
      <c r="A1955" s="3">
        <v>1952</v>
      </c>
      <c r="B1955" s="3" t="s">
        <v>3177</v>
      </c>
      <c r="C1955" s="3" t="s">
        <v>3178</v>
      </c>
      <c r="D1955" s="3" t="s">
        <v>3178</v>
      </c>
      <c r="E1955" s="1"/>
      <c r="F1955" s="8" t="s">
        <v>66</v>
      </c>
    </row>
    <row r="1956" spans="1:6" x14ac:dyDescent="0.2">
      <c r="A1956" s="3">
        <v>1953</v>
      </c>
      <c r="B1956" s="3" t="s">
        <v>3179</v>
      </c>
      <c r="C1956" s="3" t="s">
        <v>3180</v>
      </c>
      <c r="D1956" s="3" t="s">
        <v>3180</v>
      </c>
      <c r="E1956" s="1"/>
      <c r="F1956" s="8" t="s">
        <v>66</v>
      </c>
    </row>
    <row r="1957" spans="1:6" x14ac:dyDescent="0.2">
      <c r="A1957" s="3">
        <v>1954</v>
      </c>
      <c r="B1957" s="3" t="s">
        <v>3181</v>
      </c>
      <c r="C1957" s="3" t="s">
        <v>3182</v>
      </c>
      <c r="D1957" s="3" t="s">
        <v>3182</v>
      </c>
      <c r="E1957" s="1"/>
      <c r="F1957" s="8" t="s">
        <v>66</v>
      </c>
    </row>
    <row r="1958" spans="1:6" x14ac:dyDescent="0.2">
      <c r="A1958" s="3">
        <v>1955</v>
      </c>
      <c r="B1958" s="3" t="s">
        <v>3183</v>
      </c>
      <c r="C1958" s="3" t="s">
        <v>3184</v>
      </c>
      <c r="D1958" s="3" t="s">
        <v>3184</v>
      </c>
      <c r="E1958" s="1"/>
      <c r="F1958" s="8" t="s">
        <v>66</v>
      </c>
    </row>
    <row r="1959" spans="1:6" x14ac:dyDescent="0.2">
      <c r="A1959" s="3">
        <v>1956</v>
      </c>
      <c r="B1959" s="3" t="s">
        <v>3185</v>
      </c>
      <c r="C1959" s="3" t="s">
        <v>3184</v>
      </c>
      <c r="D1959" s="3" t="s">
        <v>3184</v>
      </c>
      <c r="E1959" s="1"/>
      <c r="F1959" s="8" t="s">
        <v>66</v>
      </c>
    </row>
    <row r="1960" spans="1:6" x14ac:dyDescent="0.2">
      <c r="A1960" s="3">
        <v>1957</v>
      </c>
      <c r="B1960" s="3" t="s">
        <v>3186</v>
      </c>
      <c r="C1960" s="3" t="s">
        <v>3187</v>
      </c>
      <c r="D1960" s="3" t="s">
        <v>3187</v>
      </c>
      <c r="E1960" s="1"/>
      <c r="F1960" s="8" t="s">
        <v>66</v>
      </c>
    </row>
    <row r="1961" spans="1:6" x14ac:dyDescent="0.2">
      <c r="A1961" s="3">
        <v>1958</v>
      </c>
      <c r="B1961" s="3" t="s">
        <v>3188</v>
      </c>
      <c r="C1961" s="3" t="s">
        <v>3189</v>
      </c>
      <c r="D1961" s="3" t="s">
        <v>3189</v>
      </c>
      <c r="E1961" s="1"/>
      <c r="F1961" s="8" t="s">
        <v>66</v>
      </c>
    </row>
    <row r="1962" spans="1:6" x14ac:dyDescent="0.2">
      <c r="A1962" s="3">
        <v>1959</v>
      </c>
      <c r="B1962" s="3" t="s">
        <v>3190</v>
      </c>
      <c r="C1962" s="3" t="s">
        <v>3189</v>
      </c>
      <c r="D1962" s="3" t="s">
        <v>3189</v>
      </c>
      <c r="E1962" s="1"/>
      <c r="F1962" s="8" t="s">
        <v>66</v>
      </c>
    </row>
    <row r="1963" spans="1:6" x14ac:dyDescent="0.2">
      <c r="A1963" s="3">
        <v>1960</v>
      </c>
      <c r="B1963" s="3" t="s">
        <v>3191</v>
      </c>
      <c r="C1963" s="3" t="s">
        <v>3189</v>
      </c>
      <c r="D1963" s="3" t="s">
        <v>3189</v>
      </c>
      <c r="E1963" s="1"/>
      <c r="F1963" s="8" t="s">
        <v>66</v>
      </c>
    </row>
    <row r="1964" spans="1:6" x14ac:dyDescent="0.2">
      <c r="A1964" s="3">
        <v>1961</v>
      </c>
      <c r="B1964" s="3" t="s">
        <v>3192</v>
      </c>
      <c r="C1964" s="3" t="s">
        <v>3189</v>
      </c>
      <c r="D1964" s="3" t="s">
        <v>3189</v>
      </c>
      <c r="E1964" s="1"/>
      <c r="F1964" s="8" t="s">
        <v>66</v>
      </c>
    </row>
    <row r="1965" spans="1:6" x14ac:dyDescent="0.2">
      <c r="A1965" s="3">
        <v>1962</v>
      </c>
      <c r="B1965" s="3" t="s">
        <v>3193</v>
      </c>
      <c r="C1965" s="3" t="s">
        <v>3189</v>
      </c>
      <c r="D1965" s="3" t="s">
        <v>3189</v>
      </c>
      <c r="E1965" s="1"/>
      <c r="F1965" s="8" t="s">
        <v>66</v>
      </c>
    </row>
    <row r="1966" spans="1:6" x14ac:dyDescent="0.2">
      <c r="A1966" s="3">
        <v>1963</v>
      </c>
      <c r="B1966" s="3" t="s">
        <v>3194</v>
      </c>
      <c r="C1966" s="3" t="s">
        <v>3195</v>
      </c>
      <c r="D1966" s="3" t="s">
        <v>3195</v>
      </c>
      <c r="E1966" s="1"/>
      <c r="F1966" s="8" t="s">
        <v>66</v>
      </c>
    </row>
    <row r="1967" spans="1:6" x14ac:dyDescent="0.2">
      <c r="A1967" s="3">
        <v>1964</v>
      </c>
      <c r="B1967" s="3" t="s">
        <v>3196</v>
      </c>
      <c r="C1967" s="3" t="s">
        <v>3197</v>
      </c>
      <c r="D1967" s="3" t="s">
        <v>3197</v>
      </c>
      <c r="E1967" s="1"/>
      <c r="F1967" s="8" t="s">
        <v>66</v>
      </c>
    </row>
    <row r="1968" spans="1:6" x14ac:dyDescent="0.2">
      <c r="A1968" s="3">
        <v>1965</v>
      </c>
      <c r="B1968" s="3" t="s">
        <v>3198</v>
      </c>
      <c r="C1968" s="3" t="s">
        <v>3197</v>
      </c>
      <c r="D1968" s="3" t="s">
        <v>3197</v>
      </c>
      <c r="E1968" s="1"/>
      <c r="F1968" s="8" t="s">
        <v>66</v>
      </c>
    </row>
    <row r="1969" spans="1:6" x14ac:dyDescent="0.2">
      <c r="A1969" s="3">
        <v>1966</v>
      </c>
      <c r="B1969" s="3" t="s">
        <v>3199</v>
      </c>
      <c r="C1969" s="3" t="s">
        <v>3200</v>
      </c>
      <c r="D1969" s="3" t="s">
        <v>3200</v>
      </c>
      <c r="E1969" s="1"/>
      <c r="F1969" s="8" t="s">
        <v>66</v>
      </c>
    </row>
    <row r="1970" spans="1:6" x14ac:dyDescent="0.2">
      <c r="A1970" s="3">
        <v>1967</v>
      </c>
      <c r="B1970" s="3" t="s">
        <v>3201</v>
      </c>
      <c r="C1970" s="3" t="s">
        <v>3202</v>
      </c>
      <c r="D1970" s="3" t="s">
        <v>3202</v>
      </c>
      <c r="E1970" s="1"/>
      <c r="F1970" s="8" t="s">
        <v>66</v>
      </c>
    </row>
    <row r="1971" spans="1:6" x14ac:dyDescent="0.2">
      <c r="A1971" s="3">
        <v>1968</v>
      </c>
      <c r="B1971" s="3" t="s">
        <v>3203</v>
      </c>
      <c r="C1971" s="3" t="s">
        <v>3202</v>
      </c>
      <c r="D1971" s="3" t="s">
        <v>3202</v>
      </c>
      <c r="E1971" s="1"/>
      <c r="F1971" s="8" t="s">
        <v>66</v>
      </c>
    </row>
    <row r="1972" spans="1:6" x14ac:dyDescent="0.2">
      <c r="A1972" s="3">
        <v>1969</v>
      </c>
      <c r="B1972" s="3" t="s">
        <v>3204</v>
      </c>
      <c r="C1972" s="3" t="s">
        <v>3205</v>
      </c>
      <c r="D1972" s="3" t="s">
        <v>3205</v>
      </c>
      <c r="E1972" s="1"/>
      <c r="F1972" s="8" t="s">
        <v>66</v>
      </c>
    </row>
    <row r="1973" spans="1:6" x14ac:dyDescent="0.2">
      <c r="A1973" s="3">
        <v>1970</v>
      </c>
      <c r="B1973" s="3" t="s">
        <v>3206</v>
      </c>
      <c r="C1973" s="3" t="s">
        <v>3207</v>
      </c>
      <c r="D1973" s="3" t="s">
        <v>3207</v>
      </c>
      <c r="E1973" s="1"/>
      <c r="F1973" s="8" t="s">
        <v>66</v>
      </c>
    </row>
    <row r="1974" spans="1:6" x14ac:dyDescent="0.2">
      <c r="A1974" s="3">
        <v>1971</v>
      </c>
      <c r="B1974" s="3" t="s">
        <v>3208</v>
      </c>
      <c r="C1974" s="3" t="s">
        <v>3209</v>
      </c>
      <c r="D1974" s="3" t="s">
        <v>3209</v>
      </c>
      <c r="E1974" s="1"/>
      <c r="F1974" s="8" t="s">
        <v>66</v>
      </c>
    </row>
    <row r="1975" spans="1:6" x14ac:dyDescent="0.2">
      <c r="A1975" s="3">
        <v>1972</v>
      </c>
      <c r="B1975" s="3" t="s">
        <v>3210</v>
      </c>
      <c r="C1975" s="3" t="s">
        <v>3211</v>
      </c>
      <c r="D1975" s="3" t="s">
        <v>3211</v>
      </c>
      <c r="E1975" s="1"/>
      <c r="F1975" s="8" t="s">
        <v>66</v>
      </c>
    </row>
    <row r="1976" spans="1:6" x14ac:dyDescent="0.2">
      <c r="A1976" s="3">
        <v>1973</v>
      </c>
      <c r="B1976" s="3" t="s">
        <v>3212</v>
      </c>
      <c r="C1976" s="3" t="s">
        <v>3211</v>
      </c>
      <c r="D1976" s="3" t="s">
        <v>3211</v>
      </c>
      <c r="E1976" s="1"/>
      <c r="F1976" s="8" t="s">
        <v>66</v>
      </c>
    </row>
    <row r="1977" spans="1:6" x14ac:dyDescent="0.2">
      <c r="A1977" s="3">
        <v>1974</v>
      </c>
      <c r="B1977" s="3" t="s">
        <v>3213</v>
      </c>
      <c r="C1977" s="3" t="s">
        <v>3214</v>
      </c>
      <c r="D1977" s="3" t="s">
        <v>3214</v>
      </c>
      <c r="E1977" s="1"/>
      <c r="F1977" s="8" t="s">
        <v>66</v>
      </c>
    </row>
    <row r="1978" spans="1:6" x14ac:dyDescent="0.2">
      <c r="A1978" s="3">
        <v>1975</v>
      </c>
      <c r="B1978" s="3" t="s">
        <v>3215</v>
      </c>
      <c r="C1978" s="3" t="s">
        <v>3216</v>
      </c>
      <c r="D1978" s="3" t="s">
        <v>3216</v>
      </c>
      <c r="E1978" s="1"/>
      <c r="F1978" s="8" t="s">
        <v>66</v>
      </c>
    </row>
    <row r="1979" spans="1:6" x14ac:dyDescent="0.2">
      <c r="A1979" s="3">
        <v>1976</v>
      </c>
      <c r="B1979" s="3" t="s">
        <v>3217</v>
      </c>
      <c r="C1979" s="3" t="s">
        <v>3218</v>
      </c>
      <c r="D1979" s="3" t="s">
        <v>3218</v>
      </c>
      <c r="E1979" s="1"/>
      <c r="F1979" s="8" t="s">
        <v>66</v>
      </c>
    </row>
    <row r="1980" spans="1:6" x14ac:dyDescent="0.2">
      <c r="A1980" s="3">
        <v>1977</v>
      </c>
      <c r="B1980" s="3" t="s">
        <v>3219</v>
      </c>
      <c r="C1980" s="3" t="s">
        <v>3220</v>
      </c>
      <c r="D1980" s="3" t="s">
        <v>3220</v>
      </c>
      <c r="E1980" s="1"/>
      <c r="F1980" s="8" t="s">
        <v>66</v>
      </c>
    </row>
    <row r="1981" spans="1:6" x14ac:dyDescent="0.2">
      <c r="A1981" s="3">
        <v>1978</v>
      </c>
      <c r="B1981" s="3" t="s">
        <v>3221</v>
      </c>
      <c r="C1981" s="3" t="s">
        <v>3222</v>
      </c>
      <c r="D1981" s="3" t="s">
        <v>3222</v>
      </c>
      <c r="E1981" s="1"/>
      <c r="F1981" s="8" t="s">
        <v>66</v>
      </c>
    </row>
    <row r="1982" spans="1:6" x14ac:dyDescent="0.2">
      <c r="A1982" s="3">
        <v>1979</v>
      </c>
      <c r="B1982" s="3" t="s">
        <v>3223</v>
      </c>
      <c r="C1982" s="3" t="s">
        <v>3224</v>
      </c>
      <c r="D1982" s="3" t="s">
        <v>3224</v>
      </c>
      <c r="E1982" s="1"/>
      <c r="F1982" s="8" t="s">
        <v>66</v>
      </c>
    </row>
    <row r="1983" spans="1:6" x14ac:dyDescent="0.2">
      <c r="A1983" s="3">
        <v>1980</v>
      </c>
      <c r="B1983" s="3" t="s">
        <v>3225</v>
      </c>
      <c r="C1983" s="3" t="s">
        <v>3226</v>
      </c>
      <c r="D1983" s="3" t="s">
        <v>3226</v>
      </c>
      <c r="E1983" s="1"/>
      <c r="F1983" s="8" t="s">
        <v>66</v>
      </c>
    </row>
    <row r="1984" spans="1:6" x14ac:dyDescent="0.2">
      <c r="A1984" s="3">
        <v>1981</v>
      </c>
      <c r="B1984" s="3" t="s">
        <v>3227</v>
      </c>
      <c r="C1984" s="3" t="s">
        <v>3226</v>
      </c>
      <c r="D1984" s="3" t="s">
        <v>3226</v>
      </c>
      <c r="E1984" s="1"/>
      <c r="F1984" s="8" t="s">
        <v>66</v>
      </c>
    </row>
    <row r="1985" spans="1:6" x14ac:dyDescent="0.2">
      <c r="A1985" s="3">
        <v>1982</v>
      </c>
      <c r="B1985" s="3" t="s">
        <v>3228</v>
      </c>
      <c r="C1985" s="3" t="s">
        <v>3229</v>
      </c>
      <c r="D1985" s="3" t="s">
        <v>3229</v>
      </c>
      <c r="E1985" s="1"/>
      <c r="F1985" s="8" t="s">
        <v>66</v>
      </c>
    </row>
    <row r="1986" spans="1:6" x14ac:dyDescent="0.2">
      <c r="A1986" s="3">
        <v>1983</v>
      </c>
      <c r="B1986" s="3" t="s">
        <v>3230</v>
      </c>
      <c r="C1986" s="3" t="s">
        <v>3229</v>
      </c>
      <c r="D1986" s="3" t="s">
        <v>3229</v>
      </c>
      <c r="E1986" s="1"/>
      <c r="F1986" s="8" t="s">
        <v>66</v>
      </c>
    </row>
    <row r="1987" spans="1:6" x14ac:dyDescent="0.2">
      <c r="A1987" s="3">
        <v>1984</v>
      </c>
      <c r="B1987" s="3" t="s">
        <v>3231</v>
      </c>
      <c r="C1987" s="3" t="s">
        <v>3229</v>
      </c>
      <c r="D1987" s="3" t="s">
        <v>3229</v>
      </c>
      <c r="E1987" s="1"/>
      <c r="F1987" s="8" t="s">
        <v>66</v>
      </c>
    </row>
    <row r="1988" spans="1:6" x14ac:dyDescent="0.2">
      <c r="A1988" s="3">
        <v>1985</v>
      </c>
      <c r="B1988" s="3" t="s">
        <v>3232</v>
      </c>
      <c r="C1988" s="3" t="s">
        <v>3229</v>
      </c>
      <c r="D1988" s="3" t="s">
        <v>3229</v>
      </c>
      <c r="E1988" s="1"/>
      <c r="F1988" s="8" t="s">
        <v>66</v>
      </c>
    </row>
    <row r="1989" spans="1:6" x14ac:dyDescent="0.2">
      <c r="A1989" s="3">
        <v>1986</v>
      </c>
      <c r="B1989" s="3" t="s">
        <v>3233</v>
      </c>
      <c r="C1989" s="3" t="s">
        <v>3229</v>
      </c>
      <c r="D1989" s="3" t="s">
        <v>3229</v>
      </c>
      <c r="E1989" s="1"/>
      <c r="F1989" s="8" t="s">
        <v>66</v>
      </c>
    </row>
    <row r="1990" spans="1:6" x14ac:dyDescent="0.2">
      <c r="A1990" s="3">
        <v>1987</v>
      </c>
      <c r="B1990" s="3" t="s">
        <v>3234</v>
      </c>
      <c r="C1990" s="3" t="s">
        <v>3235</v>
      </c>
      <c r="D1990" s="3" t="s">
        <v>3235</v>
      </c>
      <c r="E1990" s="1"/>
      <c r="F1990" s="8" t="s">
        <v>66</v>
      </c>
    </row>
    <row r="1991" spans="1:6" x14ac:dyDescent="0.2">
      <c r="A1991" s="3">
        <v>1988</v>
      </c>
      <c r="B1991" s="3" t="s">
        <v>3236</v>
      </c>
      <c r="C1991" s="3" t="s">
        <v>3237</v>
      </c>
      <c r="D1991" s="3" t="s">
        <v>3237</v>
      </c>
      <c r="E1991" s="1"/>
      <c r="F1991" s="8" t="s">
        <v>66</v>
      </c>
    </row>
    <row r="1992" spans="1:6" x14ac:dyDescent="0.2">
      <c r="A1992" s="3">
        <v>1989</v>
      </c>
      <c r="B1992" s="3" t="s">
        <v>3238</v>
      </c>
      <c r="C1992" s="3" t="s">
        <v>3239</v>
      </c>
      <c r="D1992" s="3" t="s">
        <v>3239</v>
      </c>
      <c r="E1992" s="1"/>
      <c r="F1992" s="8" t="s">
        <v>66</v>
      </c>
    </row>
    <row r="1993" spans="1:6" x14ac:dyDescent="0.2">
      <c r="A1993" s="3">
        <v>1990</v>
      </c>
      <c r="B1993" s="3" t="s">
        <v>3240</v>
      </c>
      <c r="C1993" s="3" t="s">
        <v>3241</v>
      </c>
      <c r="D1993" s="3" t="s">
        <v>3241</v>
      </c>
      <c r="E1993" s="1"/>
      <c r="F1993" s="8" t="s">
        <v>66</v>
      </c>
    </row>
    <row r="1994" spans="1:6" x14ac:dyDescent="0.2">
      <c r="A1994" s="3">
        <v>1991</v>
      </c>
      <c r="B1994" s="3" t="s">
        <v>3242</v>
      </c>
      <c r="C1994" s="3" t="s">
        <v>3243</v>
      </c>
      <c r="D1994" s="3" t="s">
        <v>3243</v>
      </c>
      <c r="E1994" s="1"/>
      <c r="F1994" s="8" t="s">
        <v>66</v>
      </c>
    </row>
    <row r="1995" spans="1:6" x14ac:dyDescent="0.2">
      <c r="A1995" s="3">
        <v>1992</v>
      </c>
      <c r="B1995" s="3" t="s">
        <v>3244</v>
      </c>
      <c r="C1995" s="3" t="s">
        <v>3243</v>
      </c>
      <c r="D1995" s="3" t="s">
        <v>3243</v>
      </c>
      <c r="E1995" s="1"/>
      <c r="F1995" s="8" t="s">
        <v>66</v>
      </c>
    </row>
    <row r="1996" spans="1:6" x14ac:dyDescent="0.2">
      <c r="A1996" s="3">
        <v>1993</v>
      </c>
      <c r="B1996" s="3" t="s">
        <v>3245</v>
      </c>
      <c r="C1996" s="3" t="s">
        <v>3246</v>
      </c>
      <c r="D1996" s="3" t="s">
        <v>3246</v>
      </c>
      <c r="E1996" s="1"/>
      <c r="F1996" s="8" t="s">
        <v>66</v>
      </c>
    </row>
    <row r="1997" spans="1:6" x14ac:dyDescent="0.2">
      <c r="A1997" s="3">
        <v>1994</v>
      </c>
      <c r="B1997" s="3" t="s">
        <v>3247</v>
      </c>
      <c r="C1997" s="3" t="s">
        <v>3246</v>
      </c>
      <c r="D1997" s="3" t="s">
        <v>3246</v>
      </c>
      <c r="E1997" s="1"/>
      <c r="F1997" s="8" t="s">
        <v>66</v>
      </c>
    </row>
    <row r="1998" spans="1:6" x14ac:dyDescent="0.2">
      <c r="A1998" s="3">
        <v>1995</v>
      </c>
      <c r="B1998" s="3" t="s">
        <v>3248</v>
      </c>
      <c r="C1998" s="3" t="s">
        <v>3249</v>
      </c>
      <c r="D1998" s="3" t="s">
        <v>3249</v>
      </c>
      <c r="E1998" s="1"/>
      <c r="F1998" s="8" t="s">
        <v>66</v>
      </c>
    </row>
    <row r="1999" spans="1:6" x14ac:dyDescent="0.2">
      <c r="A1999" s="3">
        <v>1996</v>
      </c>
      <c r="B1999" s="3" t="s">
        <v>3250</v>
      </c>
      <c r="C1999" s="3" t="s">
        <v>3251</v>
      </c>
      <c r="D1999" s="3" t="s">
        <v>3251</v>
      </c>
      <c r="E1999" s="1"/>
      <c r="F1999" s="8" t="s">
        <v>66</v>
      </c>
    </row>
    <row r="2000" spans="1:6" x14ac:dyDescent="0.2">
      <c r="A2000" s="3">
        <v>1997</v>
      </c>
      <c r="B2000" s="3" t="s">
        <v>3252</v>
      </c>
      <c r="C2000" s="3" t="s">
        <v>3253</v>
      </c>
      <c r="D2000" s="3" t="s">
        <v>3253</v>
      </c>
      <c r="E2000" s="1"/>
      <c r="F2000" s="8" t="s">
        <v>66</v>
      </c>
    </row>
    <row r="2001" spans="1:6" x14ac:dyDescent="0.2">
      <c r="A2001" s="3">
        <v>1998</v>
      </c>
      <c r="B2001" s="3" t="s">
        <v>3254</v>
      </c>
      <c r="C2001" s="3" t="s">
        <v>3255</v>
      </c>
      <c r="D2001" s="3" t="s">
        <v>3255</v>
      </c>
      <c r="E2001" s="1"/>
      <c r="F2001" s="8" t="s">
        <v>66</v>
      </c>
    </row>
    <row r="2002" spans="1:6" x14ac:dyDescent="0.2">
      <c r="A2002" s="3">
        <v>1999</v>
      </c>
      <c r="B2002" s="3" t="s">
        <v>3256</v>
      </c>
      <c r="C2002" s="3" t="s">
        <v>3257</v>
      </c>
      <c r="D2002" s="3" t="s">
        <v>3257</v>
      </c>
      <c r="E2002" s="1"/>
      <c r="F2002" s="8" t="s">
        <v>66</v>
      </c>
    </row>
    <row r="2003" spans="1:6" x14ac:dyDescent="0.2">
      <c r="A2003" s="3">
        <v>2000</v>
      </c>
      <c r="B2003" s="3" t="s">
        <v>3258</v>
      </c>
      <c r="C2003" s="3" t="s">
        <v>3259</v>
      </c>
      <c r="D2003" s="3" t="s">
        <v>3259</v>
      </c>
      <c r="E2003" s="1"/>
      <c r="F2003" s="8" t="s">
        <v>66</v>
      </c>
    </row>
    <row r="2004" spans="1:6" x14ac:dyDescent="0.2">
      <c r="A2004" s="3">
        <v>2001</v>
      </c>
      <c r="B2004" s="3" t="s">
        <v>3260</v>
      </c>
      <c r="C2004" s="3" t="s">
        <v>3261</v>
      </c>
      <c r="D2004" s="3" t="s">
        <v>3261</v>
      </c>
      <c r="E2004" s="1"/>
      <c r="F2004" s="8" t="s">
        <v>66</v>
      </c>
    </row>
    <row r="2005" spans="1:6" x14ac:dyDescent="0.2">
      <c r="A2005" s="3">
        <v>2002</v>
      </c>
      <c r="B2005" s="3" t="s">
        <v>3262</v>
      </c>
      <c r="C2005" s="3" t="s">
        <v>3261</v>
      </c>
      <c r="D2005" s="3" t="s">
        <v>3261</v>
      </c>
      <c r="E2005" s="1"/>
      <c r="F2005" s="8" t="s">
        <v>66</v>
      </c>
    </row>
    <row r="2006" spans="1:6" x14ac:dyDescent="0.2">
      <c r="A2006" s="3">
        <v>2003</v>
      </c>
      <c r="B2006" s="3" t="s">
        <v>3263</v>
      </c>
      <c r="C2006" s="3" t="s">
        <v>3261</v>
      </c>
      <c r="D2006" s="3" t="s">
        <v>3261</v>
      </c>
      <c r="E2006" s="1"/>
      <c r="F2006" s="8" t="s">
        <v>66</v>
      </c>
    </row>
    <row r="2007" spans="1:6" x14ac:dyDescent="0.2">
      <c r="A2007" s="3">
        <v>2004</v>
      </c>
      <c r="B2007" s="3" t="s">
        <v>3264</v>
      </c>
      <c r="C2007" s="3" t="s">
        <v>3261</v>
      </c>
      <c r="D2007" s="3" t="s">
        <v>3261</v>
      </c>
      <c r="E2007" s="1"/>
      <c r="F2007" s="8" t="s">
        <v>66</v>
      </c>
    </row>
    <row r="2008" spans="1:6" x14ac:dyDescent="0.2">
      <c r="A2008" s="3">
        <v>2005</v>
      </c>
      <c r="B2008" s="3" t="s">
        <v>3265</v>
      </c>
      <c r="C2008" s="3" t="s">
        <v>3266</v>
      </c>
      <c r="D2008" s="3" t="s">
        <v>3266</v>
      </c>
      <c r="E2008" s="1"/>
      <c r="F2008" s="8" t="s">
        <v>66</v>
      </c>
    </row>
    <row r="2009" spans="1:6" x14ac:dyDescent="0.2">
      <c r="A2009" s="3">
        <v>2006</v>
      </c>
      <c r="B2009" s="3" t="s">
        <v>3267</v>
      </c>
      <c r="C2009" s="3" t="s">
        <v>3266</v>
      </c>
      <c r="D2009" s="3" t="s">
        <v>3266</v>
      </c>
      <c r="E2009" s="1"/>
      <c r="F2009" s="8" t="s">
        <v>66</v>
      </c>
    </row>
    <row r="2010" spans="1:6" x14ac:dyDescent="0.2">
      <c r="A2010" s="3">
        <v>2007</v>
      </c>
      <c r="B2010" s="3" t="s">
        <v>3268</v>
      </c>
      <c r="C2010" s="3" t="s">
        <v>3269</v>
      </c>
      <c r="D2010" s="3" t="s">
        <v>3269</v>
      </c>
      <c r="E2010" s="1"/>
      <c r="F2010" s="8" t="s">
        <v>66</v>
      </c>
    </row>
    <row r="2011" spans="1:6" x14ac:dyDescent="0.2">
      <c r="A2011" s="3">
        <v>2008</v>
      </c>
      <c r="B2011" s="3" t="s">
        <v>3270</v>
      </c>
      <c r="C2011" s="3" t="s">
        <v>3271</v>
      </c>
      <c r="D2011" s="3" t="s">
        <v>3271</v>
      </c>
      <c r="E2011" s="1"/>
      <c r="F2011" s="8" t="s">
        <v>66</v>
      </c>
    </row>
    <row r="2012" spans="1:6" x14ac:dyDescent="0.2">
      <c r="A2012" s="3">
        <v>2009</v>
      </c>
      <c r="B2012" s="3" t="s">
        <v>3272</v>
      </c>
      <c r="C2012" s="3" t="s">
        <v>3271</v>
      </c>
      <c r="D2012" s="3" t="s">
        <v>3271</v>
      </c>
      <c r="E2012" s="1"/>
      <c r="F2012" s="8" t="s">
        <v>66</v>
      </c>
    </row>
    <row r="2013" spans="1:6" x14ac:dyDescent="0.2">
      <c r="A2013" s="3">
        <v>2010</v>
      </c>
      <c r="B2013" s="3" t="s">
        <v>3273</v>
      </c>
      <c r="C2013" s="3" t="s">
        <v>3274</v>
      </c>
      <c r="D2013" s="3" t="s">
        <v>3274</v>
      </c>
      <c r="E2013" s="1"/>
      <c r="F2013" s="8" t="s">
        <v>66</v>
      </c>
    </row>
    <row r="2014" spans="1:6" x14ac:dyDescent="0.2">
      <c r="A2014" s="3">
        <v>2011</v>
      </c>
      <c r="B2014" s="3" t="s">
        <v>3275</v>
      </c>
      <c r="C2014" s="3" t="s">
        <v>3271</v>
      </c>
      <c r="D2014" s="3" t="s">
        <v>3271</v>
      </c>
      <c r="E2014" s="1"/>
      <c r="F2014" s="8" t="s">
        <v>66</v>
      </c>
    </row>
    <row r="2015" spans="1:6" x14ac:dyDescent="0.2">
      <c r="A2015" s="3">
        <v>2012</v>
      </c>
      <c r="B2015" s="3" t="s">
        <v>3276</v>
      </c>
      <c r="C2015" s="3" t="s">
        <v>3277</v>
      </c>
      <c r="D2015" s="3" t="s">
        <v>3277</v>
      </c>
      <c r="E2015" s="1"/>
      <c r="F2015" s="8" t="s">
        <v>66</v>
      </c>
    </row>
    <row r="2016" spans="1:6" x14ac:dyDescent="0.2">
      <c r="A2016" s="3">
        <v>2013</v>
      </c>
      <c r="B2016" s="3" t="s">
        <v>3278</v>
      </c>
      <c r="C2016" s="3" t="s">
        <v>3279</v>
      </c>
      <c r="D2016" s="3" t="s">
        <v>3279</v>
      </c>
      <c r="E2016" s="1"/>
      <c r="F2016" s="8" t="s">
        <v>66</v>
      </c>
    </row>
    <row r="2017" spans="1:6" x14ac:dyDescent="0.2">
      <c r="A2017" s="3">
        <v>2014</v>
      </c>
      <c r="B2017" s="3" t="s">
        <v>3280</v>
      </c>
      <c r="C2017" s="3" t="s">
        <v>3281</v>
      </c>
      <c r="D2017" s="3" t="s">
        <v>3281</v>
      </c>
      <c r="E2017" s="1"/>
      <c r="F2017" s="8" t="s">
        <v>66</v>
      </c>
    </row>
    <row r="2018" spans="1:6" x14ac:dyDescent="0.2">
      <c r="A2018" s="3">
        <v>2015</v>
      </c>
      <c r="B2018" s="3" t="s">
        <v>3282</v>
      </c>
      <c r="C2018" s="3" t="s">
        <v>3283</v>
      </c>
      <c r="D2018" s="3" t="s">
        <v>3283</v>
      </c>
      <c r="E2018" s="1"/>
      <c r="F2018" s="8" t="s">
        <v>66</v>
      </c>
    </row>
    <row r="2019" spans="1:6" x14ac:dyDescent="0.2">
      <c r="A2019" s="3">
        <v>2016</v>
      </c>
      <c r="B2019" s="3" t="s">
        <v>3284</v>
      </c>
      <c r="C2019" s="3" t="s">
        <v>3283</v>
      </c>
      <c r="D2019" s="3" t="s">
        <v>3283</v>
      </c>
      <c r="E2019" s="1"/>
      <c r="F2019" s="8" t="s">
        <v>66</v>
      </c>
    </row>
    <row r="2020" spans="1:6" x14ac:dyDescent="0.2">
      <c r="A2020" s="3">
        <v>2017</v>
      </c>
      <c r="B2020" s="3" t="s">
        <v>3285</v>
      </c>
      <c r="C2020" s="3" t="s">
        <v>3286</v>
      </c>
      <c r="D2020" s="3" t="s">
        <v>3286</v>
      </c>
      <c r="E2020" s="1"/>
      <c r="F2020" s="8" t="s">
        <v>66</v>
      </c>
    </row>
    <row r="2021" spans="1:6" x14ac:dyDescent="0.2">
      <c r="A2021" s="3">
        <v>2018</v>
      </c>
      <c r="B2021" s="3" t="s">
        <v>3287</v>
      </c>
      <c r="C2021" s="3" t="s">
        <v>3286</v>
      </c>
      <c r="D2021" s="3" t="s">
        <v>3286</v>
      </c>
      <c r="E2021" s="1"/>
      <c r="F2021" s="8" t="s">
        <v>66</v>
      </c>
    </row>
    <row r="2022" spans="1:6" x14ac:dyDescent="0.2">
      <c r="A2022" s="3">
        <v>2019</v>
      </c>
      <c r="B2022" s="3" t="s">
        <v>3288</v>
      </c>
      <c r="C2022" s="3" t="s">
        <v>3289</v>
      </c>
      <c r="D2022" s="3" t="s">
        <v>3289</v>
      </c>
      <c r="E2022" s="1"/>
      <c r="F2022" s="8" t="s">
        <v>66</v>
      </c>
    </row>
    <row r="2023" spans="1:6" x14ac:dyDescent="0.2">
      <c r="A2023" s="3">
        <v>2020</v>
      </c>
      <c r="B2023" s="3" t="s">
        <v>3290</v>
      </c>
      <c r="C2023" s="3" t="s">
        <v>3291</v>
      </c>
      <c r="D2023" s="3" t="s">
        <v>3291</v>
      </c>
      <c r="E2023" s="1"/>
      <c r="F2023" s="8" t="s">
        <v>66</v>
      </c>
    </row>
    <row r="2024" spans="1:6" x14ac:dyDescent="0.2">
      <c r="A2024" s="3">
        <v>2021</v>
      </c>
      <c r="B2024" s="3" t="s">
        <v>3292</v>
      </c>
      <c r="C2024" s="3" t="s">
        <v>3291</v>
      </c>
      <c r="D2024" s="3" t="s">
        <v>3291</v>
      </c>
      <c r="E2024" s="1"/>
      <c r="F2024" s="8" t="s">
        <v>66</v>
      </c>
    </row>
    <row r="2025" spans="1:6" x14ac:dyDescent="0.2">
      <c r="A2025" s="3">
        <v>2022</v>
      </c>
      <c r="B2025" s="3" t="s">
        <v>3293</v>
      </c>
      <c r="C2025" s="3" t="s">
        <v>3294</v>
      </c>
      <c r="D2025" s="3" t="s">
        <v>3294</v>
      </c>
      <c r="E2025" s="1"/>
      <c r="F2025" s="8" t="s">
        <v>66</v>
      </c>
    </row>
    <row r="2026" spans="1:6" x14ac:dyDescent="0.2">
      <c r="A2026" s="3">
        <v>2023</v>
      </c>
      <c r="B2026" s="3" t="s">
        <v>3295</v>
      </c>
      <c r="C2026" s="3" t="s">
        <v>3296</v>
      </c>
      <c r="D2026" s="3" t="s">
        <v>3296</v>
      </c>
      <c r="E2026" s="1"/>
      <c r="F2026" s="8" t="s">
        <v>66</v>
      </c>
    </row>
    <row r="2027" spans="1:6" x14ac:dyDescent="0.2">
      <c r="A2027" s="3">
        <v>2024</v>
      </c>
      <c r="B2027" s="3" t="s">
        <v>3297</v>
      </c>
      <c r="C2027" s="3" t="s">
        <v>3296</v>
      </c>
      <c r="D2027" s="3" t="s">
        <v>3296</v>
      </c>
      <c r="E2027" s="1"/>
      <c r="F2027" s="8" t="s">
        <v>66</v>
      </c>
    </row>
    <row r="2028" spans="1:6" x14ac:dyDescent="0.2">
      <c r="A2028" s="3">
        <v>2025</v>
      </c>
      <c r="B2028" s="3" t="s">
        <v>3298</v>
      </c>
      <c r="C2028" s="3" t="s">
        <v>3299</v>
      </c>
      <c r="D2028" s="3" t="s">
        <v>3299</v>
      </c>
      <c r="E2028" s="1"/>
      <c r="F2028" s="8" t="s">
        <v>66</v>
      </c>
    </row>
    <row r="2029" spans="1:6" x14ac:dyDescent="0.2">
      <c r="A2029" s="3">
        <v>2026</v>
      </c>
      <c r="B2029" s="3" t="s">
        <v>3300</v>
      </c>
      <c r="C2029" s="3" t="s">
        <v>3299</v>
      </c>
      <c r="D2029" s="3" t="s">
        <v>3299</v>
      </c>
      <c r="E2029" s="1"/>
      <c r="F2029" s="8" t="s">
        <v>66</v>
      </c>
    </row>
    <row r="2030" spans="1:6" x14ac:dyDescent="0.2">
      <c r="A2030" s="3">
        <v>2027</v>
      </c>
      <c r="B2030" s="3" t="s">
        <v>3301</v>
      </c>
      <c r="C2030" s="3" t="s">
        <v>3299</v>
      </c>
      <c r="D2030" s="3" t="s">
        <v>3299</v>
      </c>
      <c r="E2030" s="1"/>
      <c r="F2030" s="8" t="s">
        <v>66</v>
      </c>
    </row>
    <row r="2031" spans="1:6" x14ac:dyDescent="0.2">
      <c r="A2031" s="3">
        <v>2028</v>
      </c>
      <c r="B2031" s="3" t="s">
        <v>3302</v>
      </c>
      <c r="C2031" s="3" t="s">
        <v>3303</v>
      </c>
      <c r="D2031" s="3" t="s">
        <v>3303</v>
      </c>
      <c r="E2031" s="1"/>
      <c r="F2031" s="8" t="s">
        <v>66</v>
      </c>
    </row>
    <row r="2032" spans="1:6" x14ac:dyDescent="0.2">
      <c r="A2032" s="3">
        <v>2029</v>
      </c>
      <c r="B2032" s="3" t="s">
        <v>3304</v>
      </c>
      <c r="C2032" s="3" t="s">
        <v>3305</v>
      </c>
      <c r="D2032" s="3" t="s">
        <v>3305</v>
      </c>
      <c r="E2032" s="1"/>
      <c r="F2032" s="8" t="s">
        <v>66</v>
      </c>
    </row>
    <row r="2033" spans="1:6" x14ac:dyDescent="0.2">
      <c r="A2033" s="3">
        <v>2030</v>
      </c>
      <c r="B2033" s="3" t="s">
        <v>3306</v>
      </c>
      <c r="C2033" s="3" t="s">
        <v>3305</v>
      </c>
      <c r="D2033" s="3" t="s">
        <v>3305</v>
      </c>
      <c r="E2033" s="1"/>
      <c r="F2033" s="8" t="s">
        <v>66</v>
      </c>
    </row>
    <row r="2034" spans="1:6" x14ac:dyDescent="0.2">
      <c r="A2034" s="3">
        <v>2031</v>
      </c>
      <c r="B2034" s="3" t="s">
        <v>3307</v>
      </c>
      <c r="C2034" s="3" t="s">
        <v>3308</v>
      </c>
      <c r="D2034" s="3" t="s">
        <v>3308</v>
      </c>
      <c r="E2034" s="1"/>
      <c r="F2034" s="8" t="s">
        <v>66</v>
      </c>
    </row>
    <row r="2035" spans="1:6" x14ac:dyDescent="0.2">
      <c r="A2035" s="3">
        <v>2032</v>
      </c>
      <c r="B2035" s="3" t="s">
        <v>3309</v>
      </c>
      <c r="C2035" s="3" t="s">
        <v>3308</v>
      </c>
      <c r="D2035" s="3" t="s">
        <v>3308</v>
      </c>
      <c r="E2035" s="1"/>
      <c r="F2035" s="8" t="s">
        <v>66</v>
      </c>
    </row>
    <row r="2036" spans="1:6" x14ac:dyDescent="0.2">
      <c r="A2036" s="3">
        <v>2033</v>
      </c>
      <c r="B2036" s="3" t="s">
        <v>3310</v>
      </c>
      <c r="C2036" s="3" t="s">
        <v>3311</v>
      </c>
      <c r="D2036" s="3" t="s">
        <v>3311</v>
      </c>
      <c r="E2036" s="1"/>
      <c r="F2036" s="8" t="s">
        <v>66</v>
      </c>
    </row>
    <row r="2037" spans="1:6" x14ac:dyDescent="0.2">
      <c r="A2037" s="3">
        <v>2034</v>
      </c>
      <c r="B2037" s="3" t="s">
        <v>3312</v>
      </c>
      <c r="C2037" s="3" t="s">
        <v>3313</v>
      </c>
      <c r="D2037" s="3" t="s">
        <v>3313</v>
      </c>
      <c r="E2037" s="1"/>
      <c r="F2037" s="8" t="s">
        <v>66</v>
      </c>
    </row>
    <row r="2038" spans="1:6" x14ac:dyDescent="0.2">
      <c r="A2038" s="3">
        <v>2035</v>
      </c>
      <c r="B2038" s="3" t="s">
        <v>3314</v>
      </c>
      <c r="C2038" s="3" t="s">
        <v>3313</v>
      </c>
      <c r="D2038" s="3" t="s">
        <v>3313</v>
      </c>
      <c r="E2038" s="1"/>
      <c r="F2038" s="8" t="s">
        <v>66</v>
      </c>
    </row>
    <row r="2039" spans="1:6" x14ac:dyDescent="0.2">
      <c r="A2039" s="3">
        <v>2036</v>
      </c>
      <c r="B2039" s="3" t="s">
        <v>3315</v>
      </c>
      <c r="C2039" s="3" t="s">
        <v>3316</v>
      </c>
      <c r="D2039" s="3" t="s">
        <v>3316</v>
      </c>
      <c r="E2039" s="1"/>
      <c r="F2039" s="8" t="s">
        <v>66</v>
      </c>
    </row>
    <row r="2040" spans="1:6" x14ac:dyDescent="0.2">
      <c r="A2040" s="3">
        <v>2037</v>
      </c>
      <c r="B2040" s="3" t="s">
        <v>3317</v>
      </c>
      <c r="C2040" s="3" t="s">
        <v>3316</v>
      </c>
      <c r="D2040" s="3" t="s">
        <v>3316</v>
      </c>
      <c r="E2040" s="1"/>
      <c r="F2040" s="8" t="s">
        <v>66</v>
      </c>
    </row>
    <row r="2041" spans="1:6" x14ac:dyDescent="0.2">
      <c r="A2041" s="3">
        <v>2038</v>
      </c>
      <c r="B2041" s="3" t="s">
        <v>3318</v>
      </c>
      <c r="C2041" s="3" t="s">
        <v>3316</v>
      </c>
      <c r="D2041" s="3" t="s">
        <v>3316</v>
      </c>
      <c r="E2041" s="1"/>
      <c r="F2041" s="8" t="s">
        <v>66</v>
      </c>
    </row>
    <row r="2042" spans="1:6" x14ac:dyDescent="0.2">
      <c r="A2042" s="3">
        <v>2039</v>
      </c>
      <c r="B2042" s="3" t="s">
        <v>3319</v>
      </c>
      <c r="C2042" s="3" t="s">
        <v>3316</v>
      </c>
      <c r="D2042" s="3" t="s">
        <v>3316</v>
      </c>
      <c r="E2042" s="1"/>
      <c r="F2042" s="8" t="s">
        <v>66</v>
      </c>
    </row>
    <row r="2043" spans="1:6" x14ac:dyDescent="0.2">
      <c r="A2043" s="3">
        <v>2040</v>
      </c>
      <c r="B2043" s="3" t="s">
        <v>3320</v>
      </c>
      <c r="C2043" s="3" t="s">
        <v>3321</v>
      </c>
      <c r="D2043" s="3" t="s">
        <v>3321</v>
      </c>
      <c r="E2043" s="1"/>
      <c r="F2043" s="8" t="s">
        <v>66</v>
      </c>
    </row>
    <row r="2044" spans="1:6" x14ac:dyDescent="0.2">
      <c r="A2044" s="3">
        <v>2041</v>
      </c>
      <c r="B2044" s="3" t="s">
        <v>3322</v>
      </c>
      <c r="C2044" s="3" t="s">
        <v>3323</v>
      </c>
      <c r="D2044" s="3" t="s">
        <v>3323</v>
      </c>
      <c r="E2044" s="1"/>
      <c r="F2044" s="8" t="s">
        <v>66</v>
      </c>
    </row>
    <row r="2045" spans="1:6" x14ac:dyDescent="0.2">
      <c r="A2045" s="3">
        <v>2042</v>
      </c>
      <c r="B2045" s="3" t="s">
        <v>3324</v>
      </c>
      <c r="C2045" s="3" t="s">
        <v>3325</v>
      </c>
      <c r="D2045" s="3" t="s">
        <v>3325</v>
      </c>
      <c r="E2045" s="1"/>
      <c r="F2045" s="8" t="s">
        <v>66</v>
      </c>
    </row>
    <row r="2046" spans="1:6" x14ac:dyDescent="0.2">
      <c r="A2046" s="3">
        <v>2043</v>
      </c>
      <c r="B2046" s="3" t="s">
        <v>3326</v>
      </c>
      <c r="C2046" s="3" t="s">
        <v>3327</v>
      </c>
      <c r="D2046" s="3" t="s">
        <v>3327</v>
      </c>
      <c r="E2046" s="1"/>
      <c r="F2046" s="8" t="s">
        <v>66</v>
      </c>
    </row>
    <row r="2047" spans="1:6" x14ac:dyDescent="0.2">
      <c r="A2047" s="3">
        <v>2044</v>
      </c>
      <c r="B2047" s="3" t="s">
        <v>3328</v>
      </c>
      <c r="C2047" s="3" t="s">
        <v>3329</v>
      </c>
      <c r="D2047" s="3" t="s">
        <v>3329</v>
      </c>
      <c r="E2047" s="1"/>
      <c r="F2047" s="8" t="s">
        <v>66</v>
      </c>
    </row>
    <row r="2048" spans="1:6" x14ac:dyDescent="0.2">
      <c r="A2048" s="3">
        <v>2045</v>
      </c>
      <c r="B2048" s="3" t="s">
        <v>3330</v>
      </c>
      <c r="C2048" s="3" t="s">
        <v>3331</v>
      </c>
      <c r="D2048" s="3" t="s">
        <v>3331</v>
      </c>
      <c r="E2048" s="1"/>
      <c r="F2048" s="8" t="s">
        <v>66</v>
      </c>
    </row>
    <row r="2049" spans="1:6" x14ac:dyDescent="0.2">
      <c r="A2049" s="3">
        <v>2046</v>
      </c>
      <c r="B2049" s="3" t="s">
        <v>3332</v>
      </c>
      <c r="C2049" s="3" t="s">
        <v>3332</v>
      </c>
      <c r="D2049" s="3" t="s">
        <v>3332</v>
      </c>
      <c r="E2049" s="1" t="s">
        <v>3333</v>
      </c>
      <c r="F2049" s="8" t="s">
        <v>66</v>
      </c>
    </row>
    <row r="2050" spans="1:6" x14ac:dyDescent="0.2">
      <c r="A2050" s="3">
        <v>2047</v>
      </c>
      <c r="B2050" s="3" t="s">
        <v>3332</v>
      </c>
      <c r="C2050" s="3" t="s">
        <v>3334</v>
      </c>
      <c r="D2050" s="3" t="s">
        <v>3334</v>
      </c>
      <c r="E2050" s="1"/>
      <c r="F2050" s="8" t="s">
        <v>66</v>
      </c>
    </row>
    <row r="2051" spans="1:6" x14ac:dyDescent="0.2">
      <c r="A2051" s="3">
        <v>2048</v>
      </c>
      <c r="B2051" s="3" t="s">
        <v>3335</v>
      </c>
      <c r="C2051" s="3" t="s">
        <v>3336</v>
      </c>
      <c r="D2051" s="3" t="s">
        <v>3336</v>
      </c>
      <c r="E2051" s="1"/>
      <c r="F2051" s="8" t="s">
        <v>66</v>
      </c>
    </row>
    <row r="2052" spans="1:6" x14ac:dyDescent="0.2">
      <c r="A2052" s="3">
        <v>2049</v>
      </c>
      <c r="B2052" s="3" t="s">
        <v>3337</v>
      </c>
      <c r="C2052" s="3" t="s">
        <v>3338</v>
      </c>
      <c r="D2052" s="3" t="s">
        <v>3338</v>
      </c>
      <c r="E2052" s="1"/>
      <c r="F2052" s="8" t="s">
        <v>66</v>
      </c>
    </row>
    <row r="2053" spans="1:6" x14ac:dyDescent="0.2">
      <c r="A2053" s="3">
        <v>2050</v>
      </c>
      <c r="B2053" s="3" t="s">
        <v>3339</v>
      </c>
      <c r="C2053" s="3" t="s">
        <v>3340</v>
      </c>
      <c r="D2053" s="3" t="s">
        <v>3340</v>
      </c>
      <c r="E2053" s="1"/>
      <c r="F2053" s="8" t="s">
        <v>66</v>
      </c>
    </row>
    <row r="2054" spans="1:6" x14ac:dyDescent="0.2">
      <c r="A2054" s="3">
        <v>2051</v>
      </c>
      <c r="B2054" s="3" t="s">
        <v>3341</v>
      </c>
      <c r="C2054" s="3" t="s">
        <v>3342</v>
      </c>
      <c r="D2054" s="3" t="s">
        <v>3342</v>
      </c>
      <c r="E2054" s="1"/>
      <c r="F2054" s="8" t="s">
        <v>66</v>
      </c>
    </row>
    <row r="2055" spans="1:6" x14ac:dyDescent="0.2">
      <c r="A2055" s="3">
        <v>2052</v>
      </c>
      <c r="B2055" s="3" t="s">
        <v>3343</v>
      </c>
      <c r="C2055" s="3" t="s">
        <v>3344</v>
      </c>
      <c r="D2055" s="3" t="s">
        <v>3344</v>
      </c>
      <c r="E2055" s="1"/>
      <c r="F2055" s="8" t="s">
        <v>66</v>
      </c>
    </row>
    <row r="2056" spans="1:6" x14ac:dyDescent="0.2">
      <c r="A2056" s="3">
        <v>2053</v>
      </c>
      <c r="B2056" s="3" t="s">
        <v>3345</v>
      </c>
      <c r="C2056" s="3" t="s">
        <v>3346</v>
      </c>
      <c r="D2056" s="3" t="s">
        <v>3346</v>
      </c>
      <c r="E2056" s="1"/>
      <c r="F2056" s="8" t="s">
        <v>66</v>
      </c>
    </row>
    <row r="2057" spans="1:6" x14ac:dyDescent="0.2">
      <c r="A2057" s="3">
        <v>2054</v>
      </c>
      <c r="B2057" s="3" t="s">
        <v>3347</v>
      </c>
      <c r="C2057" s="3" t="s">
        <v>3346</v>
      </c>
      <c r="D2057" s="3" t="s">
        <v>3346</v>
      </c>
      <c r="E2057" s="1"/>
      <c r="F2057" s="8" t="s">
        <v>66</v>
      </c>
    </row>
    <row r="2058" spans="1:6" x14ac:dyDescent="0.2">
      <c r="A2058" s="3">
        <v>2055</v>
      </c>
      <c r="B2058" s="3" t="s">
        <v>3348</v>
      </c>
      <c r="C2058" s="3" t="s">
        <v>3349</v>
      </c>
      <c r="D2058" s="3" t="s">
        <v>3349</v>
      </c>
      <c r="E2058" s="1"/>
      <c r="F2058" s="8" t="s">
        <v>66</v>
      </c>
    </row>
    <row r="2059" spans="1:6" x14ac:dyDescent="0.2">
      <c r="A2059" s="3">
        <v>2056</v>
      </c>
      <c r="B2059" s="3" t="s">
        <v>3350</v>
      </c>
      <c r="C2059" s="3" t="s">
        <v>3349</v>
      </c>
      <c r="D2059" s="3" t="s">
        <v>3349</v>
      </c>
      <c r="E2059" s="1"/>
      <c r="F2059" s="8" t="s">
        <v>66</v>
      </c>
    </row>
    <row r="2060" spans="1:6" x14ac:dyDescent="0.2">
      <c r="A2060" s="3">
        <v>2057</v>
      </c>
      <c r="B2060" s="3" t="s">
        <v>3351</v>
      </c>
      <c r="C2060" s="3" t="s">
        <v>3349</v>
      </c>
      <c r="D2060" s="3" t="s">
        <v>3349</v>
      </c>
      <c r="E2060" s="1"/>
      <c r="F2060" s="8" t="s">
        <v>66</v>
      </c>
    </row>
    <row r="2061" spans="1:6" x14ac:dyDescent="0.2">
      <c r="A2061" s="3">
        <v>2058</v>
      </c>
      <c r="B2061" s="3" t="s">
        <v>3352</v>
      </c>
      <c r="C2061" s="3" t="s">
        <v>3353</v>
      </c>
      <c r="D2061" s="3" t="s">
        <v>3353</v>
      </c>
      <c r="E2061" s="1"/>
      <c r="F2061" s="8" t="s">
        <v>66</v>
      </c>
    </row>
    <row r="2062" spans="1:6" x14ac:dyDescent="0.2">
      <c r="A2062" s="3">
        <v>2059</v>
      </c>
      <c r="B2062" s="3" t="s">
        <v>3354</v>
      </c>
      <c r="C2062" s="3" t="s">
        <v>3355</v>
      </c>
      <c r="D2062" s="3" t="s">
        <v>3355</v>
      </c>
      <c r="E2062" s="1"/>
      <c r="F2062" s="8" t="s">
        <v>66</v>
      </c>
    </row>
    <row r="2063" spans="1:6" x14ac:dyDescent="0.2">
      <c r="A2063" s="3">
        <v>2060</v>
      </c>
      <c r="B2063" s="3" t="s">
        <v>3356</v>
      </c>
      <c r="C2063" s="3" t="s">
        <v>3357</v>
      </c>
      <c r="D2063" s="3" t="s">
        <v>3357</v>
      </c>
      <c r="E2063" s="1"/>
      <c r="F2063" s="8" t="s">
        <v>66</v>
      </c>
    </row>
    <row r="2064" spans="1:6" x14ac:dyDescent="0.2">
      <c r="A2064" s="3">
        <v>2061</v>
      </c>
      <c r="B2064" s="3" t="s">
        <v>3358</v>
      </c>
      <c r="C2064" s="3" t="s">
        <v>3359</v>
      </c>
      <c r="D2064" s="3" t="s">
        <v>3359</v>
      </c>
      <c r="E2064" s="1"/>
      <c r="F2064" s="8" t="s">
        <v>66</v>
      </c>
    </row>
    <row r="2065" spans="1:6" x14ac:dyDescent="0.2">
      <c r="A2065" s="3">
        <v>2062</v>
      </c>
      <c r="B2065" s="3" t="s">
        <v>3360</v>
      </c>
      <c r="C2065" s="3" t="s">
        <v>3361</v>
      </c>
      <c r="D2065" s="3" t="s">
        <v>3361</v>
      </c>
      <c r="E2065" s="1"/>
      <c r="F2065" s="8" t="s">
        <v>66</v>
      </c>
    </row>
    <row r="2066" spans="1:6" x14ac:dyDescent="0.2">
      <c r="A2066" s="3">
        <v>2063</v>
      </c>
      <c r="B2066" s="3" t="s">
        <v>3362</v>
      </c>
      <c r="C2066" s="3" t="s">
        <v>3363</v>
      </c>
      <c r="D2066" s="3" t="s">
        <v>3363</v>
      </c>
      <c r="E2066" s="1"/>
      <c r="F2066" s="8" t="s">
        <v>66</v>
      </c>
    </row>
    <row r="2067" spans="1:6" x14ac:dyDescent="0.2">
      <c r="A2067" s="3">
        <v>2064</v>
      </c>
      <c r="B2067" s="3" t="s">
        <v>3364</v>
      </c>
      <c r="C2067" s="3" t="s">
        <v>3363</v>
      </c>
      <c r="D2067" s="3" t="s">
        <v>3363</v>
      </c>
      <c r="E2067" s="1"/>
      <c r="F2067" s="8" t="s">
        <v>66</v>
      </c>
    </row>
    <row r="2068" spans="1:6" x14ac:dyDescent="0.2">
      <c r="A2068" s="3">
        <v>2065</v>
      </c>
      <c r="B2068" s="3" t="s">
        <v>3365</v>
      </c>
      <c r="C2068" s="3" t="s">
        <v>3363</v>
      </c>
      <c r="D2068" s="3" t="s">
        <v>3363</v>
      </c>
      <c r="E2068" s="1"/>
      <c r="F2068" s="8" t="s">
        <v>66</v>
      </c>
    </row>
    <row r="2069" spans="1:6" x14ac:dyDescent="0.2">
      <c r="A2069" s="3">
        <v>2066</v>
      </c>
      <c r="B2069" s="3" t="s">
        <v>3366</v>
      </c>
      <c r="C2069" s="3" t="s">
        <v>3363</v>
      </c>
      <c r="D2069" s="3" t="s">
        <v>3363</v>
      </c>
      <c r="E2069" s="1"/>
      <c r="F2069" s="8" t="s">
        <v>66</v>
      </c>
    </row>
    <row r="2070" spans="1:6" x14ac:dyDescent="0.2">
      <c r="A2070" s="3">
        <v>2067</v>
      </c>
      <c r="B2070" s="3" t="s">
        <v>3367</v>
      </c>
      <c r="C2070" s="3" t="s">
        <v>3368</v>
      </c>
      <c r="D2070" s="3" t="s">
        <v>3368</v>
      </c>
      <c r="E2070" s="1"/>
      <c r="F2070" s="8" t="s">
        <v>66</v>
      </c>
    </row>
    <row r="2071" spans="1:6" x14ac:dyDescent="0.2">
      <c r="A2071" s="3">
        <v>2068</v>
      </c>
      <c r="B2071" s="3" t="s">
        <v>3369</v>
      </c>
      <c r="C2071" s="3" t="s">
        <v>3370</v>
      </c>
      <c r="D2071" s="3" t="s">
        <v>3370</v>
      </c>
      <c r="E2071" s="1"/>
      <c r="F2071" s="8" t="s">
        <v>66</v>
      </c>
    </row>
    <row r="2072" spans="1:6" x14ac:dyDescent="0.2">
      <c r="A2072" s="3">
        <v>2069</v>
      </c>
      <c r="B2072" s="3" t="s">
        <v>3371</v>
      </c>
      <c r="C2072" s="3" t="s">
        <v>3372</v>
      </c>
      <c r="D2072" s="3" t="s">
        <v>3372</v>
      </c>
      <c r="E2072" s="1"/>
      <c r="F2072" s="8" t="s">
        <v>66</v>
      </c>
    </row>
    <row r="2073" spans="1:6" x14ac:dyDescent="0.2">
      <c r="A2073" s="3">
        <v>2070</v>
      </c>
      <c r="B2073" s="3" t="s">
        <v>3373</v>
      </c>
      <c r="C2073" s="3" t="s">
        <v>3374</v>
      </c>
      <c r="D2073" s="3" t="s">
        <v>3374</v>
      </c>
      <c r="E2073" s="1"/>
      <c r="F2073" s="8" t="s">
        <v>66</v>
      </c>
    </row>
    <row r="2074" spans="1:6" x14ac:dyDescent="0.2">
      <c r="A2074" s="3">
        <v>2071</v>
      </c>
      <c r="B2074" s="3" t="s">
        <v>3375</v>
      </c>
      <c r="C2074" s="3" t="s">
        <v>3374</v>
      </c>
      <c r="D2074" s="3" t="s">
        <v>3374</v>
      </c>
      <c r="E2074" s="1"/>
      <c r="F2074" s="8" t="s">
        <v>66</v>
      </c>
    </row>
    <row r="2075" spans="1:6" x14ac:dyDescent="0.2">
      <c r="A2075" s="3">
        <v>2072</v>
      </c>
      <c r="B2075" s="3" t="s">
        <v>3376</v>
      </c>
      <c r="C2075" s="3" t="s">
        <v>3377</v>
      </c>
      <c r="D2075" s="3" t="s">
        <v>3377</v>
      </c>
      <c r="E2075" s="1"/>
      <c r="F2075" s="8" t="s">
        <v>66</v>
      </c>
    </row>
    <row r="2076" spans="1:6" x14ac:dyDescent="0.2">
      <c r="A2076" s="3">
        <v>2073</v>
      </c>
      <c r="B2076" s="3" t="s">
        <v>3378</v>
      </c>
      <c r="C2076" s="3" t="s">
        <v>3377</v>
      </c>
      <c r="D2076" s="3" t="s">
        <v>3377</v>
      </c>
      <c r="E2076" s="1"/>
      <c r="F2076" s="8" t="s">
        <v>66</v>
      </c>
    </row>
    <row r="2077" spans="1:6" x14ac:dyDescent="0.2">
      <c r="A2077" s="3">
        <v>2074</v>
      </c>
      <c r="B2077" s="3" t="s">
        <v>3379</v>
      </c>
      <c r="C2077" s="3" t="s">
        <v>3380</v>
      </c>
      <c r="D2077" s="3" t="s">
        <v>3380</v>
      </c>
      <c r="E2077" s="1"/>
      <c r="F2077" s="8" t="s">
        <v>66</v>
      </c>
    </row>
    <row r="2078" spans="1:6" x14ac:dyDescent="0.2">
      <c r="A2078" s="3">
        <v>2075</v>
      </c>
      <c r="B2078" s="3" t="s">
        <v>3381</v>
      </c>
      <c r="C2078" s="3" t="s">
        <v>3382</v>
      </c>
      <c r="D2078" s="3" t="s">
        <v>3382</v>
      </c>
      <c r="E2078" s="1"/>
      <c r="F2078" s="8" t="s">
        <v>66</v>
      </c>
    </row>
    <row r="2079" spans="1:6" x14ac:dyDescent="0.2">
      <c r="A2079" s="3">
        <v>2076</v>
      </c>
      <c r="B2079" s="3" t="s">
        <v>3383</v>
      </c>
      <c r="C2079" s="3" t="s">
        <v>3382</v>
      </c>
      <c r="D2079" s="3" t="s">
        <v>3382</v>
      </c>
      <c r="E2079" s="1"/>
      <c r="F2079" s="8" t="s">
        <v>66</v>
      </c>
    </row>
    <row r="2080" spans="1:6" x14ac:dyDescent="0.2">
      <c r="A2080" s="3">
        <v>2077</v>
      </c>
      <c r="B2080" s="3" t="s">
        <v>3384</v>
      </c>
      <c r="C2080" s="3" t="s">
        <v>3382</v>
      </c>
      <c r="D2080" s="3" t="s">
        <v>3382</v>
      </c>
      <c r="E2080" s="1"/>
      <c r="F2080" s="8" t="s">
        <v>66</v>
      </c>
    </row>
    <row r="2081" spans="1:6" x14ac:dyDescent="0.2">
      <c r="A2081" s="3">
        <v>2078</v>
      </c>
      <c r="B2081" s="3" t="s">
        <v>3385</v>
      </c>
      <c r="C2081" s="3" t="s">
        <v>3382</v>
      </c>
      <c r="D2081" s="3" t="s">
        <v>3382</v>
      </c>
      <c r="E2081" s="1"/>
      <c r="F2081" s="8" t="s">
        <v>66</v>
      </c>
    </row>
    <row r="2082" spans="1:6" x14ac:dyDescent="0.2">
      <c r="A2082" s="3">
        <v>2079</v>
      </c>
      <c r="B2082" s="3" t="s">
        <v>3386</v>
      </c>
      <c r="C2082" s="3" t="s">
        <v>3382</v>
      </c>
      <c r="D2082" s="3" t="s">
        <v>3382</v>
      </c>
      <c r="E2082" s="1"/>
      <c r="F2082" s="8" t="s">
        <v>66</v>
      </c>
    </row>
    <row r="2083" spans="1:6" x14ac:dyDescent="0.2">
      <c r="A2083" s="3">
        <v>2080</v>
      </c>
      <c r="B2083" s="3" t="s">
        <v>3387</v>
      </c>
      <c r="C2083" s="3" t="s">
        <v>3382</v>
      </c>
      <c r="D2083" s="3" t="s">
        <v>3382</v>
      </c>
      <c r="E2083" s="1"/>
      <c r="F2083" s="8" t="s">
        <v>66</v>
      </c>
    </row>
    <row r="2084" spans="1:6" x14ac:dyDescent="0.2">
      <c r="A2084" s="3">
        <v>2081</v>
      </c>
      <c r="B2084" s="3" t="s">
        <v>3388</v>
      </c>
      <c r="C2084" s="3" t="s">
        <v>3382</v>
      </c>
      <c r="D2084" s="3" t="s">
        <v>3382</v>
      </c>
      <c r="E2084" s="1"/>
      <c r="F2084" s="8" t="s">
        <v>66</v>
      </c>
    </row>
    <row r="2085" spans="1:6" x14ac:dyDescent="0.2">
      <c r="A2085" s="3">
        <v>2082</v>
      </c>
      <c r="B2085" s="3" t="s">
        <v>3389</v>
      </c>
      <c r="C2085" s="3" t="s">
        <v>3382</v>
      </c>
      <c r="D2085" s="3" t="s">
        <v>3382</v>
      </c>
      <c r="E2085" s="1"/>
      <c r="F2085" s="8" t="s">
        <v>66</v>
      </c>
    </row>
    <row r="2086" spans="1:6" x14ac:dyDescent="0.2">
      <c r="A2086" s="3">
        <v>2083</v>
      </c>
      <c r="B2086" s="3" t="s">
        <v>3390</v>
      </c>
      <c r="C2086" s="3" t="s">
        <v>3391</v>
      </c>
      <c r="D2086" s="3" t="s">
        <v>3391</v>
      </c>
      <c r="E2086" s="1"/>
      <c r="F2086" s="8" t="s">
        <v>66</v>
      </c>
    </row>
    <row r="2087" spans="1:6" x14ac:dyDescent="0.2">
      <c r="A2087" s="3">
        <v>2084</v>
      </c>
      <c r="B2087" s="3" t="s">
        <v>3392</v>
      </c>
      <c r="C2087" s="3" t="s">
        <v>3391</v>
      </c>
      <c r="D2087" s="3" t="s">
        <v>3391</v>
      </c>
      <c r="E2087" s="1"/>
      <c r="F2087" s="8" t="s">
        <v>66</v>
      </c>
    </row>
    <row r="2088" spans="1:6" x14ac:dyDescent="0.2">
      <c r="A2088" s="3">
        <v>2085</v>
      </c>
      <c r="B2088" s="3" t="s">
        <v>3393</v>
      </c>
      <c r="C2088" s="3" t="s">
        <v>3394</v>
      </c>
      <c r="D2088" s="3" t="s">
        <v>3394</v>
      </c>
      <c r="E2088" s="1"/>
      <c r="F2088" s="8" t="s">
        <v>66</v>
      </c>
    </row>
    <row r="2089" spans="1:6" x14ac:dyDescent="0.2">
      <c r="A2089" s="3">
        <v>2086</v>
      </c>
      <c r="B2089" s="3" t="s">
        <v>3395</v>
      </c>
      <c r="C2089" s="3" t="s">
        <v>3396</v>
      </c>
      <c r="D2089" s="3" t="s">
        <v>3396</v>
      </c>
      <c r="E2089" s="1"/>
      <c r="F2089" s="8" t="s">
        <v>66</v>
      </c>
    </row>
    <row r="2090" spans="1:6" x14ac:dyDescent="0.2">
      <c r="A2090" s="3">
        <v>2087</v>
      </c>
      <c r="B2090" s="3" t="s">
        <v>3397</v>
      </c>
      <c r="C2090" s="3" t="s">
        <v>3398</v>
      </c>
      <c r="D2090" s="3" t="s">
        <v>3398</v>
      </c>
      <c r="E2090" s="1"/>
      <c r="F2090" s="8" t="s">
        <v>66</v>
      </c>
    </row>
    <row r="2091" spans="1:6" x14ac:dyDescent="0.2">
      <c r="A2091" s="3">
        <v>2088</v>
      </c>
      <c r="B2091" s="3" t="s">
        <v>3399</v>
      </c>
      <c r="C2091" s="3" t="s">
        <v>3400</v>
      </c>
      <c r="D2091" s="3" t="s">
        <v>3400</v>
      </c>
      <c r="E2091" s="1"/>
      <c r="F2091" s="8" t="s">
        <v>66</v>
      </c>
    </row>
    <row r="2092" spans="1:6" x14ac:dyDescent="0.2">
      <c r="A2092" s="3">
        <v>2089</v>
      </c>
      <c r="B2092" s="3" t="s">
        <v>3401</v>
      </c>
      <c r="C2092" s="3" t="s">
        <v>3402</v>
      </c>
      <c r="D2092" s="3" t="s">
        <v>3402</v>
      </c>
      <c r="E2092" s="1"/>
      <c r="F2092" s="8" t="s">
        <v>66</v>
      </c>
    </row>
    <row r="2093" spans="1:6" x14ac:dyDescent="0.2">
      <c r="A2093" s="3">
        <v>2090</v>
      </c>
      <c r="B2093" s="3" t="s">
        <v>3403</v>
      </c>
      <c r="C2093" s="3" t="s">
        <v>3402</v>
      </c>
      <c r="D2093" s="3" t="s">
        <v>3402</v>
      </c>
      <c r="E2093" s="1"/>
      <c r="F2093" s="8" t="s">
        <v>66</v>
      </c>
    </row>
    <row r="2094" spans="1:6" x14ac:dyDescent="0.2">
      <c r="A2094" s="3">
        <v>2091</v>
      </c>
      <c r="B2094" s="3" t="s">
        <v>3404</v>
      </c>
      <c r="C2094" s="3" t="s">
        <v>3405</v>
      </c>
      <c r="D2094" s="3" t="s">
        <v>3405</v>
      </c>
      <c r="E2094" s="1"/>
      <c r="F2094" s="8" t="s">
        <v>66</v>
      </c>
    </row>
    <row r="2095" spans="1:6" x14ac:dyDescent="0.2">
      <c r="A2095" s="3">
        <v>2092</v>
      </c>
      <c r="B2095" s="3" t="s">
        <v>3406</v>
      </c>
      <c r="C2095" s="3" t="s">
        <v>3407</v>
      </c>
      <c r="D2095" s="3" t="s">
        <v>3407</v>
      </c>
      <c r="E2095" s="1"/>
      <c r="F2095" s="8" t="s">
        <v>66</v>
      </c>
    </row>
    <row r="2096" spans="1:6" x14ac:dyDescent="0.2">
      <c r="A2096" s="3">
        <v>2093</v>
      </c>
      <c r="B2096" s="3" t="s">
        <v>3408</v>
      </c>
      <c r="C2096" s="3" t="s">
        <v>3407</v>
      </c>
      <c r="D2096" s="3" t="s">
        <v>3407</v>
      </c>
      <c r="E2096" s="1"/>
      <c r="F2096" s="8" t="s">
        <v>66</v>
      </c>
    </row>
    <row r="2097" spans="1:6" x14ac:dyDescent="0.2">
      <c r="A2097" s="3">
        <v>2094</v>
      </c>
      <c r="B2097" s="3" t="s">
        <v>3409</v>
      </c>
      <c r="C2097" s="3" t="s">
        <v>3407</v>
      </c>
      <c r="D2097" s="3" t="s">
        <v>3407</v>
      </c>
      <c r="E2097" s="1"/>
      <c r="F2097" s="8" t="s">
        <v>66</v>
      </c>
    </row>
    <row r="2098" spans="1:6" x14ac:dyDescent="0.2">
      <c r="A2098" s="3">
        <v>2095</v>
      </c>
      <c r="B2098" s="3" t="s">
        <v>3410</v>
      </c>
      <c r="C2098" s="3" t="s">
        <v>3407</v>
      </c>
      <c r="D2098" s="3" t="s">
        <v>3407</v>
      </c>
      <c r="E2098" s="1"/>
      <c r="F2098" s="8" t="s">
        <v>66</v>
      </c>
    </row>
    <row r="2099" spans="1:6" x14ac:dyDescent="0.2">
      <c r="A2099" s="3">
        <v>2096</v>
      </c>
      <c r="B2099" s="3" t="s">
        <v>3411</v>
      </c>
      <c r="C2099" s="3" t="s">
        <v>3412</v>
      </c>
      <c r="D2099" s="3" t="s">
        <v>3412</v>
      </c>
      <c r="E2099" s="1"/>
      <c r="F2099" s="8" t="s">
        <v>66</v>
      </c>
    </row>
    <row r="2100" spans="1:6" x14ac:dyDescent="0.2">
      <c r="A2100" s="3">
        <v>2097</v>
      </c>
      <c r="B2100" s="3" t="s">
        <v>3413</v>
      </c>
      <c r="C2100" s="3" t="s">
        <v>3412</v>
      </c>
      <c r="D2100" s="3" t="s">
        <v>3412</v>
      </c>
      <c r="E2100" s="1"/>
      <c r="F2100" s="8" t="s">
        <v>66</v>
      </c>
    </row>
    <row r="2101" spans="1:6" x14ac:dyDescent="0.2">
      <c r="A2101" s="3">
        <v>2098</v>
      </c>
      <c r="B2101" s="3" t="s">
        <v>3414</v>
      </c>
      <c r="C2101" s="3" t="s">
        <v>3415</v>
      </c>
      <c r="D2101" s="3" t="s">
        <v>3415</v>
      </c>
      <c r="E2101" s="1"/>
      <c r="F2101" s="8" t="s">
        <v>66</v>
      </c>
    </row>
    <row r="2102" spans="1:6" x14ac:dyDescent="0.2">
      <c r="A2102" s="3">
        <v>2099</v>
      </c>
      <c r="B2102" s="3" t="s">
        <v>3416</v>
      </c>
      <c r="C2102" s="3" t="s">
        <v>3417</v>
      </c>
      <c r="D2102" s="3" t="s">
        <v>3417</v>
      </c>
      <c r="E2102" s="1"/>
      <c r="F2102" s="8" t="s">
        <v>66</v>
      </c>
    </row>
    <row r="2103" spans="1:6" x14ac:dyDescent="0.2">
      <c r="A2103" s="3">
        <v>2100</v>
      </c>
      <c r="B2103" s="3" t="s">
        <v>3418</v>
      </c>
      <c r="C2103" s="3" t="s">
        <v>3419</v>
      </c>
      <c r="D2103" s="3" t="s">
        <v>3419</v>
      </c>
      <c r="E2103" s="1"/>
      <c r="F2103" s="8" t="s">
        <v>66</v>
      </c>
    </row>
    <row r="2104" spans="1:6" x14ac:dyDescent="0.2">
      <c r="A2104" s="3">
        <v>2101</v>
      </c>
      <c r="B2104" s="3" t="s">
        <v>3420</v>
      </c>
      <c r="C2104" s="3" t="s">
        <v>3421</v>
      </c>
      <c r="D2104" s="3" t="s">
        <v>3421</v>
      </c>
      <c r="E2104" s="1"/>
      <c r="F2104" s="8" t="s">
        <v>66</v>
      </c>
    </row>
    <row r="2105" spans="1:6" x14ac:dyDescent="0.2">
      <c r="A2105" s="3">
        <v>2102</v>
      </c>
      <c r="B2105" s="3" t="s">
        <v>3422</v>
      </c>
      <c r="C2105" s="3" t="s">
        <v>3421</v>
      </c>
      <c r="D2105" s="3" t="s">
        <v>3421</v>
      </c>
      <c r="E2105" s="1"/>
      <c r="F2105" s="8" t="s">
        <v>66</v>
      </c>
    </row>
    <row r="2106" spans="1:6" x14ac:dyDescent="0.2">
      <c r="A2106" s="3">
        <v>2103</v>
      </c>
      <c r="B2106" s="3" t="s">
        <v>3423</v>
      </c>
      <c r="C2106" s="3" t="s">
        <v>3421</v>
      </c>
      <c r="D2106" s="3" t="s">
        <v>3421</v>
      </c>
      <c r="E2106" s="1"/>
      <c r="F2106" s="8" t="s">
        <v>66</v>
      </c>
    </row>
    <row r="2107" spans="1:6" x14ac:dyDescent="0.2">
      <c r="A2107" s="3">
        <v>2104</v>
      </c>
      <c r="B2107" s="3" t="s">
        <v>3424</v>
      </c>
      <c r="C2107" s="3" t="s">
        <v>3421</v>
      </c>
      <c r="D2107" s="3" t="s">
        <v>3421</v>
      </c>
      <c r="E2107" s="1"/>
      <c r="F2107" s="8" t="s">
        <v>66</v>
      </c>
    </row>
    <row r="2108" spans="1:6" x14ac:dyDescent="0.2">
      <c r="A2108" s="3">
        <v>2105</v>
      </c>
      <c r="B2108" s="3" t="s">
        <v>3425</v>
      </c>
      <c r="C2108" s="3" t="s">
        <v>3426</v>
      </c>
      <c r="D2108" s="3" t="s">
        <v>3426</v>
      </c>
      <c r="E2108" s="1"/>
      <c r="F2108" s="8" t="s">
        <v>66</v>
      </c>
    </row>
    <row r="2109" spans="1:6" x14ac:dyDescent="0.2">
      <c r="A2109" s="3">
        <v>2106</v>
      </c>
      <c r="B2109" s="3" t="s">
        <v>3427</v>
      </c>
      <c r="C2109" s="3" t="s">
        <v>3428</v>
      </c>
      <c r="D2109" s="3" t="s">
        <v>3428</v>
      </c>
      <c r="E2109" s="1"/>
      <c r="F2109" s="8" t="s">
        <v>66</v>
      </c>
    </row>
    <row r="2110" spans="1:6" x14ac:dyDescent="0.2">
      <c r="A2110" s="3">
        <v>2107</v>
      </c>
      <c r="B2110" s="3" t="s">
        <v>3429</v>
      </c>
      <c r="C2110" s="3" t="s">
        <v>3430</v>
      </c>
      <c r="D2110" s="3" t="s">
        <v>3430</v>
      </c>
      <c r="E2110" s="1"/>
      <c r="F2110" s="8" t="s">
        <v>66</v>
      </c>
    </row>
    <row r="2111" spans="1:6" x14ac:dyDescent="0.2">
      <c r="A2111" s="3">
        <v>2108</v>
      </c>
      <c r="B2111" s="3" t="s">
        <v>3431</v>
      </c>
      <c r="C2111" s="3" t="s">
        <v>3432</v>
      </c>
      <c r="D2111" s="3" t="s">
        <v>3432</v>
      </c>
      <c r="E2111" s="1"/>
      <c r="F2111" s="8" t="s">
        <v>66</v>
      </c>
    </row>
    <row r="2112" spans="1:6" x14ac:dyDescent="0.2">
      <c r="A2112" s="3">
        <v>2109</v>
      </c>
      <c r="B2112" s="3" t="s">
        <v>3433</v>
      </c>
      <c r="C2112" s="3" t="s">
        <v>3434</v>
      </c>
      <c r="D2112" s="3" t="s">
        <v>3434</v>
      </c>
      <c r="E2112" s="1"/>
      <c r="F2112" s="8" t="s">
        <v>66</v>
      </c>
    </row>
    <row r="2113" spans="1:6" x14ac:dyDescent="0.2">
      <c r="A2113" s="3">
        <v>2110</v>
      </c>
      <c r="B2113" s="3" t="s">
        <v>3435</v>
      </c>
      <c r="C2113" s="3" t="s">
        <v>3436</v>
      </c>
      <c r="D2113" s="3" t="s">
        <v>3436</v>
      </c>
      <c r="E2113" s="1"/>
      <c r="F2113" s="8" t="s">
        <v>66</v>
      </c>
    </row>
    <row r="2114" spans="1:6" x14ac:dyDescent="0.2">
      <c r="A2114" s="3">
        <v>2111</v>
      </c>
      <c r="B2114" s="3" t="s">
        <v>3437</v>
      </c>
      <c r="C2114" s="3" t="s">
        <v>3436</v>
      </c>
      <c r="D2114" s="3" t="s">
        <v>3436</v>
      </c>
      <c r="E2114" s="1"/>
      <c r="F2114" s="8" t="s">
        <v>66</v>
      </c>
    </row>
    <row r="2115" spans="1:6" x14ac:dyDescent="0.2">
      <c r="A2115" s="3">
        <v>2112</v>
      </c>
      <c r="B2115" s="3" t="s">
        <v>3438</v>
      </c>
      <c r="C2115" s="3" t="s">
        <v>3439</v>
      </c>
      <c r="D2115" s="3" t="s">
        <v>3439</v>
      </c>
      <c r="E2115" s="1"/>
      <c r="F2115" s="8" t="s">
        <v>66</v>
      </c>
    </row>
    <row r="2116" spans="1:6" x14ac:dyDescent="0.2">
      <c r="A2116" s="3">
        <v>2113</v>
      </c>
      <c r="B2116" s="3" t="s">
        <v>3440</v>
      </c>
      <c r="C2116" s="3" t="s">
        <v>3439</v>
      </c>
      <c r="D2116" s="3" t="s">
        <v>3439</v>
      </c>
      <c r="E2116" s="1"/>
      <c r="F2116" s="8" t="s">
        <v>66</v>
      </c>
    </row>
    <row r="2117" spans="1:6" x14ac:dyDescent="0.2">
      <c r="A2117" s="3">
        <v>2114</v>
      </c>
      <c r="B2117" s="3" t="s">
        <v>3441</v>
      </c>
      <c r="C2117" s="3" t="s">
        <v>3442</v>
      </c>
      <c r="D2117" s="3" t="s">
        <v>3442</v>
      </c>
      <c r="E2117" s="1"/>
      <c r="F2117" s="8" t="s">
        <v>66</v>
      </c>
    </row>
    <row r="2118" spans="1:6" x14ac:dyDescent="0.2">
      <c r="A2118" s="3">
        <v>2115</v>
      </c>
      <c r="B2118" s="3" t="s">
        <v>3443</v>
      </c>
      <c r="C2118" s="3" t="s">
        <v>3444</v>
      </c>
      <c r="D2118" s="3" t="s">
        <v>3444</v>
      </c>
      <c r="E2118" s="1"/>
      <c r="F2118" s="8" t="s">
        <v>66</v>
      </c>
    </row>
    <row r="2119" spans="1:6" x14ac:dyDescent="0.2">
      <c r="A2119" s="3">
        <v>2116</v>
      </c>
      <c r="B2119" s="3" t="s">
        <v>3445</v>
      </c>
      <c r="C2119" s="3" t="s">
        <v>3446</v>
      </c>
      <c r="D2119" s="3" t="s">
        <v>3446</v>
      </c>
      <c r="E2119" s="1"/>
      <c r="F2119" s="8" t="s">
        <v>66</v>
      </c>
    </row>
    <row r="2120" spans="1:6" x14ac:dyDescent="0.2">
      <c r="A2120" s="3">
        <v>2117</v>
      </c>
      <c r="B2120" s="3" t="s">
        <v>3447</v>
      </c>
      <c r="C2120" s="3" t="s">
        <v>3448</v>
      </c>
      <c r="D2120" s="3" t="s">
        <v>3448</v>
      </c>
      <c r="E2120" s="1"/>
      <c r="F2120" s="8" t="s">
        <v>66</v>
      </c>
    </row>
    <row r="2121" spans="1:6" x14ac:dyDescent="0.2">
      <c r="A2121" s="3">
        <v>2118</v>
      </c>
      <c r="B2121" s="3" t="s">
        <v>3449</v>
      </c>
      <c r="C2121" s="3" t="s">
        <v>3450</v>
      </c>
      <c r="D2121" s="3" t="s">
        <v>3450</v>
      </c>
      <c r="E2121" s="1"/>
      <c r="F2121" s="8" t="s">
        <v>66</v>
      </c>
    </row>
    <row r="2122" spans="1:6" x14ac:dyDescent="0.2">
      <c r="A2122" s="3">
        <v>2119</v>
      </c>
      <c r="B2122" s="3" t="s">
        <v>3451</v>
      </c>
      <c r="C2122" s="3" t="s">
        <v>3452</v>
      </c>
      <c r="D2122" s="3" t="s">
        <v>3452</v>
      </c>
      <c r="E2122" s="1"/>
      <c r="F2122" s="8" t="s">
        <v>66</v>
      </c>
    </row>
    <row r="2123" spans="1:6" x14ac:dyDescent="0.2">
      <c r="A2123" s="3">
        <v>2120</v>
      </c>
      <c r="B2123" s="3" t="s">
        <v>3453</v>
      </c>
      <c r="C2123" s="3" t="s">
        <v>3452</v>
      </c>
      <c r="D2123" s="3" t="s">
        <v>3452</v>
      </c>
      <c r="E2123" s="1"/>
      <c r="F2123" s="8" t="s">
        <v>66</v>
      </c>
    </row>
    <row r="2124" spans="1:6" x14ac:dyDescent="0.2">
      <c r="A2124" s="3">
        <v>2121</v>
      </c>
      <c r="B2124" s="3" t="s">
        <v>3454</v>
      </c>
      <c r="C2124" s="3" t="s">
        <v>3452</v>
      </c>
      <c r="D2124" s="3" t="s">
        <v>3452</v>
      </c>
      <c r="E2124" s="1"/>
      <c r="F2124" s="8" t="s">
        <v>66</v>
      </c>
    </row>
    <row r="2125" spans="1:6" x14ac:dyDescent="0.2">
      <c r="A2125" s="3">
        <v>2122</v>
      </c>
      <c r="B2125" s="3" t="s">
        <v>3455</v>
      </c>
      <c r="C2125" s="3" t="s">
        <v>3452</v>
      </c>
      <c r="D2125" s="3" t="s">
        <v>3452</v>
      </c>
      <c r="E2125" s="1"/>
      <c r="F2125" s="8" t="s">
        <v>66</v>
      </c>
    </row>
    <row r="2126" spans="1:6" x14ac:dyDescent="0.2">
      <c r="A2126" s="3">
        <v>2123</v>
      </c>
      <c r="B2126" s="3" t="s">
        <v>3456</v>
      </c>
      <c r="C2126" s="3" t="s">
        <v>3452</v>
      </c>
      <c r="D2126" s="3" t="s">
        <v>3452</v>
      </c>
      <c r="E2126" s="1"/>
      <c r="F2126" s="8" t="s">
        <v>66</v>
      </c>
    </row>
    <row r="2127" spans="1:6" x14ac:dyDescent="0.2">
      <c r="A2127" s="3">
        <v>2124</v>
      </c>
      <c r="B2127" s="3" t="s">
        <v>3457</v>
      </c>
      <c r="C2127" s="3" t="s">
        <v>3452</v>
      </c>
      <c r="D2127" s="3" t="s">
        <v>3452</v>
      </c>
      <c r="E2127" s="1"/>
      <c r="F2127" s="8" t="s">
        <v>66</v>
      </c>
    </row>
    <row r="2128" spans="1:6" x14ac:dyDescent="0.2">
      <c r="A2128" s="3">
        <v>2125</v>
      </c>
      <c r="B2128" s="3" t="s">
        <v>3458</v>
      </c>
      <c r="C2128" s="3" t="s">
        <v>3452</v>
      </c>
      <c r="D2128" s="3" t="s">
        <v>3452</v>
      </c>
      <c r="E2128" s="1"/>
      <c r="F2128" s="8" t="s">
        <v>66</v>
      </c>
    </row>
    <row r="2129" spans="1:6" x14ac:dyDescent="0.2">
      <c r="A2129" s="3">
        <v>2126</v>
      </c>
      <c r="B2129" s="3" t="s">
        <v>3459</v>
      </c>
      <c r="C2129" s="3" t="s">
        <v>3460</v>
      </c>
      <c r="D2129" s="3" t="s">
        <v>3460</v>
      </c>
      <c r="E2129" s="1"/>
      <c r="F2129" s="8" t="s">
        <v>66</v>
      </c>
    </row>
    <row r="2130" spans="1:6" x14ac:dyDescent="0.2">
      <c r="A2130" s="3">
        <v>2127</v>
      </c>
      <c r="B2130" s="3" t="s">
        <v>3461</v>
      </c>
      <c r="C2130" s="3" t="s">
        <v>3462</v>
      </c>
      <c r="D2130" s="3" t="s">
        <v>3462</v>
      </c>
      <c r="E2130" s="1"/>
      <c r="F2130" s="8" t="s">
        <v>66</v>
      </c>
    </row>
    <row r="2131" spans="1:6" x14ac:dyDescent="0.2">
      <c r="A2131" s="3">
        <v>2128</v>
      </c>
      <c r="B2131" s="3" t="s">
        <v>3463</v>
      </c>
      <c r="C2131" s="3" t="s">
        <v>3463</v>
      </c>
      <c r="D2131" s="3" t="s">
        <v>3463</v>
      </c>
      <c r="E2131" s="1"/>
      <c r="F2131" s="8" t="s">
        <v>66</v>
      </c>
    </row>
    <row r="2132" spans="1:6" x14ac:dyDescent="0.2">
      <c r="A2132" s="3">
        <v>2129</v>
      </c>
      <c r="B2132" s="3" t="s">
        <v>3464</v>
      </c>
      <c r="C2132" s="3" t="s">
        <v>3465</v>
      </c>
      <c r="D2132" s="3" t="s">
        <v>3465</v>
      </c>
      <c r="E2132" s="1"/>
      <c r="F2132" s="8" t="s">
        <v>66</v>
      </c>
    </row>
    <row r="2133" spans="1:6" x14ac:dyDescent="0.2">
      <c r="A2133" s="3">
        <v>2130</v>
      </c>
      <c r="B2133" s="3" t="s">
        <v>3466</v>
      </c>
      <c r="C2133" s="3" t="s">
        <v>3467</v>
      </c>
      <c r="D2133" s="3" t="s">
        <v>3467</v>
      </c>
      <c r="E2133" s="1"/>
      <c r="F2133" s="8" t="s">
        <v>66</v>
      </c>
    </row>
    <row r="2134" spans="1:6" x14ac:dyDescent="0.2">
      <c r="A2134" s="3">
        <v>2131</v>
      </c>
      <c r="B2134" s="3" t="s">
        <v>3468</v>
      </c>
      <c r="C2134" s="3" t="s">
        <v>3467</v>
      </c>
      <c r="D2134" s="3" t="s">
        <v>3467</v>
      </c>
      <c r="E2134" s="1"/>
      <c r="F2134" s="8" t="s">
        <v>66</v>
      </c>
    </row>
    <row r="2135" spans="1:6" x14ac:dyDescent="0.2">
      <c r="A2135" s="3">
        <v>2132</v>
      </c>
      <c r="B2135" s="3" t="s">
        <v>3469</v>
      </c>
      <c r="C2135" s="3" t="s">
        <v>3467</v>
      </c>
      <c r="D2135" s="3" t="s">
        <v>3467</v>
      </c>
      <c r="E2135" s="1"/>
      <c r="F2135" s="8" t="s">
        <v>66</v>
      </c>
    </row>
    <row r="2136" spans="1:6" x14ac:dyDescent="0.2">
      <c r="A2136" s="3">
        <v>2133</v>
      </c>
      <c r="B2136" s="3" t="s">
        <v>3470</v>
      </c>
      <c r="C2136" s="3" t="s">
        <v>3467</v>
      </c>
      <c r="D2136" s="3" t="s">
        <v>3467</v>
      </c>
      <c r="E2136" s="1"/>
      <c r="F2136" s="8" t="s">
        <v>66</v>
      </c>
    </row>
    <row r="2137" spans="1:6" x14ac:dyDescent="0.2">
      <c r="A2137" s="3">
        <v>2134</v>
      </c>
      <c r="B2137" s="3" t="s">
        <v>3471</v>
      </c>
      <c r="C2137" s="3" t="s">
        <v>3472</v>
      </c>
      <c r="D2137" s="3" t="s">
        <v>3472</v>
      </c>
      <c r="E2137" s="1"/>
      <c r="F2137" s="8" t="s">
        <v>66</v>
      </c>
    </row>
    <row r="2138" spans="1:6" x14ac:dyDescent="0.2">
      <c r="A2138" s="3">
        <v>2135</v>
      </c>
      <c r="B2138" s="3" t="s">
        <v>3473</v>
      </c>
      <c r="C2138" s="3" t="s">
        <v>3474</v>
      </c>
      <c r="D2138" s="3" t="s">
        <v>3474</v>
      </c>
      <c r="E2138" s="1"/>
      <c r="F2138" s="8" t="s">
        <v>66</v>
      </c>
    </row>
    <row r="2139" spans="1:6" x14ac:dyDescent="0.2">
      <c r="A2139" s="3">
        <v>2136</v>
      </c>
      <c r="B2139" s="3" t="s">
        <v>3475</v>
      </c>
      <c r="C2139" s="3" t="s">
        <v>3474</v>
      </c>
      <c r="D2139" s="3" t="s">
        <v>3474</v>
      </c>
      <c r="E2139" s="1"/>
      <c r="F2139" s="8" t="s">
        <v>66</v>
      </c>
    </row>
    <row r="2140" spans="1:6" x14ac:dyDescent="0.2">
      <c r="A2140" s="3">
        <v>2137</v>
      </c>
      <c r="B2140" s="3" t="s">
        <v>3476</v>
      </c>
      <c r="C2140" s="3" t="s">
        <v>3474</v>
      </c>
      <c r="D2140" s="3" t="s">
        <v>3474</v>
      </c>
      <c r="E2140" s="1"/>
      <c r="F2140" s="8" t="s">
        <v>66</v>
      </c>
    </row>
    <row r="2141" spans="1:6" x14ac:dyDescent="0.2">
      <c r="A2141" s="3">
        <v>2138</v>
      </c>
      <c r="B2141" s="3" t="s">
        <v>3477</v>
      </c>
      <c r="C2141" s="3" t="s">
        <v>3474</v>
      </c>
      <c r="D2141" s="3" t="s">
        <v>3474</v>
      </c>
      <c r="E2141" s="1"/>
      <c r="F2141" s="8" t="s">
        <v>66</v>
      </c>
    </row>
    <row r="2142" spans="1:6" x14ac:dyDescent="0.2">
      <c r="A2142" s="3">
        <v>2139</v>
      </c>
      <c r="B2142" s="3" t="s">
        <v>3478</v>
      </c>
      <c r="C2142" s="3" t="s">
        <v>3474</v>
      </c>
      <c r="D2142" s="3" t="s">
        <v>3474</v>
      </c>
      <c r="E2142" s="1"/>
      <c r="F2142" s="8" t="s">
        <v>66</v>
      </c>
    </row>
    <row r="2143" spans="1:6" x14ac:dyDescent="0.2">
      <c r="A2143" s="3">
        <v>2140</v>
      </c>
      <c r="B2143" s="3" t="s">
        <v>3479</v>
      </c>
      <c r="C2143" s="3" t="s">
        <v>3474</v>
      </c>
      <c r="D2143" s="3" t="s">
        <v>3474</v>
      </c>
      <c r="E2143" s="1"/>
      <c r="F2143" s="8" t="s">
        <v>66</v>
      </c>
    </row>
    <row r="2144" spans="1:6" x14ac:dyDescent="0.2">
      <c r="A2144" s="3">
        <v>2141</v>
      </c>
      <c r="B2144" s="3" t="s">
        <v>3480</v>
      </c>
      <c r="C2144" s="3" t="s">
        <v>3474</v>
      </c>
      <c r="D2144" s="3" t="s">
        <v>3474</v>
      </c>
      <c r="E2144" s="1"/>
      <c r="F2144" s="8" t="s">
        <v>66</v>
      </c>
    </row>
    <row r="2145" spans="1:6" x14ac:dyDescent="0.2">
      <c r="A2145" s="3">
        <v>2142</v>
      </c>
      <c r="B2145" s="3" t="s">
        <v>3481</v>
      </c>
      <c r="C2145" s="3" t="s">
        <v>3474</v>
      </c>
      <c r="D2145" s="3" t="s">
        <v>3474</v>
      </c>
      <c r="E2145" s="1"/>
      <c r="F2145" s="8" t="s">
        <v>66</v>
      </c>
    </row>
    <row r="2146" spans="1:6" x14ac:dyDescent="0.2">
      <c r="A2146" s="3">
        <v>2143</v>
      </c>
      <c r="B2146" s="3" t="s">
        <v>3482</v>
      </c>
      <c r="C2146" s="3" t="s">
        <v>3483</v>
      </c>
      <c r="D2146" s="3" t="s">
        <v>3483</v>
      </c>
      <c r="E2146" s="1"/>
      <c r="F2146" s="8" t="s">
        <v>66</v>
      </c>
    </row>
    <row r="2147" spans="1:6" x14ac:dyDescent="0.2">
      <c r="A2147" s="3">
        <v>2144</v>
      </c>
      <c r="B2147" s="3" t="s">
        <v>3484</v>
      </c>
      <c r="C2147" s="3" t="s">
        <v>3485</v>
      </c>
      <c r="D2147" s="3" t="s">
        <v>3485</v>
      </c>
      <c r="E2147" s="1"/>
      <c r="F2147" s="8" t="s">
        <v>66</v>
      </c>
    </row>
    <row r="2148" spans="1:6" x14ac:dyDescent="0.2">
      <c r="A2148" s="3">
        <v>2145</v>
      </c>
      <c r="B2148" s="3" t="s">
        <v>3486</v>
      </c>
      <c r="C2148" s="3" t="s">
        <v>3487</v>
      </c>
      <c r="D2148" s="3" t="s">
        <v>3487</v>
      </c>
      <c r="E2148" s="1"/>
      <c r="F2148" s="8" t="s">
        <v>66</v>
      </c>
    </row>
    <row r="2149" spans="1:6" x14ac:dyDescent="0.2">
      <c r="A2149" s="3">
        <v>2146</v>
      </c>
      <c r="B2149" s="3" t="s">
        <v>3488</v>
      </c>
      <c r="C2149" s="3" t="s">
        <v>3489</v>
      </c>
      <c r="D2149" s="3" t="s">
        <v>3489</v>
      </c>
      <c r="E2149" s="1"/>
      <c r="F2149" s="8" t="s">
        <v>66</v>
      </c>
    </row>
    <row r="2150" spans="1:6" x14ac:dyDescent="0.2">
      <c r="A2150" s="3">
        <v>2147</v>
      </c>
      <c r="B2150" s="3" t="s">
        <v>3490</v>
      </c>
      <c r="C2150" s="3" t="s">
        <v>3491</v>
      </c>
      <c r="D2150" s="3" t="s">
        <v>3491</v>
      </c>
      <c r="E2150" s="1"/>
      <c r="F2150" s="8" t="s">
        <v>66</v>
      </c>
    </row>
    <row r="2151" spans="1:6" x14ac:dyDescent="0.2">
      <c r="A2151" s="3">
        <v>2148</v>
      </c>
      <c r="B2151" s="3" t="s">
        <v>3492</v>
      </c>
      <c r="C2151" s="3" t="s">
        <v>3493</v>
      </c>
      <c r="D2151" s="3" t="s">
        <v>3493</v>
      </c>
      <c r="E2151" s="1"/>
      <c r="F2151" s="8" t="s">
        <v>66</v>
      </c>
    </row>
    <row r="2152" spans="1:6" x14ac:dyDescent="0.2">
      <c r="A2152" s="3">
        <v>2149</v>
      </c>
      <c r="B2152" s="3" t="s">
        <v>3494</v>
      </c>
      <c r="C2152" s="3" t="s">
        <v>3493</v>
      </c>
      <c r="D2152" s="3" t="s">
        <v>3493</v>
      </c>
      <c r="E2152" s="1"/>
      <c r="F2152" s="8" t="s">
        <v>66</v>
      </c>
    </row>
    <row r="2153" spans="1:6" x14ac:dyDescent="0.2">
      <c r="A2153" s="3">
        <v>2150</v>
      </c>
      <c r="B2153" s="3" t="s">
        <v>3495</v>
      </c>
      <c r="C2153" s="3" t="s">
        <v>3496</v>
      </c>
      <c r="D2153" s="3" t="s">
        <v>3496</v>
      </c>
      <c r="E2153" s="1"/>
      <c r="F2153" s="8" t="s">
        <v>66</v>
      </c>
    </row>
    <row r="2154" spans="1:6" x14ac:dyDescent="0.2">
      <c r="A2154" s="3">
        <v>2151</v>
      </c>
      <c r="B2154" s="3" t="s">
        <v>3497</v>
      </c>
      <c r="C2154" s="3" t="s">
        <v>3496</v>
      </c>
      <c r="D2154" s="3" t="s">
        <v>3496</v>
      </c>
      <c r="E2154" s="1"/>
      <c r="F2154" s="8" t="s">
        <v>66</v>
      </c>
    </row>
    <row r="2155" spans="1:6" x14ac:dyDescent="0.2">
      <c r="A2155" s="3">
        <v>2152</v>
      </c>
      <c r="B2155" s="3" t="s">
        <v>3498</v>
      </c>
      <c r="C2155" s="3" t="s">
        <v>3496</v>
      </c>
      <c r="D2155" s="3" t="s">
        <v>3496</v>
      </c>
      <c r="E2155" s="1"/>
      <c r="F2155" s="8" t="s">
        <v>66</v>
      </c>
    </row>
    <row r="2156" spans="1:6" x14ac:dyDescent="0.2">
      <c r="A2156" s="3">
        <v>2153</v>
      </c>
      <c r="B2156" s="3" t="s">
        <v>3499</v>
      </c>
      <c r="C2156" s="3" t="s">
        <v>3496</v>
      </c>
      <c r="D2156" s="3" t="s">
        <v>3496</v>
      </c>
      <c r="E2156" s="1"/>
      <c r="F2156" s="8" t="s">
        <v>66</v>
      </c>
    </row>
    <row r="2157" spans="1:6" x14ac:dyDescent="0.2">
      <c r="A2157" s="3">
        <v>2154</v>
      </c>
      <c r="B2157" s="3" t="s">
        <v>3500</v>
      </c>
      <c r="C2157" s="3" t="s">
        <v>3501</v>
      </c>
      <c r="D2157" s="3" t="s">
        <v>3501</v>
      </c>
      <c r="E2157" s="1"/>
      <c r="F2157" s="8" t="s">
        <v>66</v>
      </c>
    </row>
    <row r="2158" spans="1:6" x14ac:dyDescent="0.2">
      <c r="A2158" s="3">
        <v>2155</v>
      </c>
      <c r="B2158" s="3" t="s">
        <v>3502</v>
      </c>
      <c r="C2158" s="3" t="s">
        <v>3503</v>
      </c>
      <c r="D2158" s="3" t="s">
        <v>3503</v>
      </c>
      <c r="E2158" s="1"/>
      <c r="F2158" s="8" t="s">
        <v>66</v>
      </c>
    </row>
    <row r="2159" spans="1:6" x14ac:dyDescent="0.2">
      <c r="A2159" s="3">
        <v>2156</v>
      </c>
      <c r="B2159" s="3" t="s">
        <v>3504</v>
      </c>
      <c r="C2159" s="3" t="s">
        <v>3505</v>
      </c>
      <c r="D2159" s="3" t="s">
        <v>3505</v>
      </c>
      <c r="E2159" s="1"/>
      <c r="F2159" s="8" t="s">
        <v>66</v>
      </c>
    </row>
    <row r="2160" spans="1:6" x14ac:dyDescent="0.2">
      <c r="A2160" s="3">
        <v>2157</v>
      </c>
      <c r="B2160" s="3" t="s">
        <v>3506</v>
      </c>
      <c r="C2160" s="3" t="s">
        <v>3507</v>
      </c>
      <c r="D2160" s="3" t="s">
        <v>3507</v>
      </c>
      <c r="E2160" s="1"/>
      <c r="F2160" s="8" t="s">
        <v>66</v>
      </c>
    </row>
    <row r="2161" spans="1:6" x14ac:dyDescent="0.2">
      <c r="A2161" s="3">
        <v>2158</v>
      </c>
      <c r="B2161" s="3" t="s">
        <v>3508</v>
      </c>
      <c r="C2161" s="3" t="s">
        <v>3507</v>
      </c>
      <c r="D2161" s="3" t="s">
        <v>3507</v>
      </c>
      <c r="E2161" s="1"/>
      <c r="F2161" s="8" t="s">
        <v>66</v>
      </c>
    </row>
    <row r="2162" spans="1:6" x14ac:dyDescent="0.2">
      <c r="A2162" s="3">
        <v>2159</v>
      </c>
      <c r="B2162" s="3" t="s">
        <v>3509</v>
      </c>
      <c r="C2162" s="3" t="s">
        <v>3510</v>
      </c>
      <c r="D2162" s="3" t="s">
        <v>3510</v>
      </c>
      <c r="E2162" s="1"/>
      <c r="F2162" s="8" t="s">
        <v>66</v>
      </c>
    </row>
    <row r="2163" spans="1:6" x14ac:dyDescent="0.2">
      <c r="A2163" s="3">
        <v>2160</v>
      </c>
      <c r="B2163" s="3" t="s">
        <v>3511</v>
      </c>
      <c r="C2163" s="3" t="s">
        <v>3512</v>
      </c>
      <c r="D2163" s="3" t="s">
        <v>3512</v>
      </c>
      <c r="E2163" s="1"/>
      <c r="F2163" s="8" t="s">
        <v>66</v>
      </c>
    </row>
    <row r="2164" spans="1:6" x14ac:dyDescent="0.2">
      <c r="A2164" s="3">
        <v>2161</v>
      </c>
      <c r="B2164" s="3" t="s">
        <v>3513</v>
      </c>
      <c r="C2164" s="3" t="s">
        <v>3514</v>
      </c>
      <c r="D2164" s="3" t="s">
        <v>3514</v>
      </c>
      <c r="E2164" s="1"/>
      <c r="F2164" s="8" t="s">
        <v>66</v>
      </c>
    </row>
    <row r="2165" spans="1:6" x14ac:dyDescent="0.2">
      <c r="A2165" s="3">
        <v>2162</v>
      </c>
      <c r="B2165" s="3" t="s">
        <v>3515</v>
      </c>
      <c r="C2165" s="3" t="s">
        <v>3516</v>
      </c>
      <c r="D2165" s="3" t="s">
        <v>3516</v>
      </c>
      <c r="E2165" s="1"/>
      <c r="F2165" s="8" t="s">
        <v>66</v>
      </c>
    </row>
    <row r="2166" spans="1:6" x14ac:dyDescent="0.2">
      <c r="A2166" s="3">
        <v>2163</v>
      </c>
      <c r="B2166" s="3" t="s">
        <v>3517</v>
      </c>
      <c r="C2166" s="3" t="s">
        <v>3516</v>
      </c>
      <c r="D2166" s="3" t="s">
        <v>3516</v>
      </c>
      <c r="E2166" s="1"/>
      <c r="F2166" s="8" t="s">
        <v>66</v>
      </c>
    </row>
    <row r="2167" spans="1:6" x14ac:dyDescent="0.2">
      <c r="A2167" s="3">
        <v>2164</v>
      </c>
      <c r="B2167" s="3" t="s">
        <v>3518</v>
      </c>
      <c r="C2167" s="3" t="s">
        <v>3519</v>
      </c>
      <c r="D2167" s="3" t="s">
        <v>3519</v>
      </c>
      <c r="E2167" s="1"/>
      <c r="F2167" s="8" t="s">
        <v>66</v>
      </c>
    </row>
    <row r="2168" spans="1:6" x14ac:dyDescent="0.2">
      <c r="A2168" s="3">
        <v>2165</v>
      </c>
      <c r="B2168" s="3" t="s">
        <v>3520</v>
      </c>
      <c r="C2168" s="3" t="s">
        <v>3521</v>
      </c>
      <c r="D2168" s="3" t="s">
        <v>3521</v>
      </c>
      <c r="E2168" s="1"/>
      <c r="F2168" s="8" t="s">
        <v>66</v>
      </c>
    </row>
    <row r="2169" spans="1:6" x14ac:dyDescent="0.2">
      <c r="A2169" s="3">
        <v>2166</v>
      </c>
      <c r="B2169" s="3" t="s">
        <v>3522</v>
      </c>
      <c r="C2169" s="3" t="s">
        <v>3523</v>
      </c>
      <c r="D2169" s="3" t="s">
        <v>3523</v>
      </c>
      <c r="E2169" s="1"/>
      <c r="F2169" s="8" t="s">
        <v>66</v>
      </c>
    </row>
    <row r="2170" spans="1:6" x14ac:dyDescent="0.2">
      <c r="A2170" s="3">
        <v>2167</v>
      </c>
      <c r="B2170" s="3" t="s">
        <v>3524</v>
      </c>
      <c r="C2170" s="3" t="s">
        <v>3525</v>
      </c>
      <c r="D2170" s="3" t="s">
        <v>3525</v>
      </c>
      <c r="E2170" s="1"/>
      <c r="F2170" s="8" t="s">
        <v>66</v>
      </c>
    </row>
    <row r="2171" spans="1:6" x14ac:dyDescent="0.2">
      <c r="A2171" s="3">
        <v>2168</v>
      </c>
      <c r="B2171" s="3" t="s">
        <v>3526</v>
      </c>
      <c r="C2171" s="3" t="s">
        <v>3525</v>
      </c>
      <c r="D2171" s="3" t="s">
        <v>3525</v>
      </c>
      <c r="E2171" s="1"/>
      <c r="F2171" s="8" t="s">
        <v>66</v>
      </c>
    </row>
    <row r="2172" spans="1:6" x14ac:dyDescent="0.2">
      <c r="A2172" s="3">
        <v>2169</v>
      </c>
      <c r="B2172" s="3" t="s">
        <v>3527</v>
      </c>
      <c r="C2172" s="3" t="s">
        <v>3528</v>
      </c>
      <c r="D2172" s="3" t="s">
        <v>3528</v>
      </c>
      <c r="E2172" s="1"/>
      <c r="F2172" s="8" t="s">
        <v>66</v>
      </c>
    </row>
    <row r="2173" spans="1:6" x14ac:dyDescent="0.2">
      <c r="A2173" s="3">
        <v>2170</v>
      </c>
      <c r="B2173" s="3" t="s">
        <v>3529</v>
      </c>
      <c r="C2173" s="3" t="s">
        <v>3530</v>
      </c>
      <c r="D2173" s="3" t="s">
        <v>3530</v>
      </c>
      <c r="E2173" s="1"/>
      <c r="F2173" s="8" t="s">
        <v>66</v>
      </c>
    </row>
    <row r="2174" spans="1:6" x14ac:dyDescent="0.2">
      <c r="A2174" s="3">
        <v>2171</v>
      </c>
      <c r="B2174" s="3" t="s">
        <v>3531</v>
      </c>
      <c r="C2174" s="3" t="s">
        <v>3530</v>
      </c>
      <c r="D2174" s="3" t="s">
        <v>3530</v>
      </c>
      <c r="E2174" s="1"/>
      <c r="F2174" s="8" t="s">
        <v>66</v>
      </c>
    </row>
    <row r="2175" spans="1:6" x14ac:dyDescent="0.2">
      <c r="A2175" s="3">
        <v>2172</v>
      </c>
      <c r="B2175" s="3" t="s">
        <v>3532</v>
      </c>
      <c r="C2175" s="3" t="s">
        <v>3530</v>
      </c>
      <c r="D2175" s="3" t="s">
        <v>3530</v>
      </c>
      <c r="E2175" s="1"/>
      <c r="F2175" s="8" t="s">
        <v>66</v>
      </c>
    </row>
    <row r="2176" spans="1:6" x14ac:dyDescent="0.2">
      <c r="A2176" s="3">
        <v>2173</v>
      </c>
      <c r="B2176" s="3" t="s">
        <v>3533</v>
      </c>
      <c r="C2176" s="3" t="s">
        <v>3534</v>
      </c>
      <c r="D2176" s="3" t="s">
        <v>3534</v>
      </c>
      <c r="E2176" s="1"/>
      <c r="F2176" s="8" t="s">
        <v>66</v>
      </c>
    </row>
    <row r="2177" spans="1:6" x14ac:dyDescent="0.2">
      <c r="A2177" s="3">
        <v>2174</v>
      </c>
      <c r="B2177" s="3" t="s">
        <v>3535</v>
      </c>
      <c r="C2177" s="3" t="s">
        <v>3534</v>
      </c>
      <c r="D2177" s="3" t="s">
        <v>3534</v>
      </c>
      <c r="E2177" s="1"/>
      <c r="F2177" s="8" t="s">
        <v>66</v>
      </c>
    </row>
    <row r="2178" spans="1:6" x14ac:dyDescent="0.2">
      <c r="A2178" s="3">
        <v>2175</v>
      </c>
      <c r="B2178" s="3" t="s">
        <v>3536</v>
      </c>
      <c r="C2178" s="3" t="s">
        <v>3534</v>
      </c>
      <c r="D2178" s="3" t="s">
        <v>3534</v>
      </c>
      <c r="E2178" s="1"/>
      <c r="F2178" s="8" t="s">
        <v>66</v>
      </c>
    </row>
    <row r="2179" spans="1:6" x14ac:dyDescent="0.2">
      <c r="A2179" s="3">
        <v>2176</v>
      </c>
      <c r="B2179" s="3" t="s">
        <v>3537</v>
      </c>
      <c r="C2179" s="3" t="s">
        <v>3538</v>
      </c>
      <c r="D2179" s="3" t="s">
        <v>3538</v>
      </c>
      <c r="E2179" s="1"/>
      <c r="F2179" s="8" t="s">
        <v>66</v>
      </c>
    </row>
    <row r="2180" spans="1:6" x14ac:dyDescent="0.2">
      <c r="A2180" s="3">
        <v>2177</v>
      </c>
      <c r="B2180" s="3" t="s">
        <v>3539</v>
      </c>
      <c r="C2180" s="3" t="s">
        <v>3538</v>
      </c>
      <c r="D2180" s="3" t="s">
        <v>3538</v>
      </c>
      <c r="E2180" s="1"/>
      <c r="F2180" s="8" t="s">
        <v>66</v>
      </c>
    </row>
    <row r="2181" spans="1:6" x14ac:dyDescent="0.2">
      <c r="A2181" s="3">
        <v>2178</v>
      </c>
      <c r="B2181" s="3" t="s">
        <v>3540</v>
      </c>
      <c r="C2181" s="3" t="s">
        <v>3538</v>
      </c>
      <c r="D2181" s="3" t="s">
        <v>3538</v>
      </c>
      <c r="E2181" s="1"/>
      <c r="F2181" s="8" t="s">
        <v>66</v>
      </c>
    </row>
    <row r="2182" spans="1:6" x14ac:dyDescent="0.2">
      <c r="A2182" s="3">
        <v>2179</v>
      </c>
      <c r="B2182" s="3" t="s">
        <v>3541</v>
      </c>
      <c r="C2182" s="3" t="s">
        <v>3525</v>
      </c>
      <c r="D2182" s="3" t="s">
        <v>3525</v>
      </c>
      <c r="E2182" s="1"/>
      <c r="F2182" s="8" t="s">
        <v>66</v>
      </c>
    </row>
    <row r="2183" spans="1:6" x14ac:dyDescent="0.2">
      <c r="A2183" s="3">
        <v>2180</v>
      </c>
      <c r="B2183" s="3" t="s">
        <v>3542</v>
      </c>
      <c r="C2183" s="3" t="s">
        <v>3543</v>
      </c>
      <c r="D2183" s="3" t="s">
        <v>3543</v>
      </c>
      <c r="E2183" s="1"/>
      <c r="F2183" s="8" t="s">
        <v>66</v>
      </c>
    </row>
    <row r="2184" spans="1:6" x14ac:dyDescent="0.2">
      <c r="A2184" s="3">
        <v>2181</v>
      </c>
      <c r="B2184" s="3" t="s">
        <v>3544</v>
      </c>
      <c r="C2184" s="3" t="s">
        <v>3545</v>
      </c>
      <c r="D2184" s="3" t="s">
        <v>3545</v>
      </c>
      <c r="E2184" s="1"/>
      <c r="F2184" s="8" t="s">
        <v>66</v>
      </c>
    </row>
    <row r="2185" spans="1:6" x14ac:dyDescent="0.2">
      <c r="A2185" s="3">
        <v>2182</v>
      </c>
      <c r="B2185" s="3" t="s">
        <v>3546</v>
      </c>
      <c r="C2185" s="3" t="s">
        <v>3547</v>
      </c>
      <c r="D2185" s="3" t="s">
        <v>3547</v>
      </c>
      <c r="E2185" s="1"/>
      <c r="F2185" s="8" t="s">
        <v>66</v>
      </c>
    </row>
    <row r="2186" spans="1:6" x14ac:dyDescent="0.2">
      <c r="A2186" s="3">
        <v>2183</v>
      </c>
      <c r="B2186" s="3" t="s">
        <v>3548</v>
      </c>
      <c r="C2186" s="3" t="s">
        <v>3549</v>
      </c>
      <c r="D2186" s="3" t="s">
        <v>3549</v>
      </c>
      <c r="E2186" s="1"/>
      <c r="F2186" s="8" t="s">
        <v>66</v>
      </c>
    </row>
    <row r="2187" spans="1:6" x14ac:dyDescent="0.2">
      <c r="A2187" s="3">
        <v>2184</v>
      </c>
      <c r="B2187" s="3" t="s">
        <v>3550</v>
      </c>
      <c r="C2187" s="3" t="s">
        <v>3551</v>
      </c>
      <c r="D2187" s="3" t="s">
        <v>3551</v>
      </c>
      <c r="E2187" s="1"/>
      <c r="F2187" s="8" t="s">
        <v>66</v>
      </c>
    </row>
    <row r="2188" spans="1:6" x14ac:dyDescent="0.2">
      <c r="A2188" s="3">
        <v>2185</v>
      </c>
      <c r="B2188" s="3" t="s">
        <v>3552</v>
      </c>
      <c r="C2188" s="3" t="s">
        <v>3553</v>
      </c>
      <c r="D2188" s="3" t="s">
        <v>3553</v>
      </c>
      <c r="E2188" s="1"/>
      <c r="F2188" s="8" t="s">
        <v>66</v>
      </c>
    </row>
    <row r="2189" spans="1:6" x14ac:dyDescent="0.2">
      <c r="A2189" s="3">
        <v>2186</v>
      </c>
      <c r="B2189" s="3" t="s">
        <v>3554</v>
      </c>
      <c r="C2189" s="3" t="s">
        <v>3555</v>
      </c>
      <c r="D2189" s="3" t="s">
        <v>3555</v>
      </c>
      <c r="E2189" s="1"/>
      <c r="F2189" s="8" t="s">
        <v>66</v>
      </c>
    </row>
    <row r="2190" spans="1:6" x14ac:dyDescent="0.2">
      <c r="A2190" s="3">
        <v>2187</v>
      </c>
      <c r="B2190" s="3" t="s">
        <v>3556</v>
      </c>
      <c r="C2190" s="3" t="s">
        <v>3555</v>
      </c>
      <c r="D2190" s="3" t="s">
        <v>3555</v>
      </c>
      <c r="E2190" s="1"/>
      <c r="F2190" s="8" t="s">
        <v>66</v>
      </c>
    </row>
    <row r="2191" spans="1:6" x14ac:dyDescent="0.2">
      <c r="A2191" s="3">
        <v>2188</v>
      </c>
      <c r="B2191" s="3" t="s">
        <v>3557</v>
      </c>
      <c r="C2191" s="3" t="s">
        <v>3555</v>
      </c>
      <c r="D2191" s="3" t="s">
        <v>3555</v>
      </c>
      <c r="E2191" s="1"/>
      <c r="F2191" s="8" t="s">
        <v>66</v>
      </c>
    </row>
    <row r="2192" spans="1:6" x14ac:dyDescent="0.2">
      <c r="A2192" s="3">
        <v>2189</v>
      </c>
      <c r="B2192" s="3" t="s">
        <v>3558</v>
      </c>
      <c r="C2192" s="3" t="s">
        <v>3559</v>
      </c>
      <c r="D2192" s="3" t="s">
        <v>3559</v>
      </c>
      <c r="E2192" s="1"/>
      <c r="F2192" s="8" t="s">
        <v>66</v>
      </c>
    </row>
    <row r="2193" spans="1:6" x14ac:dyDescent="0.2">
      <c r="A2193" s="3">
        <v>2190</v>
      </c>
      <c r="B2193" s="3" t="s">
        <v>3560</v>
      </c>
      <c r="C2193" s="3" t="s">
        <v>3561</v>
      </c>
      <c r="D2193" s="3" t="s">
        <v>3561</v>
      </c>
      <c r="E2193" s="1"/>
      <c r="F2193" s="8" t="s">
        <v>66</v>
      </c>
    </row>
    <row r="2194" spans="1:6" x14ac:dyDescent="0.2">
      <c r="A2194" s="3">
        <v>2191</v>
      </c>
      <c r="B2194" s="3" t="s">
        <v>3562</v>
      </c>
      <c r="C2194" s="3" t="s">
        <v>3563</v>
      </c>
      <c r="D2194" s="3" t="s">
        <v>3563</v>
      </c>
      <c r="E2194" s="1"/>
      <c r="F2194" s="8" t="s">
        <v>66</v>
      </c>
    </row>
    <row r="2195" spans="1:6" x14ac:dyDescent="0.2">
      <c r="A2195" s="3">
        <v>2192</v>
      </c>
      <c r="B2195" s="3" t="s">
        <v>3564</v>
      </c>
      <c r="C2195" s="3" t="s">
        <v>3565</v>
      </c>
      <c r="D2195" s="3" t="s">
        <v>3565</v>
      </c>
      <c r="E2195" s="1"/>
      <c r="F2195" s="8" t="s">
        <v>66</v>
      </c>
    </row>
    <row r="2196" spans="1:6" x14ac:dyDescent="0.2">
      <c r="A2196" s="3">
        <v>2193</v>
      </c>
      <c r="B2196" s="3" t="s">
        <v>3566</v>
      </c>
      <c r="C2196" s="3" t="s">
        <v>3567</v>
      </c>
      <c r="D2196" s="3" t="s">
        <v>3567</v>
      </c>
      <c r="E2196" s="1"/>
      <c r="F2196" s="8" t="s">
        <v>66</v>
      </c>
    </row>
    <row r="2197" spans="1:6" x14ac:dyDescent="0.2">
      <c r="A2197" s="3">
        <v>2194</v>
      </c>
      <c r="B2197" s="3" t="s">
        <v>3568</v>
      </c>
      <c r="C2197" s="3" t="s">
        <v>3567</v>
      </c>
      <c r="D2197" s="3" t="s">
        <v>3567</v>
      </c>
      <c r="E2197" s="1"/>
      <c r="F2197" s="8" t="s">
        <v>66</v>
      </c>
    </row>
    <row r="2198" spans="1:6" x14ac:dyDescent="0.2">
      <c r="A2198" s="3">
        <v>2195</v>
      </c>
      <c r="B2198" s="3" t="s">
        <v>3569</v>
      </c>
      <c r="C2198" s="3" t="s">
        <v>3567</v>
      </c>
      <c r="D2198" s="3" t="s">
        <v>3567</v>
      </c>
      <c r="E2198" s="1"/>
      <c r="F2198" s="8" t="s">
        <v>66</v>
      </c>
    </row>
    <row r="2199" spans="1:6" x14ac:dyDescent="0.2">
      <c r="A2199" s="3">
        <v>2196</v>
      </c>
      <c r="B2199" s="3" t="s">
        <v>3570</v>
      </c>
      <c r="C2199" s="3" t="s">
        <v>3567</v>
      </c>
      <c r="D2199" s="3" t="s">
        <v>3567</v>
      </c>
      <c r="E2199" s="1"/>
      <c r="F2199" s="8" t="s">
        <v>66</v>
      </c>
    </row>
    <row r="2200" spans="1:6" x14ac:dyDescent="0.2">
      <c r="A2200" s="3">
        <v>2197</v>
      </c>
      <c r="B2200" s="3" t="s">
        <v>3571</v>
      </c>
      <c r="C2200" s="3" t="s">
        <v>3572</v>
      </c>
      <c r="D2200" s="3" t="s">
        <v>3572</v>
      </c>
      <c r="E2200" s="1"/>
      <c r="F2200" s="8" t="s">
        <v>66</v>
      </c>
    </row>
    <row r="2201" spans="1:6" x14ac:dyDescent="0.2">
      <c r="A2201" s="3">
        <v>2198</v>
      </c>
      <c r="B2201" s="3" t="s">
        <v>3573</v>
      </c>
      <c r="C2201" s="3" t="s">
        <v>3574</v>
      </c>
      <c r="D2201" s="3" t="s">
        <v>3574</v>
      </c>
      <c r="E2201" s="1"/>
      <c r="F2201" s="8" t="s">
        <v>66</v>
      </c>
    </row>
    <row r="2202" spans="1:6" x14ac:dyDescent="0.2">
      <c r="A2202" s="3">
        <v>2199</v>
      </c>
      <c r="B2202" s="3" t="s">
        <v>3575</v>
      </c>
      <c r="C2202" s="3" t="s">
        <v>3576</v>
      </c>
      <c r="D2202" s="3" t="s">
        <v>3576</v>
      </c>
      <c r="E2202" s="1"/>
      <c r="F2202" s="8" t="s">
        <v>66</v>
      </c>
    </row>
    <row r="2203" spans="1:6" x14ac:dyDescent="0.2">
      <c r="A2203" s="3">
        <v>2200</v>
      </c>
      <c r="B2203" s="3" t="s">
        <v>3577</v>
      </c>
      <c r="C2203" s="3" t="s">
        <v>3576</v>
      </c>
      <c r="D2203" s="3" t="s">
        <v>3576</v>
      </c>
      <c r="E2203" s="1"/>
      <c r="F2203" s="8" t="s">
        <v>66</v>
      </c>
    </row>
    <row r="2204" spans="1:6" x14ac:dyDescent="0.2">
      <c r="A2204" s="3">
        <v>2201</v>
      </c>
      <c r="B2204" s="3" t="s">
        <v>3578</v>
      </c>
      <c r="C2204" s="3" t="s">
        <v>3576</v>
      </c>
      <c r="D2204" s="3" t="s">
        <v>3576</v>
      </c>
      <c r="E2204" s="1"/>
      <c r="F2204" s="8" t="s">
        <v>66</v>
      </c>
    </row>
    <row r="2205" spans="1:6" x14ac:dyDescent="0.2">
      <c r="A2205" s="3">
        <v>2202</v>
      </c>
      <c r="B2205" s="3" t="s">
        <v>3579</v>
      </c>
      <c r="C2205" s="3" t="s">
        <v>3580</v>
      </c>
      <c r="D2205" s="3" t="s">
        <v>3580</v>
      </c>
      <c r="E2205" s="1"/>
      <c r="F2205" s="8" t="s">
        <v>66</v>
      </c>
    </row>
    <row r="2206" spans="1:6" x14ac:dyDescent="0.2">
      <c r="A2206" s="3">
        <v>2203</v>
      </c>
      <c r="B2206" s="3" t="s">
        <v>3581</v>
      </c>
      <c r="C2206" s="3" t="s">
        <v>3580</v>
      </c>
      <c r="D2206" s="3" t="s">
        <v>3580</v>
      </c>
      <c r="E2206" s="1"/>
      <c r="F2206" s="8" t="s">
        <v>66</v>
      </c>
    </row>
    <row r="2207" spans="1:6" x14ac:dyDescent="0.2">
      <c r="A2207" s="3">
        <v>2204</v>
      </c>
      <c r="B2207" s="3" t="s">
        <v>3582</v>
      </c>
      <c r="C2207" s="3" t="s">
        <v>3583</v>
      </c>
      <c r="D2207" s="3" t="s">
        <v>3583</v>
      </c>
      <c r="E2207" s="1"/>
      <c r="F2207" s="8" t="s">
        <v>66</v>
      </c>
    </row>
    <row r="2208" spans="1:6" x14ac:dyDescent="0.2">
      <c r="A2208" s="3">
        <v>2205</v>
      </c>
      <c r="B2208" s="3" t="s">
        <v>3584</v>
      </c>
      <c r="C2208" s="3" t="s">
        <v>3583</v>
      </c>
      <c r="D2208" s="3" t="s">
        <v>3583</v>
      </c>
      <c r="E2208" s="1"/>
      <c r="F2208" s="8" t="s">
        <v>66</v>
      </c>
    </row>
    <row r="2209" spans="1:6" x14ac:dyDescent="0.2">
      <c r="A2209" s="3">
        <v>2206</v>
      </c>
      <c r="B2209" s="3" t="s">
        <v>3585</v>
      </c>
      <c r="C2209" s="3" t="s">
        <v>3583</v>
      </c>
      <c r="D2209" s="3" t="s">
        <v>3583</v>
      </c>
      <c r="E2209" s="1"/>
      <c r="F2209" s="8" t="s">
        <v>66</v>
      </c>
    </row>
    <row r="2210" spans="1:6" x14ac:dyDescent="0.2">
      <c r="A2210" s="3">
        <v>2207</v>
      </c>
      <c r="B2210" s="3" t="s">
        <v>3586</v>
      </c>
      <c r="C2210" s="3" t="s">
        <v>3587</v>
      </c>
      <c r="D2210" s="3" t="s">
        <v>3587</v>
      </c>
      <c r="E2210" s="1"/>
      <c r="F2210" s="8" t="s">
        <v>66</v>
      </c>
    </row>
    <row r="2211" spans="1:6" x14ac:dyDescent="0.2">
      <c r="A2211" s="3">
        <v>2208</v>
      </c>
      <c r="B2211" s="3" t="s">
        <v>3588</v>
      </c>
      <c r="C2211" s="3" t="s">
        <v>3589</v>
      </c>
      <c r="D2211" s="3" t="s">
        <v>3589</v>
      </c>
      <c r="E2211" s="1"/>
      <c r="F2211" s="8" t="s">
        <v>66</v>
      </c>
    </row>
    <row r="2212" spans="1:6" x14ac:dyDescent="0.2">
      <c r="A2212" s="3">
        <v>2209</v>
      </c>
      <c r="B2212" s="3" t="s">
        <v>3590</v>
      </c>
      <c r="C2212" s="3" t="s">
        <v>3589</v>
      </c>
      <c r="D2212" s="3" t="s">
        <v>3589</v>
      </c>
      <c r="E2212" s="1"/>
      <c r="F2212" s="8" t="s">
        <v>66</v>
      </c>
    </row>
    <row r="2213" spans="1:6" x14ac:dyDescent="0.2">
      <c r="A2213" s="3">
        <v>2210</v>
      </c>
      <c r="B2213" s="3" t="s">
        <v>3591</v>
      </c>
      <c r="C2213" s="3" t="s">
        <v>3589</v>
      </c>
      <c r="D2213" s="3" t="s">
        <v>3589</v>
      </c>
      <c r="E2213" s="1"/>
      <c r="F2213" s="8" t="s">
        <v>66</v>
      </c>
    </row>
    <row r="2214" spans="1:6" x14ac:dyDescent="0.2">
      <c r="A2214" s="3">
        <v>2211</v>
      </c>
      <c r="B2214" s="3" t="s">
        <v>3592</v>
      </c>
      <c r="C2214" s="3" t="s">
        <v>3593</v>
      </c>
      <c r="D2214" s="3" t="s">
        <v>3593</v>
      </c>
      <c r="E2214" s="1"/>
      <c r="F2214" s="8" t="s">
        <v>66</v>
      </c>
    </row>
    <row r="2215" spans="1:6" x14ac:dyDescent="0.2">
      <c r="A2215" s="3">
        <v>2212</v>
      </c>
      <c r="B2215" s="3" t="s">
        <v>3594</v>
      </c>
      <c r="C2215" s="3" t="s">
        <v>3593</v>
      </c>
      <c r="D2215" s="3" t="s">
        <v>3593</v>
      </c>
      <c r="E2215" s="1"/>
      <c r="F2215" s="8" t="s">
        <v>66</v>
      </c>
    </row>
    <row r="2216" spans="1:6" x14ac:dyDescent="0.2">
      <c r="A2216" s="3">
        <v>2213</v>
      </c>
      <c r="B2216" s="3" t="s">
        <v>3595</v>
      </c>
      <c r="C2216" s="3" t="s">
        <v>3593</v>
      </c>
      <c r="D2216" s="3" t="s">
        <v>3593</v>
      </c>
      <c r="E2216" s="1"/>
      <c r="F2216" s="8" t="s">
        <v>66</v>
      </c>
    </row>
    <row r="2217" spans="1:6" x14ac:dyDescent="0.2">
      <c r="A2217" s="3">
        <v>2214</v>
      </c>
      <c r="B2217" s="3" t="s">
        <v>3596</v>
      </c>
      <c r="C2217" s="3" t="s">
        <v>3597</v>
      </c>
      <c r="D2217" s="3" t="s">
        <v>3597</v>
      </c>
      <c r="E2217" s="1"/>
      <c r="F2217" s="8" t="s">
        <v>66</v>
      </c>
    </row>
    <row r="2218" spans="1:6" x14ac:dyDescent="0.2">
      <c r="A2218" s="3">
        <v>2215</v>
      </c>
      <c r="B2218" s="3" t="s">
        <v>3598</v>
      </c>
      <c r="C2218" s="3" t="s">
        <v>3597</v>
      </c>
      <c r="D2218" s="3" t="s">
        <v>3597</v>
      </c>
      <c r="E2218" s="1"/>
      <c r="F2218" s="8" t="s">
        <v>66</v>
      </c>
    </row>
    <row r="2219" spans="1:6" x14ac:dyDescent="0.2">
      <c r="A2219" s="3">
        <v>2216</v>
      </c>
      <c r="B2219" s="3" t="s">
        <v>3599</v>
      </c>
      <c r="C2219" s="3" t="s">
        <v>3597</v>
      </c>
      <c r="D2219" s="3" t="s">
        <v>3597</v>
      </c>
      <c r="E2219" s="1"/>
      <c r="F2219" s="8" t="s">
        <v>66</v>
      </c>
    </row>
    <row r="2220" spans="1:6" x14ac:dyDescent="0.2">
      <c r="A2220" s="3">
        <v>2217</v>
      </c>
      <c r="B2220" s="3" t="s">
        <v>3600</v>
      </c>
      <c r="C2220" s="3" t="s">
        <v>3601</v>
      </c>
      <c r="D2220" s="3" t="s">
        <v>3601</v>
      </c>
      <c r="E2220" s="1"/>
      <c r="F2220" s="8" t="s">
        <v>66</v>
      </c>
    </row>
    <row r="2221" spans="1:6" x14ac:dyDescent="0.2">
      <c r="A2221" s="3">
        <v>2218</v>
      </c>
      <c r="B2221" s="3" t="s">
        <v>3602</v>
      </c>
      <c r="C2221" s="3" t="s">
        <v>3601</v>
      </c>
      <c r="D2221" s="3" t="s">
        <v>3601</v>
      </c>
      <c r="E2221" s="1"/>
      <c r="F2221" s="8" t="s">
        <v>66</v>
      </c>
    </row>
    <row r="2222" spans="1:6" x14ac:dyDescent="0.2">
      <c r="A2222" s="3">
        <v>2219</v>
      </c>
      <c r="B2222" s="3" t="s">
        <v>3603</v>
      </c>
      <c r="C2222" s="3" t="s">
        <v>3110</v>
      </c>
      <c r="D2222" s="3" t="s">
        <v>3110</v>
      </c>
      <c r="E2222" s="1"/>
      <c r="F2222" s="8" t="s">
        <v>66</v>
      </c>
    </row>
    <row r="2223" spans="1:6" x14ac:dyDescent="0.2">
      <c r="A2223" s="3">
        <v>2220</v>
      </c>
      <c r="B2223" s="3" t="s">
        <v>3604</v>
      </c>
      <c r="C2223" s="3" t="s">
        <v>3605</v>
      </c>
      <c r="D2223" s="3" t="s">
        <v>3605</v>
      </c>
      <c r="E2223" s="1"/>
      <c r="F2223" s="8" t="s">
        <v>66</v>
      </c>
    </row>
    <row r="2224" spans="1:6" x14ac:dyDescent="0.2">
      <c r="A2224" s="3">
        <v>2221</v>
      </c>
      <c r="B2224" s="3" t="s">
        <v>3606</v>
      </c>
      <c r="C2224" s="3" t="s">
        <v>3605</v>
      </c>
      <c r="D2224" s="3" t="s">
        <v>3605</v>
      </c>
      <c r="E2224" s="1"/>
      <c r="F2224" s="8" t="s">
        <v>66</v>
      </c>
    </row>
    <row r="2225" spans="1:6" x14ac:dyDescent="0.2">
      <c r="A2225" s="3">
        <v>2222</v>
      </c>
      <c r="B2225" s="3" t="s">
        <v>3607</v>
      </c>
      <c r="C2225" s="3" t="s">
        <v>3608</v>
      </c>
      <c r="D2225" s="3" t="s">
        <v>3608</v>
      </c>
      <c r="E2225" s="1"/>
      <c r="F2225" s="8" t="s">
        <v>66</v>
      </c>
    </row>
    <row r="2226" spans="1:6" x14ac:dyDescent="0.2">
      <c r="A2226" s="3">
        <v>2223</v>
      </c>
      <c r="B2226" s="3" t="s">
        <v>3609</v>
      </c>
      <c r="C2226" s="3" t="s">
        <v>3610</v>
      </c>
      <c r="D2226" s="3" t="s">
        <v>3610</v>
      </c>
      <c r="E2226" s="1"/>
      <c r="F2226" s="8" t="s">
        <v>66</v>
      </c>
    </row>
    <row r="2227" spans="1:6" x14ac:dyDescent="0.2">
      <c r="A2227" s="3">
        <v>2224</v>
      </c>
      <c r="B2227" s="3" t="s">
        <v>3611</v>
      </c>
      <c r="C2227" s="3" t="s">
        <v>3612</v>
      </c>
      <c r="D2227" s="3" t="s">
        <v>3612</v>
      </c>
      <c r="E2227" s="1"/>
      <c r="F2227" s="8" t="s">
        <v>66</v>
      </c>
    </row>
    <row r="2228" spans="1:6" x14ac:dyDescent="0.2">
      <c r="A2228" s="3">
        <v>2225</v>
      </c>
      <c r="B2228" s="3" t="s">
        <v>3613</v>
      </c>
      <c r="C2228" s="3" t="s">
        <v>3612</v>
      </c>
      <c r="D2228" s="3" t="s">
        <v>3612</v>
      </c>
      <c r="E2228" s="1"/>
      <c r="F2228" s="8" t="s">
        <v>66</v>
      </c>
    </row>
    <row r="2229" spans="1:6" x14ac:dyDescent="0.2">
      <c r="A2229" s="3">
        <v>2226</v>
      </c>
      <c r="B2229" s="3" t="s">
        <v>3614</v>
      </c>
      <c r="C2229" s="3" t="s">
        <v>3615</v>
      </c>
      <c r="D2229" s="3" t="s">
        <v>3615</v>
      </c>
      <c r="E2229" s="1"/>
      <c r="F2229" s="8" t="s">
        <v>66</v>
      </c>
    </row>
    <row r="2230" spans="1:6" x14ac:dyDescent="0.2">
      <c r="A2230" s="3">
        <v>2227</v>
      </c>
      <c r="B2230" s="3" t="s">
        <v>3616</v>
      </c>
      <c r="C2230" s="3" t="s">
        <v>3617</v>
      </c>
      <c r="D2230" s="3" t="s">
        <v>3617</v>
      </c>
      <c r="E2230" s="1"/>
      <c r="F2230" s="8" t="s">
        <v>66</v>
      </c>
    </row>
    <row r="2231" spans="1:6" x14ac:dyDescent="0.2">
      <c r="A2231" s="3">
        <v>2228</v>
      </c>
      <c r="B2231" s="3" t="s">
        <v>3618</v>
      </c>
      <c r="C2231" s="3" t="s">
        <v>3617</v>
      </c>
      <c r="D2231" s="3" t="s">
        <v>3617</v>
      </c>
      <c r="E2231" s="1"/>
      <c r="F2231" s="8" t="s">
        <v>66</v>
      </c>
    </row>
    <row r="2232" spans="1:6" x14ac:dyDescent="0.2">
      <c r="A2232" s="3">
        <v>2229</v>
      </c>
      <c r="B2232" s="3" t="s">
        <v>3619</v>
      </c>
      <c r="C2232" s="3" t="s">
        <v>3620</v>
      </c>
      <c r="D2232" s="3" t="s">
        <v>3620</v>
      </c>
      <c r="E2232" s="1"/>
      <c r="F2232" s="8" t="s">
        <v>66</v>
      </c>
    </row>
    <row r="2233" spans="1:6" x14ac:dyDescent="0.2">
      <c r="A2233" s="3">
        <v>2230</v>
      </c>
      <c r="B2233" s="3" t="s">
        <v>3621</v>
      </c>
      <c r="C2233" s="3" t="s">
        <v>3620</v>
      </c>
      <c r="D2233" s="3" t="s">
        <v>3620</v>
      </c>
      <c r="E2233" s="1"/>
      <c r="F2233" s="8" t="s">
        <v>66</v>
      </c>
    </row>
    <row r="2234" spans="1:6" x14ac:dyDescent="0.2">
      <c r="A2234" s="3">
        <v>2231</v>
      </c>
      <c r="B2234" s="3" t="s">
        <v>3622</v>
      </c>
      <c r="C2234" s="3" t="s">
        <v>3623</v>
      </c>
      <c r="D2234" s="3" t="s">
        <v>3623</v>
      </c>
      <c r="E2234" s="1"/>
      <c r="F2234" s="8" t="s">
        <v>66</v>
      </c>
    </row>
    <row r="2235" spans="1:6" x14ac:dyDescent="0.2">
      <c r="A2235" s="3">
        <v>2232</v>
      </c>
      <c r="B2235" s="3" t="s">
        <v>3624</v>
      </c>
      <c r="C2235" s="3" t="s">
        <v>3625</v>
      </c>
      <c r="D2235" s="3" t="s">
        <v>3625</v>
      </c>
      <c r="E2235" s="1"/>
      <c r="F2235" s="8" t="s">
        <v>66</v>
      </c>
    </row>
    <row r="2236" spans="1:6" x14ac:dyDescent="0.2">
      <c r="A2236" s="3">
        <v>2233</v>
      </c>
      <c r="B2236" s="3" t="s">
        <v>3626</v>
      </c>
      <c r="C2236" s="3" t="s">
        <v>3625</v>
      </c>
      <c r="D2236" s="3" t="s">
        <v>3625</v>
      </c>
      <c r="E2236" s="1"/>
      <c r="F2236" s="8" t="s">
        <v>66</v>
      </c>
    </row>
    <row r="2237" spans="1:6" x14ac:dyDescent="0.2">
      <c r="A2237" s="3">
        <v>2234</v>
      </c>
      <c r="B2237" s="3" t="s">
        <v>3627</v>
      </c>
      <c r="C2237" s="3" t="s">
        <v>3625</v>
      </c>
      <c r="D2237" s="3" t="s">
        <v>3625</v>
      </c>
      <c r="E2237" s="1"/>
      <c r="F2237" s="8" t="s">
        <v>66</v>
      </c>
    </row>
    <row r="2238" spans="1:6" x14ac:dyDescent="0.2">
      <c r="A2238" s="3">
        <v>2235</v>
      </c>
      <c r="B2238" s="3" t="s">
        <v>3628</v>
      </c>
      <c r="C2238" s="3" t="s">
        <v>3629</v>
      </c>
      <c r="D2238" s="3" t="s">
        <v>3629</v>
      </c>
      <c r="E2238" s="1"/>
      <c r="F2238" s="8" t="s">
        <v>66</v>
      </c>
    </row>
    <row r="2239" spans="1:6" x14ac:dyDescent="0.2">
      <c r="A2239" s="3">
        <v>2236</v>
      </c>
      <c r="B2239" s="3" t="s">
        <v>3630</v>
      </c>
      <c r="C2239" s="3" t="s">
        <v>3629</v>
      </c>
      <c r="D2239" s="3" t="s">
        <v>3629</v>
      </c>
      <c r="E2239" s="1"/>
      <c r="F2239" s="8" t="s">
        <v>66</v>
      </c>
    </row>
    <row r="2240" spans="1:6" x14ac:dyDescent="0.2">
      <c r="A2240" s="3">
        <v>2237</v>
      </c>
      <c r="B2240" s="3" t="s">
        <v>3631</v>
      </c>
      <c r="C2240" s="3" t="s">
        <v>3629</v>
      </c>
      <c r="D2240" s="3" t="s">
        <v>3629</v>
      </c>
      <c r="E2240" s="1"/>
      <c r="F2240" s="8" t="s">
        <v>66</v>
      </c>
    </row>
    <row r="2241" spans="1:6" x14ac:dyDescent="0.2">
      <c r="A2241" s="3">
        <v>2238</v>
      </c>
      <c r="B2241" s="3" t="s">
        <v>3632</v>
      </c>
      <c r="C2241" s="3" t="s">
        <v>3633</v>
      </c>
      <c r="D2241" s="3" t="s">
        <v>3633</v>
      </c>
      <c r="E2241" s="1"/>
      <c r="F2241" s="8" t="s">
        <v>66</v>
      </c>
    </row>
    <row r="2242" spans="1:6" x14ac:dyDescent="0.2">
      <c r="A2242" s="3">
        <v>2239</v>
      </c>
      <c r="B2242" s="3" t="s">
        <v>3634</v>
      </c>
      <c r="C2242" s="3" t="s">
        <v>3633</v>
      </c>
      <c r="D2242" s="3" t="s">
        <v>3633</v>
      </c>
      <c r="E2242" s="1"/>
      <c r="F2242" s="8" t="s">
        <v>66</v>
      </c>
    </row>
    <row r="2243" spans="1:6" x14ac:dyDescent="0.2">
      <c r="A2243" s="3">
        <v>2240</v>
      </c>
      <c r="B2243" s="3" t="s">
        <v>3635</v>
      </c>
      <c r="C2243" s="3" t="s">
        <v>3636</v>
      </c>
      <c r="D2243" s="3" t="s">
        <v>3636</v>
      </c>
      <c r="E2243" s="1"/>
      <c r="F2243" s="8" t="s">
        <v>66</v>
      </c>
    </row>
    <row r="2244" spans="1:6" x14ac:dyDescent="0.2">
      <c r="A2244" s="3">
        <v>2241</v>
      </c>
      <c r="B2244" s="3" t="s">
        <v>3637</v>
      </c>
      <c r="C2244" s="3" t="s">
        <v>3636</v>
      </c>
      <c r="D2244" s="3" t="s">
        <v>3636</v>
      </c>
      <c r="E2244" s="1"/>
      <c r="F2244" s="8" t="s">
        <v>66</v>
      </c>
    </row>
    <row r="2245" spans="1:6" x14ac:dyDescent="0.2">
      <c r="A2245" s="3">
        <v>2242</v>
      </c>
      <c r="B2245" s="3" t="s">
        <v>3638</v>
      </c>
      <c r="C2245" s="3" t="s">
        <v>3636</v>
      </c>
      <c r="D2245" s="3" t="s">
        <v>3636</v>
      </c>
      <c r="E2245" s="1"/>
      <c r="F2245" s="8" t="s">
        <v>66</v>
      </c>
    </row>
    <row r="2246" spans="1:6" x14ac:dyDescent="0.2">
      <c r="A2246" s="3">
        <v>2243</v>
      </c>
      <c r="B2246" s="3" t="s">
        <v>3639</v>
      </c>
      <c r="C2246" s="3" t="s">
        <v>3640</v>
      </c>
      <c r="D2246" s="3" t="s">
        <v>3640</v>
      </c>
      <c r="E2246" s="1"/>
      <c r="F2246" s="8" t="s">
        <v>66</v>
      </c>
    </row>
    <row r="2247" spans="1:6" x14ac:dyDescent="0.2">
      <c r="A2247" s="3">
        <v>2244</v>
      </c>
      <c r="B2247" s="3" t="s">
        <v>3641</v>
      </c>
      <c r="C2247" s="3" t="s">
        <v>3642</v>
      </c>
      <c r="D2247" s="3" t="s">
        <v>3642</v>
      </c>
      <c r="E2247" s="1"/>
      <c r="F2247" s="8" t="s">
        <v>66</v>
      </c>
    </row>
    <row r="2248" spans="1:6" x14ac:dyDescent="0.2">
      <c r="A2248" s="3">
        <v>2245</v>
      </c>
      <c r="B2248" s="3" t="s">
        <v>3643</v>
      </c>
      <c r="C2248" s="3" t="s">
        <v>3642</v>
      </c>
      <c r="D2248" s="3" t="s">
        <v>3642</v>
      </c>
      <c r="E2248" s="1"/>
      <c r="F2248" s="8" t="s">
        <v>66</v>
      </c>
    </row>
    <row r="2249" spans="1:6" x14ac:dyDescent="0.2">
      <c r="A2249" s="3">
        <v>2246</v>
      </c>
      <c r="B2249" s="3" t="s">
        <v>3644</v>
      </c>
      <c r="C2249" s="3" t="s">
        <v>3645</v>
      </c>
      <c r="D2249" s="3" t="s">
        <v>3645</v>
      </c>
      <c r="E2249" s="1"/>
      <c r="F2249" s="8" t="s">
        <v>66</v>
      </c>
    </row>
    <row r="2250" spans="1:6" x14ac:dyDescent="0.2">
      <c r="A2250" s="3">
        <v>2247</v>
      </c>
      <c r="B2250" s="3" t="s">
        <v>3646</v>
      </c>
      <c r="C2250" s="3" t="s">
        <v>3647</v>
      </c>
      <c r="D2250" s="3" t="s">
        <v>3647</v>
      </c>
      <c r="E2250" s="1"/>
      <c r="F2250" s="8" t="s">
        <v>66</v>
      </c>
    </row>
    <row r="2251" spans="1:6" x14ac:dyDescent="0.2">
      <c r="A2251" s="3">
        <v>2248</v>
      </c>
      <c r="B2251" s="3" t="s">
        <v>3648</v>
      </c>
      <c r="C2251" s="3" t="s">
        <v>3647</v>
      </c>
      <c r="D2251" s="3" t="s">
        <v>3647</v>
      </c>
      <c r="E2251" s="1"/>
      <c r="F2251" s="8" t="s">
        <v>66</v>
      </c>
    </row>
    <row r="2252" spans="1:6" x14ac:dyDescent="0.2">
      <c r="A2252" s="3">
        <v>2249</v>
      </c>
      <c r="B2252" s="3" t="s">
        <v>3649</v>
      </c>
      <c r="C2252" s="3" t="s">
        <v>3650</v>
      </c>
      <c r="D2252" s="3" t="s">
        <v>3650</v>
      </c>
      <c r="E2252" s="1"/>
      <c r="F2252" s="8" t="s">
        <v>66</v>
      </c>
    </row>
    <row r="2253" spans="1:6" x14ac:dyDescent="0.2">
      <c r="A2253" s="3">
        <v>2250</v>
      </c>
      <c r="B2253" s="3" t="s">
        <v>3651</v>
      </c>
      <c r="C2253" s="3" t="s">
        <v>3650</v>
      </c>
      <c r="D2253" s="3" t="s">
        <v>3650</v>
      </c>
      <c r="E2253" s="1"/>
      <c r="F2253" s="8" t="s">
        <v>66</v>
      </c>
    </row>
    <row r="2254" spans="1:6" x14ac:dyDescent="0.2">
      <c r="A2254" s="3">
        <v>2251</v>
      </c>
      <c r="B2254" s="3" t="s">
        <v>3652</v>
      </c>
      <c r="C2254" s="3" t="s">
        <v>3653</v>
      </c>
      <c r="D2254" s="3" t="s">
        <v>3653</v>
      </c>
      <c r="E2254" s="1"/>
      <c r="F2254" s="8" t="s">
        <v>66</v>
      </c>
    </row>
    <row r="2255" spans="1:6" x14ac:dyDescent="0.2">
      <c r="A2255" s="3">
        <v>2252</v>
      </c>
      <c r="B2255" s="3" t="s">
        <v>3654</v>
      </c>
      <c r="C2255" s="3" t="s">
        <v>3655</v>
      </c>
      <c r="D2255" s="3" t="s">
        <v>3655</v>
      </c>
      <c r="E2255" s="1"/>
      <c r="F2255" s="8" t="s">
        <v>66</v>
      </c>
    </row>
    <row r="2256" spans="1:6" x14ac:dyDescent="0.2">
      <c r="A2256" s="3">
        <v>2253</v>
      </c>
      <c r="B2256" s="3" t="s">
        <v>3656</v>
      </c>
      <c r="C2256" s="3" t="s">
        <v>3657</v>
      </c>
      <c r="D2256" s="3" t="s">
        <v>3657</v>
      </c>
      <c r="E2256" s="1"/>
      <c r="F2256" s="8" t="s">
        <v>66</v>
      </c>
    </row>
    <row r="2257" spans="1:6" x14ac:dyDescent="0.2">
      <c r="A2257" s="3">
        <v>2254</v>
      </c>
      <c r="B2257" s="3" t="s">
        <v>3658</v>
      </c>
      <c r="C2257" s="3" t="s">
        <v>3657</v>
      </c>
      <c r="D2257" s="3" t="s">
        <v>3657</v>
      </c>
      <c r="E2257" s="1"/>
      <c r="F2257" s="8" t="s">
        <v>66</v>
      </c>
    </row>
    <row r="2258" spans="1:6" x14ac:dyDescent="0.2">
      <c r="A2258" s="3">
        <v>2255</v>
      </c>
      <c r="B2258" s="3" t="s">
        <v>3659</v>
      </c>
      <c r="C2258" s="3" t="s">
        <v>3660</v>
      </c>
      <c r="D2258" s="3" t="s">
        <v>3660</v>
      </c>
      <c r="E2258" s="1"/>
      <c r="F2258" s="8" t="s">
        <v>66</v>
      </c>
    </row>
    <row r="2259" spans="1:6" x14ac:dyDescent="0.2">
      <c r="A2259" s="3">
        <v>2256</v>
      </c>
      <c r="B2259" s="3" t="s">
        <v>3661</v>
      </c>
      <c r="C2259" s="3" t="s">
        <v>3662</v>
      </c>
      <c r="D2259" s="3" t="s">
        <v>3662</v>
      </c>
      <c r="E2259" s="1"/>
      <c r="F2259" s="8" t="s">
        <v>66</v>
      </c>
    </row>
    <row r="2260" spans="1:6" x14ac:dyDescent="0.2">
      <c r="A2260" s="3">
        <v>2257</v>
      </c>
      <c r="B2260" s="3" t="s">
        <v>3663</v>
      </c>
      <c r="C2260" s="3" t="s">
        <v>3664</v>
      </c>
      <c r="D2260" s="3" t="s">
        <v>3664</v>
      </c>
      <c r="E2260" s="1"/>
      <c r="F2260" s="8" t="s">
        <v>66</v>
      </c>
    </row>
    <row r="2261" spans="1:6" x14ac:dyDescent="0.2">
      <c r="A2261" s="3">
        <v>2258</v>
      </c>
      <c r="B2261" s="3" t="s">
        <v>3665</v>
      </c>
      <c r="C2261" s="3" t="s">
        <v>3666</v>
      </c>
      <c r="D2261" s="3" t="s">
        <v>3666</v>
      </c>
      <c r="E2261" s="1"/>
      <c r="F2261" s="8" t="s">
        <v>66</v>
      </c>
    </row>
    <row r="2262" spans="1:6" x14ac:dyDescent="0.2">
      <c r="A2262" s="3">
        <v>2259</v>
      </c>
      <c r="B2262" s="3" t="s">
        <v>3667</v>
      </c>
      <c r="C2262" s="3" t="s">
        <v>3668</v>
      </c>
      <c r="D2262" s="3" t="s">
        <v>3668</v>
      </c>
      <c r="E2262" s="1"/>
      <c r="F2262" s="8" t="s">
        <v>66</v>
      </c>
    </row>
    <row r="2263" spans="1:6" x14ac:dyDescent="0.2">
      <c r="A2263" s="3">
        <v>2260</v>
      </c>
      <c r="B2263" s="3" t="s">
        <v>3669</v>
      </c>
      <c r="C2263" s="3" t="s">
        <v>3670</v>
      </c>
      <c r="D2263" s="3" t="s">
        <v>3670</v>
      </c>
      <c r="E2263" s="1"/>
      <c r="F2263" s="8" t="s">
        <v>66</v>
      </c>
    </row>
    <row r="2264" spans="1:6" x14ac:dyDescent="0.2">
      <c r="A2264" s="3">
        <v>2261</v>
      </c>
      <c r="B2264" s="3" t="s">
        <v>3671</v>
      </c>
      <c r="C2264" s="3" t="s">
        <v>3672</v>
      </c>
      <c r="D2264" s="3" t="s">
        <v>3672</v>
      </c>
      <c r="E2264" s="1"/>
      <c r="F2264" s="8" t="s">
        <v>66</v>
      </c>
    </row>
    <row r="2265" spans="1:6" x14ac:dyDescent="0.2">
      <c r="A2265" s="3">
        <v>2262</v>
      </c>
      <c r="B2265" s="3" t="s">
        <v>3673</v>
      </c>
      <c r="C2265" s="3" t="s">
        <v>3672</v>
      </c>
      <c r="D2265" s="3" t="s">
        <v>3672</v>
      </c>
      <c r="E2265" s="1"/>
      <c r="F2265" s="8" t="s">
        <v>66</v>
      </c>
    </row>
    <row r="2266" spans="1:6" x14ac:dyDescent="0.2">
      <c r="A2266" s="3">
        <v>2263</v>
      </c>
      <c r="B2266" s="3" t="s">
        <v>3674</v>
      </c>
      <c r="C2266" s="3" t="s">
        <v>3674</v>
      </c>
      <c r="D2266" s="3" t="s">
        <v>3674</v>
      </c>
      <c r="E2266" s="1" t="s">
        <v>3675</v>
      </c>
      <c r="F2266" s="8" t="s">
        <v>66</v>
      </c>
    </row>
    <row r="2267" spans="1:6" x14ac:dyDescent="0.2">
      <c r="A2267" s="3">
        <v>2264</v>
      </c>
      <c r="B2267" s="3" t="s">
        <v>3676</v>
      </c>
      <c r="C2267" s="3" t="s">
        <v>3676</v>
      </c>
      <c r="D2267" s="3" t="s">
        <v>3676</v>
      </c>
      <c r="E2267" s="1" t="s">
        <v>3677</v>
      </c>
      <c r="F2267" s="8" t="s">
        <v>66</v>
      </c>
    </row>
    <row r="2268" spans="1:6" x14ac:dyDescent="0.2">
      <c r="A2268" s="3">
        <v>2265</v>
      </c>
      <c r="B2268" s="3" t="s">
        <v>3678</v>
      </c>
      <c r="C2268" s="3" t="s">
        <v>3679</v>
      </c>
      <c r="D2268" s="3" t="s">
        <v>3679</v>
      </c>
      <c r="E2268" s="1"/>
      <c r="F2268" s="8" t="s">
        <v>66</v>
      </c>
    </row>
    <row r="2269" spans="1:6" x14ac:dyDescent="0.2">
      <c r="A2269" s="3">
        <v>2266</v>
      </c>
      <c r="B2269" s="3" t="s">
        <v>3680</v>
      </c>
      <c r="C2269" s="3" t="s">
        <v>3681</v>
      </c>
      <c r="D2269" s="3" t="s">
        <v>3681</v>
      </c>
      <c r="E2269" s="1"/>
      <c r="F2269" s="8" t="s">
        <v>66</v>
      </c>
    </row>
    <row r="2270" spans="1:6" x14ac:dyDescent="0.2">
      <c r="A2270" s="3">
        <v>2267</v>
      </c>
      <c r="B2270" s="3" t="s">
        <v>3682</v>
      </c>
      <c r="C2270" s="3" t="s">
        <v>3683</v>
      </c>
      <c r="D2270" s="3" t="s">
        <v>3683</v>
      </c>
      <c r="E2270" s="1"/>
      <c r="F2270" s="8" t="s">
        <v>66</v>
      </c>
    </row>
    <row r="2271" spans="1:6" x14ac:dyDescent="0.2">
      <c r="A2271" s="3">
        <v>2268</v>
      </c>
      <c r="B2271" s="3" t="s">
        <v>3684</v>
      </c>
      <c r="C2271" s="3" t="s">
        <v>3685</v>
      </c>
      <c r="D2271" s="3" t="s">
        <v>3685</v>
      </c>
      <c r="E2271" s="1"/>
      <c r="F2271" s="8" t="s">
        <v>66</v>
      </c>
    </row>
    <row r="2272" spans="1:6" x14ac:dyDescent="0.2">
      <c r="A2272" s="3">
        <v>2269</v>
      </c>
      <c r="B2272" s="3" t="s">
        <v>3686</v>
      </c>
      <c r="C2272" s="3" t="s">
        <v>3687</v>
      </c>
      <c r="D2272" s="3" t="s">
        <v>3687</v>
      </c>
      <c r="E2272" s="1"/>
      <c r="F2272" s="8" t="s">
        <v>66</v>
      </c>
    </row>
    <row r="2273" spans="1:6" x14ac:dyDescent="0.2">
      <c r="A2273" s="3">
        <v>2270</v>
      </c>
      <c r="B2273" s="3" t="s">
        <v>3688</v>
      </c>
      <c r="C2273" s="3" t="s">
        <v>3689</v>
      </c>
      <c r="D2273" s="3" t="s">
        <v>3689</v>
      </c>
      <c r="E2273" s="1"/>
      <c r="F2273" s="8" t="s">
        <v>66</v>
      </c>
    </row>
    <row r="2274" spans="1:6" x14ac:dyDescent="0.2">
      <c r="A2274" s="3">
        <v>2271</v>
      </c>
      <c r="B2274" s="3" t="s">
        <v>3690</v>
      </c>
      <c r="C2274" s="3" t="s">
        <v>3691</v>
      </c>
      <c r="D2274" s="3" t="s">
        <v>3691</v>
      </c>
      <c r="E2274" s="1"/>
      <c r="F2274" s="8" t="s">
        <v>66</v>
      </c>
    </row>
    <row r="2275" spans="1:6" x14ac:dyDescent="0.2">
      <c r="A2275" s="3">
        <v>2272</v>
      </c>
      <c r="B2275" s="3" t="s">
        <v>3692</v>
      </c>
      <c r="C2275" s="3" t="s">
        <v>3693</v>
      </c>
      <c r="D2275" s="3" t="s">
        <v>3693</v>
      </c>
      <c r="E2275" s="1"/>
      <c r="F2275" s="8" t="s">
        <v>66</v>
      </c>
    </row>
    <row r="2276" spans="1:6" x14ac:dyDescent="0.2">
      <c r="A2276" s="3">
        <v>2273</v>
      </c>
      <c r="B2276" s="3" t="s">
        <v>3694</v>
      </c>
      <c r="C2276" s="3" t="s">
        <v>3694</v>
      </c>
      <c r="D2276" s="3" t="s">
        <v>3694</v>
      </c>
      <c r="E2276" s="1" t="s">
        <v>3695</v>
      </c>
      <c r="F2276" s="8" t="s">
        <v>66</v>
      </c>
    </row>
    <row r="2277" spans="1:6" x14ac:dyDescent="0.2">
      <c r="A2277" s="3">
        <v>2274</v>
      </c>
      <c r="B2277" s="3" t="s">
        <v>3696</v>
      </c>
      <c r="C2277" s="3" t="s">
        <v>3697</v>
      </c>
      <c r="D2277" s="3" t="s">
        <v>3697</v>
      </c>
      <c r="E2277" s="1"/>
      <c r="F2277" s="8" t="s">
        <v>66</v>
      </c>
    </row>
    <row r="2278" spans="1:6" x14ac:dyDescent="0.2">
      <c r="A2278" s="3">
        <v>2275</v>
      </c>
      <c r="B2278" s="3" t="s">
        <v>3698</v>
      </c>
      <c r="C2278" s="3" t="s">
        <v>3699</v>
      </c>
      <c r="D2278" s="3" t="s">
        <v>3699</v>
      </c>
      <c r="E2278" s="1"/>
      <c r="F2278" s="8" t="s">
        <v>66</v>
      </c>
    </row>
    <row r="2279" spans="1:6" x14ac:dyDescent="0.2">
      <c r="A2279" s="3">
        <v>2276</v>
      </c>
      <c r="B2279" s="3" t="s">
        <v>3700</v>
      </c>
      <c r="C2279" s="3" t="s">
        <v>3701</v>
      </c>
      <c r="D2279" s="3" t="s">
        <v>3701</v>
      </c>
      <c r="E2279" s="1"/>
      <c r="F2279" s="8" t="s">
        <v>66</v>
      </c>
    </row>
    <row r="2280" spans="1:6" x14ac:dyDescent="0.2">
      <c r="A2280" s="3">
        <v>2277</v>
      </c>
      <c r="B2280" s="3" t="s">
        <v>3702</v>
      </c>
      <c r="C2280" s="3" t="s">
        <v>3701</v>
      </c>
      <c r="D2280" s="3" t="s">
        <v>3701</v>
      </c>
      <c r="E2280" s="1"/>
      <c r="F2280" s="8" t="s">
        <v>66</v>
      </c>
    </row>
    <row r="2281" spans="1:6" x14ac:dyDescent="0.2">
      <c r="A2281" s="3">
        <v>2278</v>
      </c>
      <c r="B2281" s="3" t="s">
        <v>3703</v>
      </c>
      <c r="C2281" s="3" t="s">
        <v>3704</v>
      </c>
      <c r="D2281" s="3" t="s">
        <v>3704</v>
      </c>
      <c r="E2281" s="1"/>
      <c r="F2281" s="8" t="s">
        <v>66</v>
      </c>
    </row>
    <row r="2282" spans="1:6" x14ac:dyDescent="0.2">
      <c r="A2282" s="3">
        <v>2279</v>
      </c>
      <c r="B2282" s="3" t="s">
        <v>3705</v>
      </c>
      <c r="C2282" s="3" t="s">
        <v>3706</v>
      </c>
      <c r="D2282" s="3" t="s">
        <v>3706</v>
      </c>
      <c r="E2282" s="1"/>
      <c r="F2282" s="8" t="s">
        <v>66</v>
      </c>
    </row>
    <row r="2283" spans="1:6" x14ac:dyDescent="0.2">
      <c r="A2283" s="3">
        <v>2280</v>
      </c>
      <c r="B2283" s="3" t="s">
        <v>3707</v>
      </c>
      <c r="C2283" s="3" t="s">
        <v>3706</v>
      </c>
      <c r="D2283" s="3" t="s">
        <v>3706</v>
      </c>
      <c r="E2283" s="1"/>
      <c r="F2283" s="8" t="s">
        <v>66</v>
      </c>
    </row>
    <row r="2284" spans="1:6" x14ac:dyDescent="0.2">
      <c r="A2284" s="3">
        <v>2281</v>
      </c>
      <c r="B2284" s="3" t="s">
        <v>3708</v>
      </c>
      <c r="C2284" s="3" t="s">
        <v>3709</v>
      </c>
      <c r="D2284" s="3" t="s">
        <v>3709</v>
      </c>
      <c r="E2284" s="1"/>
      <c r="F2284" s="8" t="s">
        <v>66</v>
      </c>
    </row>
    <row r="2285" spans="1:6" x14ac:dyDescent="0.2">
      <c r="A2285" s="3">
        <v>2282</v>
      </c>
      <c r="B2285" s="3" t="s">
        <v>3710</v>
      </c>
      <c r="C2285" s="3" t="s">
        <v>3711</v>
      </c>
      <c r="D2285" s="3" t="s">
        <v>3711</v>
      </c>
      <c r="E2285" s="1"/>
      <c r="F2285" s="8" t="s">
        <v>66</v>
      </c>
    </row>
    <row r="2286" spans="1:6" x14ac:dyDescent="0.2">
      <c r="A2286" s="3">
        <v>2283</v>
      </c>
      <c r="B2286" s="3" t="s">
        <v>3712</v>
      </c>
      <c r="C2286" s="3" t="s">
        <v>3713</v>
      </c>
      <c r="D2286" s="3" t="s">
        <v>3713</v>
      </c>
      <c r="E2286" s="1"/>
      <c r="F2286" s="8" t="s">
        <v>66</v>
      </c>
    </row>
    <row r="2287" spans="1:6" x14ac:dyDescent="0.2">
      <c r="A2287" s="3">
        <v>2284</v>
      </c>
      <c r="B2287" s="3" t="s">
        <v>3714</v>
      </c>
      <c r="C2287" s="3" t="s">
        <v>3713</v>
      </c>
      <c r="D2287" s="3" t="s">
        <v>3713</v>
      </c>
      <c r="E2287" s="1"/>
      <c r="F2287" s="8" t="s">
        <v>66</v>
      </c>
    </row>
    <row r="2288" spans="1:6" x14ac:dyDescent="0.2">
      <c r="A2288" s="3">
        <v>2285</v>
      </c>
      <c r="B2288" s="3" t="s">
        <v>3715</v>
      </c>
      <c r="C2288" s="3" t="s">
        <v>3713</v>
      </c>
      <c r="D2288" s="3" t="s">
        <v>3713</v>
      </c>
      <c r="E2288" s="1"/>
      <c r="F2288" s="8" t="s">
        <v>66</v>
      </c>
    </row>
    <row r="2289" spans="1:6" x14ac:dyDescent="0.2">
      <c r="A2289" s="3">
        <v>2286</v>
      </c>
      <c r="B2289" s="3" t="s">
        <v>3716</v>
      </c>
      <c r="C2289" s="3" t="s">
        <v>3717</v>
      </c>
      <c r="D2289" s="3" t="s">
        <v>3717</v>
      </c>
      <c r="E2289" s="1"/>
      <c r="F2289" s="8" t="s">
        <v>66</v>
      </c>
    </row>
    <row r="2290" spans="1:6" x14ac:dyDescent="0.2">
      <c r="A2290" s="3">
        <v>2287</v>
      </c>
      <c r="B2290" s="3" t="s">
        <v>3718</v>
      </c>
      <c r="C2290" s="3" t="s">
        <v>3719</v>
      </c>
      <c r="D2290" s="3" t="s">
        <v>3719</v>
      </c>
      <c r="E2290" s="1"/>
      <c r="F2290" s="8" t="s">
        <v>66</v>
      </c>
    </row>
    <row r="2291" spans="1:6" x14ac:dyDescent="0.2">
      <c r="A2291" s="3">
        <v>2288</v>
      </c>
      <c r="B2291" s="3" t="s">
        <v>3720</v>
      </c>
      <c r="C2291" s="3" t="s">
        <v>3721</v>
      </c>
      <c r="D2291" s="3" t="s">
        <v>3721</v>
      </c>
      <c r="E2291" s="1"/>
      <c r="F2291" s="8" t="s">
        <v>66</v>
      </c>
    </row>
    <row r="2292" spans="1:6" x14ac:dyDescent="0.2">
      <c r="A2292" s="3">
        <v>2289</v>
      </c>
      <c r="B2292" s="3" t="s">
        <v>3722</v>
      </c>
      <c r="C2292" s="3" t="s">
        <v>3723</v>
      </c>
      <c r="D2292" s="3" t="s">
        <v>3723</v>
      </c>
      <c r="E2292" s="1"/>
      <c r="F2292" s="8" t="s">
        <v>66</v>
      </c>
    </row>
    <row r="2293" spans="1:6" x14ac:dyDescent="0.2">
      <c r="A2293" s="3">
        <v>2290</v>
      </c>
      <c r="B2293" s="3" t="s">
        <v>3724</v>
      </c>
      <c r="C2293" s="3" t="s">
        <v>3725</v>
      </c>
      <c r="D2293" s="3" t="s">
        <v>3725</v>
      </c>
      <c r="E2293" s="1"/>
      <c r="F2293" s="8" t="s">
        <v>66</v>
      </c>
    </row>
    <row r="2294" spans="1:6" x14ac:dyDescent="0.2">
      <c r="A2294" s="3">
        <v>2291</v>
      </c>
      <c r="B2294" s="3" t="s">
        <v>3726</v>
      </c>
      <c r="C2294" s="3" t="s">
        <v>3725</v>
      </c>
      <c r="D2294" s="3" t="s">
        <v>3725</v>
      </c>
      <c r="E2294" s="1"/>
      <c r="F2294" s="8" t="s">
        <v>66</v>
      </c>
    </row>
    <row r="2295" spans="1:6" x14ac:dyDescent="0.2">
      <c r="A2295" s="3">
        <v>2292</v>
      </c>
      <c r="B2295" s="3" t="s">
        <v>3727</v>
      </c>
      <c r="C2295" s="3" t="s">
        <v>3728</v>
      </c>
      <c r="D2295" s="3" t="s">
        <v>3728</v>
      </c>
      <c r="E2295" s="1"/>
      <c r="F2295" s="8" t="s">
        <v>66</v>
      </c>
    </row>
    <row r="2296" spans="1:6" x14ac:dyDescent="0.2">
      <c r="A2296" s="3">
        <v>2293</v>
      </c>
      <c r="B2296" s="3" t="s">
        <v>3729</v>
      </c>
      <c r="C2296" s="3" t="s">
        <v>3730</v>
      </c>
      <c r="D2296" s="3" t="s">
        <v>3730</v>
      </c>
      <c r="E2296" s="1"/>
      <c r="F2296" s="8" t="s">
        <v>66</v>
      </c>
    </row>
    <row r="2297" spans="1:6" x14ac:dyDescent="0.2">
      <c r="A2297" s="3">
        <v>2294</v>
      </c>
      <c r="B2297" s="3" t="s">
        <v>3731</v>
      </c>
      <c r="C2297" s="3" t="s">
        <v>3730</v>
      </c>
      <c r="D2297" s="3" t="s">
        <v>3730</v>
      </c>
      <c r="E2297" s="1"/>
      <c r="F2297" s="8" t="s">
        <v>66</v>
      </c>
    </row>
    <row r="2298" spans="1:6" x14ac:dyDescent="0.2">
      <c r="A2298" s="3">
        <v>2295</v>
      </c>
      <c r="B2298" s="3" t="s">
        <v>3732</v>
      </c>
      <c r="C2298" s="3" t="s">
        <v>3730</v>
      </c>
      <c r="D2298" s="3" t="s">
        <v>3730</v>
      </c>
      <c r="E2298" s="1"/>
      <c r="F2298" s="8" t="s">
        <v>66</v>
      </c>
    </row>
    <row r="2299" spans="1:6" x14ac:dyDescent="0.2">
      <c r="A2299" s="3">
        <v>2296</v>
      </c>
      <c r="B2299" s="3" t="s">
        <v>3733</v>
      </c>
      <c r="C2299" s="3" t="s">
        <v>3730</v>
      </c>
      <c r="D2299" s="3" t="s">
        <v>3730</v>
      </c>
      <c r="E2299" s="1"/>
      <c r="F2299" s="8" t="s">
        <v>66</v>
      </c>
    </row>
    <row r="2300" spans="1:6" x14ac:dyDescent="0.2">
      <c r="A2300" s="3">
        <v>2297</v>
      </c>
      <c r="B2300" s="3" t="s">
        <v>3734</v>
      </c>
      <c r="C2300" s="3" t="s">
        <v>3730</v>
      </c>
      <c r="D2300" s="3" t="s">
        <v>3730</v>
      </c>
      <c r="E2300" s="1"/>
      <c r="F2300" s="8" t="s">
        <v>66</v>
      </c>
    </row>
    <row r="2301" spans="1:6" x14ac:dyDescent="0.2">
      <c r="A2301" s="3">
        <v>2298</v>
      </c>
      <c r="B2301" s="3" t="s">
        <v>3735</v>
      </c>
      <c r="C2301" s="3" t="s">
        <v>3736</v>
      </c>
      <c r="D2301" s="3" t="s">
        <v>3736</v>
      </c>
      <c r="E2301" s="1"/>
      <c r="F2301" s="8" t="s">
        <v>66</v>
      </c>
    </row>
    <row r="2302" spans="1:6" x14ac:dyDescent="0.2">
      <c r="A2302" s="3">
        <v>2299</v>
      </c>
      <c r="B2302" s="3" t="s">
        <v>3737</v>
      </c>
      <c r="C2302" s="3" t="s">
        <v>3736</v>
      </c>
      <c r="D2302" s="3" t="s">
        <v>3736</v>
      </c>
      <c r="E2302" s="1"/>
      <c r="F2302" s="8" t="s">
        <v>66</v>
      </c>
    </row>
    <row r="2303" spans="1:6" x14ac:dyDescent="0.2">
      <c r="A2303" s="3">
        <v>2300</v>
      </c>
      <c r="B2303" s="3" t="s">
        <v>3738</v>
      </c>
      <c r="C2303" s="3" t="s">
        <v>3736</v>
      </c>
      <c r="D2303" s="3" t="s">
        <v>3736</v>
      </c>
      <c r="E2303" s="1"/>
      <c r="F2303" s="8" t="s">
        <v>66</v>
      </c>
    </row>
    <row r="2304" spans="1:6" x14ac:dyDescent="0.2">
      <c r="A2304" s="3">
        <v>2301</v>
      </c>
      <c r="B2304" s="3" t="s">
        <v>3739</v>
      </c>
      <c r="C2304" s="3" t="s">
        <v>3740</v>
      </c>
      <c r="D2304" s="3" t="s">
        <v>3740</v>
      </c>
      <c r="E2304" s="1"/>
      <c r="F2304" s="8" t="s">
        <v>66</v>
      </c>
    </row>
    <row r="2305" spans="1:6" x14ac:dyDescent="0.2">
      <c r="A2305" s="3">
        <v>2302</v>
      </c>
      <c r="B2305" s="3" t="s">
        <v>3741</v>
      </c>
      <c r="C2305" s="3" t="s">
        <v>3740</v>
      </c>
      <c r="D2305" s="3" t="s">
        <v>3740</v>
      </c>
      <c r="E2305" s="1"/>
      <c r="F2305" s="8" t="s">
        <v>66</v>
      </c>
    </row>
    <row r="2306" spans="1:6" x14ac:dyDescent="0.2">
      <c r="A2306" s="3">
        <v>2303</v>
      </c>
      <c r="B2306" s="3" t="s">
        <v>3742</v>
      </c>
      <c r="C2306" s="3" t="s">
        <v>3743</v>
      </c>
      <c r="D2306" s="3" t="s">
        <v>3743</v>
      </c>
      <c r="E2306" s="1"/>
      <c r="F2306" s="8" t="s">
        <v>66</v>
      </c>
    </row>
    <row r="2307" spans="1:6" x14ac:dyDescent="0.2">
      <c r="A2307" s="3">
        <v>2304</v>
      </c>
      <c r="B2307" s="3" t="s">
        <v>3744</v>
      </c>
      <c r="C2307" s="3" t="s">
        <v>3745</v>
      </c>
      <c r="D2307" s="3" t="s">
        <v>3745</v>
      </c>
      <c r="E2307" s="1"/>
      <c r="F2307" s="8" t="s">
        <v>66</v>
      </c>
    </row>
    <row r="2308" spans="1:6" x14ac:dyDescent="0.2">
      <c r="A2308" s="3">
        <v>2305</v>
      </c>
      <c r="B2308" s="3" t="s">
        <v>3746</v>
      </c>
      <c r="C2308" s="3" t="s">
        <v>3745</v>
      </c>
      <c r="D2308" s="3" t="s">
        <v>3745</v>
      </c>
      <c r="E2308" s="1"/>
      <c r="F2308" s="8" t="s">
        <v>66</v>
      </c>
    </row>
    <row r="2309" spans="1:6" x14ac:dyDescent="0.2">
      <c r="A2309" s="3">
        <v>2306</v>
      </c>
      <c r="B2309" s="3" t="s">
        <v>3747</v>
      </c>
      <c r="C2309" s="3" t="s">
        <v>3748</v>
      </c>
      <c r="D2309" s="3" t="s">
        <v>3748</v>
      </c>
      <c r="E2309" s="1"/>
      <c r="F2309" s="8" t="s">
        <v>66</v>
      </c>
    </row>
    <row r="2310" spans="1:6" x14ac:dyDescent="0.2">
      <c r="A2310" s="3">
        <v>2307</v>
      </c>
      <c r="B2310" s="3" t="s">
        <v>3749</v>
      </c>
      <c r="C2310" s="3" t="s">
        <v>3750</v>
      </c>
      <c r="D2310" s="3" t="s">
        <v>3750</v>
      </c>
      <c r="E2310" s="1"/>
      <c r="F2310" s="8" t="s">
        <v>66</v>
      </c>
    </row>
    <row r="2311" spans="1:6" x14ac:dyDescent="0.2">
      <c r="A2311" s="3">
        <v>2308</v>
      </c>
      <c r="B2311" s="3" t="s">
        <v>3751</v>
      </c>
      <c r="C2311" s="3" t="s">
        <v>3752</v>
      </c>
      <c r="D2311" s="3" t="s">
        <v>3752</v>
      </c>
      <c r="E2311" s="1"/>
      <c r="F2311" s="8" t="s">
        <v>66</v>
      </c>
    </row>
    <row r="2312" spans="1:6" x14ac:dyDescent="0.2">
      <c r="A2312" s="3">
        <v>2309</v>
      </c>
      <c r="B2312" s="3" t="s">
        <v>3753</v>
      </c>
      <c r="C2312" s="3" t="s">
        <v>3754</v>
      </c>
      <c r="D2312" s="3" t="s">
        <v>3754</v>
      </c>
      <c r="E2312" s="1"/>
      <c r="F2312" s="8" t="s">
        <v>66</v>
      </c>
    </row>
    <row r="2313" spans="1:6" x14ac:dyDescent="0.2">
      <c r="A2313" s="3">
        <v>2310</v>
      </c>
      <c r="B2313" s="3" t="s">
        <v>3755</v>
      </c>
      <c r="C2313" s="3" t="s">
        <v>3756</v>
      </c>
      <c r="D2313" s="3" t="s">
        <v>3756</v>
      </c>
      <c r="E2313" s="1"/>
      <c r="F2313" s="8" t="s">
        <v>66</v>
      </c>
    </row>
    <row r="2314" spans="1:6" x14ac:dyDescent="0.2">
      <c r="A2314" s="3">
        <v>2311</v>
      </c>
      <c r="B2314" s="3" t="s">
        <v>3757</v>
      </c>
      <c r="C2314" s="3" t="s">
        <v>3758</v>
      </c>
      <c r="D2314" s="3" t="s">
        <v>3758</v>
      </c>
      <c r="E2314" s="1"/>
      <c r="F2314" s="8" t="s">
        <v>66</v>
      </c>
    </row>
    <row r="2315" spans="1:6" x14ac:dyDescent="0.2">
      <c r="A2315" s="3">
        <v>2312</v>
      </c>
      <c r="B2315" s="3" t="s">
        <v>3759</v>
      </c>
      <c r="C2315" s="3" t="s">
        <v>3758</v>
      </c>
      <c r="D2315" s="3" t="s">
        <v>3758</v>
      </c>
      <c r="E2315" s="1"/>
      <c r="F2315" s="8" t="s">
        <v>66</v>
      </c>
    </row>
    <row r="2316" spans="1:6" x14ac:dyDescent="0.2">
      <c r="A2316" s="3">
        <v>2313</v>
      </c>
      <c r="B2316" s="3" t="s">
        <v>3760</v>
      </c>
      <c r="C2316" s="3" t="s">
        <v>3758</v>
      </c>
      <c r="D2316" s="3" t="s">
        <v>3758</v>
      </c>
      <c r="E2316" s="1"/>
      <c r="F2316" s="8" t="s">
        <v>66</v>
      </c>
    </row>
    <row r="2317" spans="1:6" x14ac:dyDescent="0.2">
      <c r="A2317" s="3">
        <v>2314</v>
      </c>
      <c r="B2317" s="3" t="s">
        <v>3761</v>
      </c>
      <c r="C2317" s="3" t="s">
        <v>3762</v>
      </c>
      <c r="D2317" s="3" t="s">
        <v>3762</v>
      </c>
      <c r="E2317" s="1"/>
      <c r="F2317" s="8" t="s">
        <v>66</v>
      </c>
    </row>
    <row r="2318" spans="1:6" x14ac:dyDescent="0.2">
      <c r="A2318" s="3">
        <v>2315</v>
      </c>
      <c r="B2318" s="3" t="s">
        <v>3763</v>
      </c>
      <c r="C2318" s="3" t="s">
        <v>3764</v>
      </c>
      <c r="D2318" s="3" t="s">
        <v>3764</v>
      </c>
      <c r="E2318" s="1"/>
      <c r="F2318" s="8" t="s">
        <v>66</v>
      </c>
    </row>
    <row r="2319" spans="1:6" x14ac:dyDescent="0.2">
      <c r="A2319" s="3">
        <v>2316</v>
      </c>
      <c r="B2319" s="3" t="s">
        <v>3765</v>
      </c>
      <c r="C2319" s="3" t="s">
        <v>3766</v>
      </c>
      <c r="D2319" s="3" t="s">
        <v>3766</v>
      </c>
      <c r="E2319" s="1"/>
      <c r="F2319" s="8" t="s">
        <v>66</v>
      </c>
    </row>
    <row r="2320" spans="1:6" x14ac:dyDescent="0.2">
      <c r="A2320" s="3">
        <v>2317</v>
      </c>
      <c r="B2320" s="3" t="s">
        <v>3767</v>
      </c>
      <c r="C2320" s="3" t="s">
        <v>3768</v>
      </c>
      <c r="D2320" s="3" t="s">
        <v>3768</v>
      </c>
      <c r="E2320" s="1"/>
      <c r="F2320" s="8" t="s">
        <v>66</v>
      </c>
    </row>
    <row r="2321" spans="1:6" x14ac:dyDescent="0.2">
      <c r="A2321" s="3">
        <v>2318</v>
      </c>
      <c r="B2321" s="3" t="s">
        <v>3769</v>
      </c>
      <c r="C2321" s="3" t="s">
        <v>3770</v>
      </c>
      <c r="D2321" s="3" t="s">
        <v>3770</v>
      </c>
      <c r="E2321" s="1"/>
      <c r="F2321" s="8" t="s">
        <v>66</v>
      </c>
    </row>
    <row r="2322" spans="1:6" x14ac:dyDescent="0.2">
      <c r="A2322" s="3">
        <v>2319</v>
      </c>
      <c r="B2322" s="3" t="s">
        <v>3771</v>
      </c>
      <c r="C2322" s="3" t="s">
        <v>3772</v>
      </c>
      <c r="D2322" s="3" t="s">
        <v>3772</v>
      </c>
      <c r="E2322" s="1"/>
      <c r="F2322" s="8" t="s">
        <v>66</v>
      </c>
    </row>
    <row r="2323" spans="1:6" x14ac:dyDescent="0.2">
      <c r="A2323" s="3">
        <v>2320</v>
      </c>
      <c r="B2323" s="3" t="s">
        <v>3773</v>
      </c>
      <c r="C2323" s="3" t="s">
        <v>3774</v>
      </c>
      <c r="D2323" s="3" t="s">
        <v>3774</v>
      </c>
      <c r="E2323" s="1"/>
      <c r="F2323" s="8" t="s">
        <v>66</v>
      </c>
    </row>
    <row r="2324" spans="1:6" x14ac:dyDescent="0.2">
      <c r="A2324" s="3">
        <v>2321</v>
      </c>
      <c r="B2324" s="3" t="s">
        <v>3775</v>
      </c>
      <c r="C2324" s="3" t="s">
        <v>3776</v>
      </c>
      <c r="D2324" s="3" t="s">
        <v>3776</v>
      </c>
      <c r="E2324" s="1"/>
      <c r="F2324" s="8" t="s">
        <v>66</v>
      </c>
    </row>
    <row r="2325" spans="1:6" x14ac:dyDescent="0.2">
      <c r="A2325" s="3">
        <v>2322</v>
      </c>
      <c r="B2325" s="3" t="s">
        <v>3777</v>
      </c>
      <c r="C2325" s="3" t="s">
        <v>3778</v>
      </c>
      <c r="D2325" s="3" t="s">
        <v>3778</v>
      </c>
      <c r="E2325" s="1"/>
      <c r="F2325" s="8" t="s">
        <v>66</v>
      </c>
    </row>
    <row r="2326" spans="1:6" x14ac:dyDescent="0.2">
      <c r="A2326" s="3">
        <v>2323</v>
      </c>
      <c r="B2326" s="3" t="s">
        <v>3779</v>
      </c>
      <c r="C2326" s="3" t="s">
        <v>3780</v>
      </c>
      <c r="D2326" s="3" t="s">
        <v>3780</v>
      </c>
      <c r="E2326" s="1"/>
      <c r="F2326" s="8" t="s">
        <v>66</v>
      </c>
    </row>
    <row r="2327" spans="1:6" x14ac:dyDescent="0.2">
      <c r="A2327" s="3">
        <v>2324</v>
      </c>
      <c r="B2327" s="3" t="s">
        <v>3781</v>
      </c>
      <c r="C2327" s="3" t="s">
        <v>3782</v>
      </c>
      <c r="D2327" s="3" t="s">
        <v>3782</v>
      </c>
      <c r="E2327" s="1"/>
      <c r="F2327" s="8" t="s">
        <v>66</v>
      </c>
    </row>
    <row r="2328" spans="1:6" x14ac:dyDescent="0.2">
      <c r="A2328" s="3">
        <v>2325</v>
      </c>
      <c r="B2328" s="3" t="s">
        <v>3783</v>
      </c>
      <c r="C2328" s="3" t="s">
        <v>3784</v>
      </c>
      <c r="D2328" s="3" t="s">
        <v>3784</v>
      </c>
      <c r="E2328" s="1"/>
      <c r="F2328" s="8" t="s">
        <v>66</v>
      </c>
    </row>
    <row r="2329" spans="1:6" x14ac:dyDescent="0.2">
      <c r="A2329" s="3">
        <v>2326</v>
      </c>
      <c r="B2329" s="3" t="s">
        <v>3785</v>
      </c>
      <c r="C2329" s="3" t="s">
        <v>3784</v>
      </c>
      <c r="D2329" s="3" t="s">
        <v>3784</v>
      </c>
      <c r="E2329" s="1"/>
      <c r="F2329" s="8" t="s">
        <v>66</v>
      </c>
    </row>
    <row r="2330" spans="1:6" x14ac:dyDescent="0.2">
      <c r="A2330" s="3">
        <v>2327</v>
      </c>
      <c r="B2330" s="3" t="s">
        <v>3786</v>
      </c>
      <c r="C2330" s="3" t="s">
        <v>3784</v>
      </c>
      <c r="D2330" s="3" t="s">
        <v>3784</v>
      </c>
      <c r="E2330" s="1"/>
      <c r="F2330" s="8" t="s">
        <v>66</v>
      </c>
    </row>
    <row r="2331" spans="1:6" x14ac:dyDescent="0.2">
      <c r="A2331" s="3">
        <v>2328</v>
      </c>
      <c r="B2331" s="3" t="s">
        <v>3787</v>
      </c>
      <c r="C2331" s="3" t="s">
        <v>3788</v>
      </c>
      <c r="D2331" s="3" t="s">
        <v>3788</v>
      </c>
      <c r="E2331" s="1"/>
      <c r="F2331" s="8" t="s">
        <v>66</v>
      </c>
    </row>
    <row r="2332" spans="1:6" x14ac:dyDescent="0.2">
      <c r="A2332" s="3">
        <v>2329</v>
      </c>
      <c r="B2332" s="3" t="s">
        <v>3789</v>
      </c>
      <c r="C2332" s="3" t="s">
        <v>3788</v>
      </c>
      <c r="D2332" s="3" t="s">
        <v>3788</v>
      </c>
      <c r="E2332" s="1"/>
      <c r="F2332" s="8" t="s">
        <v>66</v>
      </c>
    </row>
    <row r="2333" spans="1:6" x14ac:dyDescent="0.2">
      <c r="A2333" s="3">
        <v>2330</v>
      </c>
      <c r="B2333" s="3" t="s">
        <v>3790</v>
      </c>
      <c r="C2333" s="3" t="s">
        <v>3791</v>
      </c>
      <c r="D2333" s="3" t="s">
        <v>3791</v>
      </c>
      <c r="E2333" s="1"/>
      <c r="F2333" s="8" t="s">
        <v>66</v>
      </c>
    </row>
    <row r="2334" spans="1:6" x14ac:dyDescent="0.2">
      <c r="A2334" s="3">
        <v>2331</v>
      </c>
      <c r="B2334" s="3" t="s">
        <v>3792</v>
      </c>
      <c r="C2334" s="3" t="s">
        <v>3791</v>
      </c>
      <c r="D2334" s="3" t="s">
        <v>3791</v>
      </c>
      <c r="E2334" s="1"/>
      <c r="F2334" s="8" t="s">
        <v>66</v>
      </c>
    </row>
    <row r="2335" spans="1:6" x14ac:dyDescent="0.2">
      <c r="A2335" s="3">
        <v>2332</v>
      </c>
      <c r="B2335" s="3" t="s">
        <v>3793</v>
      </c>
      <c r="C2335" s="3" t="s">
        <v>3794</v>
      </c>
      <c r="D2335" s="3" t="s">
        <v>3794</v>
      </c>
      <c r="E2335" s="1"/>
      <c r="F2335" s="8" t="s">
        <v>66</v>
      </c>
    </row>
    <row r="2336" spans="1:6" x14ac:dyDescent="0.2">
      <c r="A2336" s="3">
        <v>2333</v>
      </c>
      <c r="B2336" s="3" t="s">
        <v>3795</v>
      </c>
      <c r="C2336" s="3" t="s">
        <v>3796</v>
      </c>
      <c r="D2336" s="3" t="s">
        <v>3796</v>
      </c>
      <c r="E2336" s="1"/>
      <c r="F2336" s="8" t="s">
        <v>66</v>
      </c>
    </row>
    <row r="2337" spans="1:6" x14ac:dyDescent="0.2">
      <c r="A2337" s="3">
        <v>2334</v>
      </c>
      <c r="B2337" s="3" t="s">
        <v>3797</v>
      </c>
      <c r="C2337" s="3" t="s">
        <v>3798</v>
      </c>
      <c r="D2337" s="3" t="s">
        <v>3798</v>
      </c>
      <c r="E2337" s="1"/>
      <c r="F2337" s="8" t="s">
        <v>66</v>
      </c>
    </row>
    <row r="2338" spans="1:6" x14ac:dyDescent="0.2">
      <c r="A2338" s="3">
        <v>2335</v>
      </c>
      <c r="B2338" s="3" t="s">
        <v>3799</v>
      </c>
      <c r="C2338" s="3" t="s">
        <v>3798</v>
      </c>
      <c r="D2338" s="3" t="s">
        <v>3798</v>
      </c>
      <c r="E2338" s="1"/>
      <c r="F2338" s="8" t="s">
        <v>66</v>
      </c>
    </row>
    <row r="2339" spans="1:6" x14ac:dyDescent="0.2">
      <c r="A2339" s="3">
        <v>2336</v>
      </c>
      <c r="B2339" s="3" t="s">
        <v>3800</v>
      </c>
      <c r="C2339" s="3" t="s">
        <v>3798</v>
      </c>
      <c r="D2339" s="3" t="s">
        <v>3798</v>
      </c>
      <c r="E2339" s="1"/>
      <c r="F2339" s="8" t="s">
        <v>66</v>
      </c>
    </row>
    <row r="2340" spans="1:6" x14ac:dyDescent="0.2">
      <c r="A2340" s="3">
        <v>2337</v>
      </c>
      <c r="B2340" s="3" t="s">
        <v>3801</v>
      </c>
      <c r="C2340" s="3" t="s">
        <v>3798</v>
      </c>
      <c r="D2340" s="3" t="s">
        <v>3798</v>
      </c>
      <c r="E2340" s="1"/>
      <c r="F2340" s="8" t="s">
        <v>66</v>
      </c>
    </row>
    <row r="2341" spans="1:6" x14ac:dyDescent="0.2">
      <c r="A2341" s="3">
        <v>2338</v>
      </c>
      <c r="B2341" s="3" t="s">
        <v>3802</v>
      </c>
      <c r="C2341" s="3" t="s">
        <v>3803</v>
      </c>
      <c r="D2341" s="3" t="s">
        <v>3803</v>
      </c>
      <c r="E2341" s="1"/>
      <c r="F2341" s="8" t="s">
        <v>66</v>
      </c>
    </row>
    <row r="2342" spans="1:6" x14ac:dyDescent="0.2">
      <c r="A2342" s="3">
        <v>2339</v>
      </c>
      <c r="B2342" s="3" t="s">
        <v>3804</v>
      </c>
      <c r="C2342" s="3" t="s">
        <v>3805</v>
      </c>
      <c r="D2342" s="3" t="s">
        <v>3805</v>
      </c>
      <c r="E2342" s="1"/>
      <c r="F2342" s="8" t="s">
        <v>66</v>
      </c>
    </row>
    <row r="2343" spans="1:6" x14ac:dyDescent="0.2">
      <c r="A2343" s="3">
        <v>2340</v>
      </c>
      <c r="B2343" s="3" t="s">
        <v>3806</v>
      </c>
      <c r="C2343" s="3" t="s">
        <v>3805</v>
      </c>
      <c r="D2343" s="3" t="s">
        <v>3805</v>
      </c>
      <c r="E2343" s="1"/>
      <c r="F2343" s="8" t="s">
        <v>66</v>
      </c>
    </row>
    <row r="2344" spans="1:6" x14ac:dyDescent="0.2">
      <c r="A2344" s="3">
        <v>2341</v>
      </c>
      <c r="B2344" s="3" t="s">
        <v>3807</v>
      </c>
      <c r="C2344" s="3" t="s">
        <v>3808</v>
      </c>
      <c r="D2344" s="3" t="s">
        <v>3808</v>
      </c>
      <c r="E2344" s="1"/>
      <c r="F2344" s="8" t="s">
        <v>66</v>
      </c>
    </row>
    <row r="2345" spans="1:6" x14ac:dyDescent="0.2">
      <c r="A2345" s="3">
        <v>2342</v>
      </c>
      <c r="B2345" s="3" t="s">
        <v>3809</v>
      </c>
      <c r="C2345" s="3" t="s">
        <v>3810</v>
      </c>
      <c r="D2345" s="3" t="s">
        <v>3810</v>
      </c>
      <c r="E2345" s="1"/>
      <c r="F2345" s="8" t="s">
        <v>66</v>
      </c>
    </row>
    <row r="2346" spans="1:6" x14ac:dyDescent="0.2">
      <c r="A2346" s="3">
        <v>2343</v>
      </c>
      <c r="B2346" s="3" t="s">
        <v>3811</v>
      </c>
      <c r="C2346" s="3" t="s">
        <v>3810</v>
      </c>
      <c r="D2346" s="3" t="s">
        <v>3810</v>
      </c>
      <c r="E2346" s="1"/>
      <c r="F2346" s="8" t="s">
        <v>66</v>
      </c>
    </row>
    <row r="2347" spans="1:6" x14ac:dyDescent="0.2">
      <c r="A2347" s="3">
        <v>2344</v>
      </c>
      <c r="B2347" s="3" t="s">
        <v>3812</v>
      </c>
      <c r="C2347" s="3" t="s">
        <v>3813</v>
      </c>
      <c r="D2347" s="3" t="s">
        <v>3813</v>
      </c>
      <c r="E2347" s="1"/>
      <c r="F2347" s="8" t="s">
        <v>66</v>
      </c>
    </row>
    <row r="2348" spans="1:6" x14ac:dyDescent="0.2">
      <c r="A2348" s="3">
        <v>2345</v>
      </c>
      <c r="B2348" s="3" t="s">
        <v>3814</v>
      </c>
      <c r="C2348" s="3" t="s">
        <v>3813</v>
      </c>
      <c r="D2348" s="3" t="s">
        <v>3813</v>
      </c>
      <c r="E2348" s="1"/>
      <c r="F2348" s="8" t="s">
        <v>66</v>
      </c>
    </row>
    <row r="2349" spans="1:6" x14ac:dyDescent="0.2">
      <c r="A2349" s="3">
        <v>2346</v>
      </c>
      <c r="B2349" s="3" t="s">
        <v>3815</v>
      </c>
      <c r="C2349" s="3" t="s">
        <v>3816</v>
      </c>
      <c r="D2349" s="3" t="s">
        <v>3816</v>
      </c>
      <c r="E2349" s="1"/>
      <c r="F2349" s="8" t="s">
        <v>66</v>
      </c>
    </row>
    <row r="2350" spans="1:6" x14ac:dyDescent="0.2">
      <c r="A2350" s="3">
        <v>2347</v>
      </c>
      <c r="B2350" s="3" t="s">
        <v>3817</v>
      </c>
      <c r="C2350" s="3" t="s">
        <v>3818</v>
      </c>
      <c r="D2350" s="3" t="s">
        <v>3818</v>
      </c>
      <c r="E2350" s="1"/>
      <c r="F2350" s="8" t="s">
        <v>66</v>
      </c>
    </row>
    <row r="2351" spans="1:6" x14ac:dyDescent="0.2">
      <c r="A2351" s="3">
        <v>2348</v>
      </c>
      <c r="B2351" s="3" t="s">
        <v>3819</v>
      </c>
      <c r="C2351" s="3" t="s">
        <v>3820</v>
      </c>
      <c r="D2351" s="3" t="s">
        <v>3820</v>
      </c>
      <c r="E2351" s="1"/>
      <c r="F2351" s="8" t="s">
        <v>66</v>
      </c>
    </row>
    <row r="2352" spans="1:6" x14ac:dyDescent="0.2">
      <c r="A2352" s="3">
        <v>2349</v>
      </c>
      <c r="B2352" s="3" t="s">
        <v>3821</v>
      </c>
      <c r="C2352" s="3" t="s">
        <v>3822</v>
      </c>
      <c r="D2352" s="3" t="s">
        <v>3822</v>
      </c>
      <c r="E2352" s="1"/>
      <c r="F2352" s="8" t="s">
        <v>66</v>
      </c>
    </row>
    <row r="2353" spans="1:6" x14ac:dyDescent="0.2">
      <c r="A2353" s="3">
        <v>2350</v>
      </c>
      <c r="B2353" s="3" t="s">
        <v>3823</v>
      </c>
      <c r="C2353" s="3" t="s">
        <v>3824</v>
      </c>
      <c r="D2353" s="3" t="s">
        <v>3824</v>
      </c>
      <c r="E2353" s="1"/>
      <c r="F2353" s="8" t="s">
        <v>66</v>
      </c>
    </row>
    <row r="2354" spans="1:6" x14ac:dyDescent="0.2">
      <c r="A2354" s="3">
        <v>2351</v>
      </c>
      <c r="B2354" s="3" t="s">
        <v>3825</v>
      </c>
      <c r="C2354" s="3" t="s">
        <v>3826</v>
      </c>
      <c r="D2354" s="3" t="s">
        <v>3826</v>
      </c>
      <c r="E2354" s="1"/>
      <c r="F2354" s="8" t="s">
        <v>66</v>
      </c>
    </row>
    <row r="2355" spans="1:6" x14ac:dyDescent="0.2">
      <c r="A2355" s="3">
        <v>2352</v>
      </c>
      <c r="B2355" s="3" t="s">
        <v>3827</v>
      </c>
      <c r="C2355" s="3" t="s">
        <v>3828</v>
      </c>
      <c r="D2355" s="3" t="s">
        <v>3828</v>
      </c>
      <c r="E2355" s="1"/>
      <c r="F2355" s="8" t="s">
        <v>66</v>
      </c>
    </row>
    <row r="2356" spans="1:6" x14ac:dyDescent="0.2">
      <c r="A2356" s="3">
        <v>2353</v>
      </c>
      <c r="B2356" s="3" t="s">
        <v>3829</v>
      </c>
      <c r="C2356" s="3" t="s">
        <v>3828</v>
      </c>
      <c r="D2356" s="3" t="s">
        <v>3828</v>
      </c>
      <c r="E2356" s="1"/>
      <c r="F2356" s="8" t="s">
        <v>66</v>
      </c>
    </row>
    <row r="2357" spans="1:6" x14ac:dyDescent="0.2">
      <c r="A2357" s="3">
        <v>2354</v>
      </c>
      <c r="B2357" s="3" t="s">
        <v>3830</v>
      </c>
      <c r="C2357" s="3" t="s">
        <v>3831</v>
      </c>
      <c r="D2357" s="3" t="s">
        <v>3831</v>
      </c>
      <c r="E2357" s="1"/>
      <c r="F2357" s="8" t="s">
        <v>66</v>
      </c>
    </row>
    <row r="2358" spans="1:6" x14ac:dyDescent="0.2">
      <c r="A2358" s="3">
        <v>2355</v>
      </c>
      <c r="B2358" s="3" t="s">
        <v>3832</v>
      </c>
      <c r="C2358" s="3" t="s">
        <v>3833</v>
      </c>
      <c r="D2358" s="3" t="s">
        <v>3833</v>
      </c>
      <c r="E2358" s="1"/>
      <c r="F2358" s="8" t="s">
        <v>66</v>
      </c>
    </row>
    <row r="2359" spans="1:6" x14ac:dyDescent="0.2">
      <c r="A2359" s="3">
        <v>2356</v>
      </c>
      <c r="B2359" s="3" t="s">
        <v>3834</v>
      </c>
      <c r="C2359" s="3" t="s">
        <v>3833</v>
      </c>
      <c r="D2359" s="3" t="s">
        <v>3833</v>
      </c>
      <c r="E2359" s="1"/>
      <c r="F2359" s="8" t="s">
        <v>66</v>
      </c>
    </row>
    <row r="2360" spans="1:6" x14ac:dyDescent="0.2">
      <c r="A2360" s="3">
        <v>2357</v>
      </c>
      <c r="B2360" s="3" t="s">
        <v>3835</v>
      </c>
      <c r="C2360" s="3" t="s">
        <v>3833</v>
      </c>
      <c r="D2360" s="3" t="s">
        <v>3833</v>
      </c>
      <c r="E2360" s="1"/>
      <c r="F2360" s="8" t="s">
        <v>66</v>
      </c>
    </row>
    <row r="2361" spans="1:6" x14ac:dyDescent="0.2">
      <c r="A2361" s="3">
        <v>2358</v>
      </c>
      <c r="B2361" s="3" t="s">
        <v>3836</v>
      </c>
      <c r="C2361" s="3" t="s">
        <v>3833</v>
      </c>
      <c r="D2361" s="3" t="s">
        <v>3833</v>
      </c>
      <c r="E2361" s="1"/>
      <c r="F2361" s="8" t="s">
        <v>66</v>
      </c>
    </row>
    <row r="2362" spans="1:6" x14ac:dyDescent="0.2">
      <c r="A2362" s="3">
        <v>2359</v>
      </c>
      <c r="B2362" s="3" t="s">
        <v>3837</v>
      </c>
      <c r="C2362" s="3" t="s">
        <v>3838</v>
      </c>
      <c r="D2362" s="3" t="s">
        <v>3838</v>
      </c>
      <c r="E2362" s="1"/>
      <c r="F2362" s="8" t="s">
        <v>66</v>
      </c>
    </row>
    <row r="2363" spans="1:6" x14ac:dyDescent="0.2">
      <c r="A2363" s="3">
        <v>2360</v>
      </c>
      <c r="B2363" s="3" t="s">
        <v>3839</v>
      </c>
      <c r="C2363" s="3" t="s">
        <v>3840</v>
      </c>
      <c r="D2363" s="3" t="s">
        <v>3840</v>
      </c>
      <c r="E2363" s="1"/>
      <c r="F2363" s="8" t="s">
        <v>66</v>
      </c>
    </row>
    <row r="2364" spans="1:6" x14ac:dyDescent="0.2">
      <c r="A2364" s="3">
        <v>2361</v>
      </c>
      <c r="B2364" s="3" t="s">
        <v>3841</v>
      </c>
      <c r="C2364" s="3" t="s">
        <v>3840</v>
      </c>
      <c r="D2364" s="3" t="s">
        <v>3840</v>
      </c>
      <c r="E2364" s="1"/>
      <c r="F2364" s="8" t="s">
        <v>66</v>
      </c>
    </row>
    <row r="2365" spans="1:6" x14ac:dyDescent="0.2">
      <c r="A2365" s="3">
        <v>2362</v>
      </c>
      <c r="B2365" s="3" t="s">
        <v>3842</v>
      </c>
      <c r="C2365" s="3" t="s">
        <v>3840</v>
      </c>
      <c r="D2365" s="3" t="s">
        <v>3840</v>
      </c>
      <c r="E2365" s="1"/>
      <c r="F2365" s="8" t="s">
        <v>66</v>
      </c>
    </row>
    <row r="2366" spans="1:6" x14ac:dyDescent="0.2">
      <c r="A2366" s="3">
        <v>2363</v>
      </c>
      <c r="B2366" s="3" t="s">
        <v>3843</v>
      </c>
      <c r="C2366" s="3" t="s">
        <v>3840</v>
      </c>
      <c r="D2366" s="3" t="s">
        <v>3840</v>
      </c>
      <c r="E2366" s="1"/>
      <c r="F2366" s="8" t="s">
        <v>66</v>
      </c>
    </row>
    <row r="2367" spans="1:6" x14ac:dyDescent="0.2">
      <c r="A2367" s="3">
        <v>2364</v>
      </c>
      <c r="B2367" s="3" t="s">
        <v>3844</v>
      </c>
      <c r="C2367" s="3" t="s">
        <v>3845</v>
      </c>
      <c r="D2367" s="3" t="s">
        <v>3845</v>
      </c>
      <c r="E2367" s="1"/>
      <c r="F2367" s="8" t="s">
        <v>66</v>
      </c>
    </row>
    <row r="2368" spans="1:6" x14ac:dyDescent="0.2">
      <c r="A2368" s="3">
        <v>2365</v>
      </c>
      <c r="B2368" s="3" t="s">
        <v>3846</v>
      </c>
      <c r="C2368" s="3" t="s">
        <v>3847</v>
      </c>
      <c r="D2368" s="3" t="s">
        <v>3847</v>
      </c>
      <c r="E2368" s="1"/>
      <c r="F2368" s="8" t="s">
        <v>66</v>
      </c>
    </row>
    <row r="2369" spans="1:6" x14ac:dyDescent="0.2">
      <c r="A2369" s="3">
        <v>2366</v>
      </c>
      <c r="B2369" s="3" t="s">
        <v>3848</v>
      </c>
      <c r="C2369" s="3" t="s">
        <v>3849</v>
      </c>
      <c r="D2369" s="3" t="s">
        <v>3849</v>
      </c>
      <c r="E2369" s="1"/>
      <c r="F2369" s="8" t="s">
        <v>66</v>
      </c>
    </row>
    <row r="2370" spans="1:6" x14ac:dyDescent="0.2">
      <c r="A2370" s="3">
        <v>2367</v>
      </c>
      <c r="B2370" s="3" t="s">
        <v>3850</v>
      </c>
      <c r="C2370" s="3" t="s">
        <v>3849</v>
      </c>
      <c r="D2370" s="3" t="s">
        <v>3849</v>
      </c>
      <c r="E2370" s="1"/>
      <c r="F2370" s="8" t="s">
        <v>66</v>
      </c>
    </row>
    <row r="2371" spans="1:6" x14ac:dyDescent="0.2">
      <c r="A2371" s="3">
        <v>2368</v>
      </c>
      <c r="B2371" s="3" t="s">
        <v>3851</v>
      </c>
      <c r="C2371" s="3" t="s">
        <v>3852</v>
      </c>
      <c r="D2371" s="3" t="s">
        <v>3852</v>
      </c>
      <c r="E2371" s="1"/>
      <c r="F2371" s="8" t="s">
        <v>66</v>
      </c>
    </row>
    <row r="2372" spans="1:6" x14ac:dyDescent="0.2">
      <c r="A2372" s="3">
        <v>2369</v>
      </c>
      <c r="B2372" s="3" t="s">
        <v>3853</v>
      </c>
      <c r="C2372" s="3" t="s">
        <v>3854</v>
      </c>
      <c r="D2372" s="3" t="s">
        <v>3854</v>
      </c>
      <c r="E2372" s="1"/>
      <c r="F2372" s="8" t="s">
        <v>66</v>
      </c>
    </row>
    <row r="2373" spans="1:6" x14ac:dyDescent="0.2">
      <c r="A2373" s="3">
        <v>2370</v>
      </c>
      <c r="B2373" s="3" t="s">
        <v>3855</v>
      </c>
      <c r="C2373" s="3" t="s">
        <v>3856</v>
      </c>
      <c r="D2373" s="3" t="s">
        <v>3856</v>
      </c>
      <c r="E2373" s="1"/>
      <c r="F2373" s="8" t="s">
        <v>66</v>
      </c>
    </row>
    <row r="2374" spans="1:6" x14ac:dyDescent="0.2">
      <c r="A2374" s="3">
        <v>2371</v>
      </c>
      <c r="B2374" s="3" t="s">
        <v>3857</v>
      </c>
      <c r="C2374" s="3" t="s">
        <v>3858</v>
      </c>
      <c r="D2374" s="3" t="s">
        <v>3858</v>
      </c>
      <c r="E2374" s="1"/>
      <c r="F2374" s="8" t="s">
        <v>66</v>
      </c>
    </row>
    <row r="2375" spans="1:6" x14ac:dyDescent="0.2">
      <c r="A2375" s="3">
        <v>2372</v>
      </c>
      <c r="B2375" s="3" t="s">
        <v>3859</v>
      </c>
      <c r="C2375" s="3" t="s">
        <v>3860</v>
      </c>
      <c r="D2375" s="3" t="s">
        <v>3860</v>
      </c>
      <c r="E2375" s="1"/>
      <c r="F2375" s="8" t="s">
        <v>66</v>
      </c>
    </row>
    <row r="2376" spans="1:6" x14ac:dyDescent="0.2">
      <c r="A2376" s="3">
        <v>2373</v>
      </c>
      <c r="B2376" s="3" t="s">
        <v>3861</v>
      </c>
      <c r="C2376" s="3" t="s">
        <v>3862</v>
      </c>
      <c r="D2376" s="3" t="s">
        <v>3862</v>
      </c>
      <c r="E2376" s="1"/>
      <c r="F2376" s="8" t="s">
        <v>66</v>
      </c>
    </row>
    <row r="2377" spans="1:6" x14ac:dyDescent="0.2">
      <c r="A2377" s="3">
        <v>2374</v>
      </c>
      <c r="B2377" s="3" t="s">
        <v>3863</v>
      </c>
      <c r="C2377" s="3" t="s">
        <v>3864</v>
      </c>
      <c r="D2377" s="3" t="s">
        <v>3864</v>
      </c>
      <c r="E2377" s="1"/>
      <c r="F2377" s="8" t="s">
        <v>66</v>
      </c>
    </row>
    <row r="2378" spans="1:6" x14ac:dyDescent="0.2">
      <c r="A2378" s="3">
        <v>2375</v>
      </c>
      <c r="B2378" s="3" t="s">
        <v>3865</v>
      </c>
      <c r="C2378" s="3" t="s">
        <v>3866</v>
      </c>
      <c r="D2378" s="25" t="s">
        <v>3866</v>
      </c>
      <c r="E2378" s="1"/>
      <c r="F2378" s="8" t="s">
        <v>66</v>
      </c>
    </row>
    <row r="2379" spans="1:6" x14ac:dyDescent="0.2">
      <c r="A2379" s="3">
        <v>2376</v>
      </c>
      <c r="B2379" s="3" t="s">
        <v>3867</v>
      </c>
      <c r="C2379" s="3" t="s">
        <v>3868</v>
      </c>
      <c r="D2379" s="3" t="s">
        <v>3868</v>
      </c>
      <c r="E2379" s="1"/>
      <c r="F2379" s="8" t="s">
        <v>66</v>
      </c>
    </row>
    <row r="2380" spans="1:6" x14ac:dyDescent="0.2">
      <c r="A2380" s="3">
        <v>2377</v>
      </c>
      <c r="B2380" s="3" t="s">
        <v>3869</v>
      </c>
      <c r="C2380" s="3" t="s">
        <v>3870</v>
      </c>
      <c r="D2380" s="3" t="s">
        <v>3870</v>
      </c>
      <c r="E2380" s="1"/>
      <c r="F2380" s="8" t="s">
        <v>66</v>
      </c>
    </row>
    <row r="2381" spans="1:6" x14ac:dyDescent="0.2">
      <c r="A2381" s="3">
        <v>2378</v>
      </c>
      <c r="B2381" s="3" t="s">
        <v>3871</v>
      </c>
      <c r="C2381" s="3" t="s">
        <v>3872</v>
      </c>
      <c r="D2381" s="3" t="s">
        <v>3872</v>
      </c>
      <c r="E2381" s="1"/>
      <c r="F2381" s="8" t="s">
        <v>66</v>
      </c>
    </row>
    <row r="2382" spans="1:6" x14ac:dyDescent="0.2">
      <c r="A2382" s="3">
        <v>2379</v>
      </c>
      <c r="B2382" s="3" t="s">
        <v>3873</v>
      </c>
      <c r="C2382" s="3" t="s">
        <v>3874</v>
      </c>
      <c r="D2382" s="3" t="s">
        <v>3874</v>
      </c>
      <c r="E2382" s="1"/>
      <c r="F2382" s="8" t="s">
        <v>66</v>
      </c>
    </row>
    <row r="2383" spans="1:6" x14ac:dyDescent="0.2">
      <c r="A2383" s="3">
        <v>2380</v>
      </c>
      <c r="B2383" s="3" t="s">
        <v>3875</v>
      </c>
      <c r="C2383" s="3" t="s">
        <v>3876</v>
      </c>
      <c r="D2383" s="3" t="s">
        <v>3876</v>
      </c>
      <c r="E2383" s="1"/>
      <c r="F2383" s="8" t="s">
        <v>66</v>
      </c>
    </row>
    <row r="2384" spans="1:6" x14ac:dyDescent="0.2">
      <c r="A2384" s="3">
        <v>2381</v>
      </c>
      <c r="B2384" s="3" t="s">
        <v>3877</v>
      </c>
      <c r="C2384" s="3" t="s">
        <v>3878</v>
      </c>
      <c r="D2384" s="3" t="s">
        <v>3878</v>
      </c>
      <c r="E2384" s="1"/>
      <c r="F2384" s="8" t="s">
        <v>66</v>
      </c>
    </row>
    <row r="2385" spans="1:6" x14ac:dyDescent="0.2">
      <c r="A2385" s="3">
        <v>2382</v>
      </c>
      <c r="B2385" s="3" t="s">
        <v>3879</v>
      </c>
      <c r="C2385" s="3" t="s">
        <v>3880</v>
      </c>
      <c r="D2385" s="3" t="s">
        <v>3880</v>
      </c>
      <c r="E2385" s="1"/>
      <c r="F2385" s="8" t="s">
        <v>66</v>
      </c>
    </row>
    <row r="2386" spans="1:6" x14ac:dyDescent="0.2">
      <c r="A2386" s="3">
        <v>2383</v>
      </c>
      <c r="B2386" s="3" t="s">
        <v>3881</v>
      </c>
      <c r="C2386" s="3" t="s">
        <v>3882</v>
      </c>
      <c r="D2386" s="3" t="s">
        <v>3882</v>
      </c>
      <c r="E2386" s="1"/>
      <c r="F2386" s="8" t="s">
        <v>66</v>
      </c>
    </row>
    <row r="2387" spans="1:6" x14ac:dyDescent="0.2">
      <c r="A2387" s="3">
        <v>2384</v>
      </c>
      <c r="B2387" s="3" t="s">
        <v>3883</v>
      </c>
      <c r="C2387" s="3" t="s">
        <v>3884</v>
      </c>
      <c r="D2387" s="3" t="s">
        <v>3884</v>
      </c>
      <c r="E2387" s="1"/>
      <c r="F2387" s="8" t="s">
        <v>66</v>
      </c>
    </row>
    <row r="2388" spans="1:6" x14ac:dyDescent="0.2">
      <c r="A2388" s="3">
        <v>2385</v>
      </c>
      <c r="B2388" s="3" t="s">
        <v>3885</v>
      </c>
      <c r="C2388" s="3" t="s">
        <v>3886</v>
      </c>
      <c r="D2388" s="3" t="s">
        <v>3886</v>
      </c>
      <c r="E2388" s="1"/>
      <c r="F2388" s="8" t="s">
        <v>66</v>
      </c>
    </row>
    <row r="2389" spans="1:6" x14ac:dyDescent="0.2">
      <c r="A2389" s="3">
        <v>2386</v>
      </c>
      <c r="B2389" s="3" t="s">
        <v>3887</v>
      </c>
      <c r="C2389" s="3" t="s">
        <v>3886</v>
      </c>
      <c r="D2389" s="3" t="s">
        <v>3886</v>
      </c>
      <c r="E2389" s="1"/>
      <c r="F2389" s="8" t="s">
        <v>66</v>
      </c>
    </row>
    <row r="2390" spans="1:6" x14ac:dyDescent="0.2">
      <c r="A2390" s="3">
        <v>2387</v>
      </c>
      <c r="B2390" s="3" t="s">
        <v>3888</v>
      </c>
      <c r="C2390" s="3" t="s">
        <v>3889</v>
      </c>
      <c r="D2390" s="3" t="s">
        <v>3889</v>
      </c>
      <c r="E2390" s="1"/>
      <c r="F2390" s="8" t="s">
        <v>66</v>
      </c>
    </row>
    <row r="2391" spans="1:6" x14ac:dyDescent="0.2">
      <c r="A2391" s="3">
        <v>2388</v>
      </c>
      <c r="B2391" s="3" t="s">
        <v>3890</v>
      </c>
      <c r="C2391" s="3" t="s">
        <v>3891</v>
      </c>
      <c r="D2391" s="3" t="s">
        <v>3891</v>
      </c>
      <c r="E2391" s="1"/>
      <c r="F2391" s="8" t="s">
        <v>66</v>
      </c>
    </row>
    <row r="2392" spans="1:6" x14ac:dyDescent="0.2">
      <c r="A2392" s="3">
        <v>2389</v>
      </c>
      <c r="B2392" s="3" t="s">
        <v>3892</v>
      </c>
      <c r="C2392" s="3" t="s">
        <v>3893</v>
      </c>
      <c r="D2392" s="3" t="s">
        <v>3893</v>
      </c>
      <c r="E2392" s="1"/>
      <c r="F2392" s="8" t="s">
        <v>66</v>
      </c>
    </row>
    <row r="2393" spans="1:6" x14ac:dyDescent="0.2">
      <c r="A2393" s="3">
        <v>2390</v>
      </c>
      <c r="B2393" s="3" t="s">
        <v>3894</v>
      </c>
      <c r="C2393" s="3" t="s">
        <v>3895</v>
      </c>
      <c r="D2393" s="3" t="s">
        <v>3895</v>
      </c>
      <c r="E2393" s="1"/>
      <c r="F2393" s="8" t="s">
        <v>66</v>
      </c>
    </row>
    <row r="2394" spans="1:6" x14ac:dyDescent="0.2">
      <c r="A2394" s="3">
        <v>2391</v>
      </c>
      <c r="B2394" s="3" t="s">
        <v>3896</v>
      </c>
      <c r="C2394" s="3" t="s">
        <v>3897</v>
      </c>
      <c r="D2394" s="3" t="s">
        <v>3897</v>
      </c>
      <c r="E2394" s="1"/>
      <c r="F2394" s="8" t="s">
        <v>66</v>
      </c>
    </row>
    <row r="2395" spans="1:6" x14ac:dyDescent="0.2">
      <c r="A2395" s="3">
        <v>2392</v>
      </c>
      <c r="B2395" s="3" t="s">
        <v>3898</v>
      </c>
      <c r="C2395" s="3" t="s">
        <v>3897</v>
      </c>
      <c r="D2395" s="3" t="s">
        <v>3897</v>
      </c>
      <c r="E2395" s="1"/>
      <c r="F2395" s="8" t="s">
        <v>66</v>
      </c>
    </row>
    <row r="2396" spans="1:6" x14ac:dyDescent="0.2">
      <c r="A2396" s="3">
        <v>2393</v>
      </c>
      <c r="B2396" s="3" t="s">
        <v>3899</v>
      </c>
      <c r="C2396" s="3" t="s">
        <v>3900</v>
      </c>
      <c r="D2396" s="3" t="s">
        <v>3900</v>
      </c>
      <c r="E2396" s="1"/>
      <c r="F2396" s="8" t="s">
        <v>66</v>
      </c>
    </row>
    <row r="2397" spans="1:6" x14ac:dyDescent="0.2">
      <c r="A2397" s="3">
        <v>2394</v>
      </c>
      <c r="B2397" s="3" t="s">
        <v>3901</v>
      </c>
      <c r="C2397" s="3" t="s">
        <v>3902</v>
      </c>
      <c r="D2397" s="3" t="s">
        <v>3902</v>
      </c>
      <c r="E2397" s="1"/>
      <c r="F2397" s="8" t="s">
        <v>66</v>
      </c>
    </row>
    <row r="2398" spans="1:6" x14ac:dyDescent="0.2">
      <c r="A2398" s="3">
        <v>2395</v>
      </c>
      <c r="B2398" s="3" t="s">
        <v>3903</v>
      </c>
      <c r="C2398" s="3" t="s">
        <v>3902</v>
      </c>
      <c r="D2398" s="3" t="s">
        <v>3902</v>
      </c>
      <c r="E2398" s="1"/>
      <c r="F2398" s="8" t="s">
        <v>66</v>
      </c>
    </row>
    <row r="2399" spans="1:6" x14ac:dyDescent="0.2">
      <c r="A2399" s="3">
        <v>2396</v>
      </c>
      <c r="B2399" s="3" t="s">
        <v>3904</v>
      </c>
      <c r="C2399" s="3" t="s">
        <v>3905</v>
      </c>
      <c r="D2399" s="3" t="s">
        <v>3905</v>
      </c>
      <c r="E2399" s="1"/>
      <c r="F2399" s="8" t="s">
        <v>66</v>
      </c>
    </row>
    <row r="2400" spans="1:6" x14ac:dyDescent="0.2">
      <c r="A2400" s="3">
        <v>2397</v>
      </c>
      <c r="B2400" s="3" t="s">
        <v>3906</v>
      </c>
      <c r="C2400" s="3" t="s">
        <v>3907</v>
      </c>
      <c r="D2400" s="3" t="s">
        <v>3907</v>
      </c>
      <c r="E2400" s="1"/>
      <c r="F2400" s="8" t="s">
        <v>66</v>
      </c>
    </row>
    <row r="2401" spans="1:6" x14ac:dyDescent="0.2">
      <c r="A2401" s="3">
        <v>2398</v>
      </c>
      <c r="B2401" s="3" t="s">
        <v>3908</v>
      </c>
      <c r="C2401" s="3" t="s">
        <v>3909</v>
      </c>
      <c r="D2401" s="3" t="s">
        <v>3909</v>
      </c>
      <c r="E2401" s="1"/>
      <c r="F2401" s="8" t="s">
        <v>66</v>
      </c>
    </row>
    <row r="2402" spans="1:6" x14ac:dyDescent="0.2">
      <c r="A2402" s="3">
        <v>2399</v>
      </c>
      <c r="B2402" s="3" t="s">
        <v>3910</v>
      </c>
      <c r="C2402" s="3" t="s">
        <v>3911</v>
      </c>
      <c r="D2402" s="3" t="s">
        <v>3911</v>
      </c>
      <c r="E2402" s="1"/>
      <c r="F2402" s="8" t="s">
        <v>66</v>
      </c>
    </row>
    <row r="2403" spans="1:6" x14ac:dyDescent="0.2">
      <c r="A2403" s="3">
        <v>2400</v>
      </c>
      <c r="B2403" s="3" t="s">
        <v>3912</v>
      </c>
      <c r="C2403" s="3" t="s">
        <v>3913</v>
      </c>
      <c r="D2403" s="3" t="s">
        <v>3913</v>
      </c>
      <c r="E2403" s="1"/>
      <c r="F2403" s="8" t="s">
        <v>66</v>
      </c>
    </row>
    <row r="2404" spans="1:6" x14ac:dyDescent="0.2">
      <c r="A2404" s="3">
        <v>2401</v>
      </c>
      <c r="B2404" s="3" t="s">
        <v>3914</v>
      </c>
      <c r="C2404" s="3" t="s">
        <v>3911</v>
      </c>
      <c r="D2404" s="3" t="s">
        <v>3911</v>
      </c>
      <c r="E2404" s="1"/>
      <c r="F2404" s="8" t="s">
        <v>66</v>
      </c>
    </row>
    <row r="2405" spans="1:6" x14ac:dyDescent="0.2">
      <c r="A2405" s="3">
        <v>2402</v>
      </c>
      <c r="B2405" s="3" t="s">
        <v>3915</v>
      </c>
      <c r="C2405" s="3" t="s">
        <v>3911</v>
      </c>
      <c r="D2405" s="3" t="s">
        <v>3911</v>
      </c>
      <c r="E2405" s="1"/>
      <c r="F2405" s="8" t="s">
        <v>66</v>
      </c>
    </row>
    <row r="2406" spans="1:6" x14ac:dyDescent="0.2">
      <c r="A2406" s="3">
        <v>2403</v>
      </c>
      <c r="B2406" s="3" t="s">
        <v>3916</v>
      </c>
      <c r="C2406" s="3" t="s">
        <v>3911</v>
      </c>
      <c r="D2406" s="3" t="s">
        <v>3911</v>
      </c>
      <c r="E2406" s="1"/>
      <c r="F2406" s="8" t="s">
        <v>66</v>
      </c>
    </row>
    <row r="2407" spans="1:6" x14ac:dyDescent="0.2">
      <c r="A2407" s="3">
        <v>2404</v>
      </c>
      <c r="B2407" s="3" t="s">
        <v>3917</v>
      </c>
      <c r="C2407" s="3" t="s">
        <v>3911</v>
      </c>
      <c r="D2407" s="3" t="s">
        <v>3911</v>
      </c>
      <c r="E2407" s="1"/>
      <c r="F2407" s="8" t="s">
        <v>66</v>
      </c>
    </row>
    <row r="2408" spans="1:6" x14ac:dyDescent="0.2">
      <c r="A2408" s="3">
        <v>2405</v>
      </c>
      <c r="B2408" s="3" t="s">
        <v>3918</v>
      </c>
      <c r="C2408" s="3" t="s">
        <v>3919</v>
      </c>
      <c r="D2408" s="3" t="s">
        <v>3919</v>
      </c>
      <c r="E2408" s="1"/>
      <c r="F2408" s="8" t="s">
        <v>66</v>
      </c>
    </row>
    <row r="2409" spans="1:6" x14ac:dyDescent="0.2">
      <c r="A2409" s="3">
        <v>2406</v>
      </c>
      <c r="B2409" s="3" t="s">
        <v>3920</v>
      </c>
      <c r="C2409" s="3" t="s">
        <v>3921</v>
      </c>
      <c r="D2409" s="3" t="s">
        <v>3921</v>
      </c>
      <c r="E2409" s="1"/>
      <c r="F2409" s="8" t="s">
        <v>66</v>
      </c>
    </row>
    <row r="2410" spans="1:6" x14ac:dyDescent="0.2">
      <c r="A2410" s="3">
        <v>2407</v>
      </c>
      <c r="B2410" s="3" t="s">
        <v>3922</v>
      </c>
      <c r="C2410" s="3" t="s">
        <v>3923</v>
      </c>
      <c r="D2410" s="3" t="s">
        <v>3923</v>
      </c>
      <c r="E2410" s="1"/>
      <c r="F2410" s="8" t="s">
        <v>66</v>
      </c>
    </row>
    <row r="2411" spans="1:6" x14ac:dyDescent="0.2">
      <c r="A2411" s="3">
        <v>2408</v>
      </c>
      <c r="B2411" s="3" t="s">
        <v>3924</v>
      </c>
      <c r="C2411" s="3" t="s">
        <v>3923</v>
      </c>
      <c r="D2411" s="3" t="s">
        <v>3923</v>
      </c>
      <c r="E2411" s="1"/>
      <c r="F2411" s="8" t="s">
        <v>66</v>
      </c>
    </row>
    <row r="2412" spans="1:6" x14ac:dyDescent="0.2">
      <c r="A2412" s="3">
        <v>2409</v>
      </c>
      <c r="B2412" s="3" t="s">
        <v>3925</v>
      </c>
      <c r="C2412" s="3" t="s">
        <v>3926</v>
      </c>
      <c r="D2412" s="3" t="s">
        <v>3926</v>
      </c>
      <c r="E2412" s="1"/>
      <c r="F2412" s="8" t="s">
        <v>66</v>
      </c>
    </row>
    <row r="2413" spans="1:6" x14ac:dyDescent="0.2">
      <c r="A2413" s="3">
        <v>2410</v>
      </c>
      <c r="B2413" s="3" t="s">
        <v>3927</v>
      </c>
      <c r="C2413" s="3" t="s">
        <v>3928</v>
      </c>
      <c r="D2413" s="3" t="s">
        <v>3928</v>
      </c>
      <c r="E2413" s="1"/>
      <c r="F2413" s="8" t="s">
        <v>66</v>
      </c>
    </row>
    <row r="2414" spans="1:6" x14ac:dyDescent="0.2">
      <c r="A2414" s="3">
        <v>2411</v>
      </c>
      <c r="B2414" s="3" t="s">
        <v>3929</v>
      </c>
      <c r="C2414" s="3" t="s">
        <v>3930</v>
      </c>
      <c r="D2414" s="3" t="s">
        <v>3930</v>
      </c>
      <c r="E2414" s="1"/>
      <c r="F2414" s="8" t="s">
        <v>66</v>
      </c>
    </row>
    <row r="2415" spans="1:6" x14ac:dyDescent="0.2">
      <c r="A2415" s="3">
        <v>2412</v>
      </c>
      <c r="B2415" s="3" t="s">
        <v>3931</v>
      </c>
      <c r="C2415" s="3" t="s">
        <v>3930</v>
      </c>
      <c r="D2415" s="3" t="s">
        <v>3930</v>
      </c>
      <c r="E2415" s="1"/>
      <c r="F2415" s="8" t="s">
        <v>66</v>
      </c>
    </row>
    <row r="2416" spans="1:6" x14ac:dyDescent="0.2">
      <c r="A2416" s="3">
        <v>2413</v>
      </c>
      <c r="B2416" s="3" t="s">
        <v>3932</v>
      </c>
      <c r="C2416" s="3" t="s">
        <v>3930</v>
      </c>
      <c r="D2416" s="3" t="s">
        <v>3930</v>
      </c>
      <c r="E2416" s="1"/>
      <c r="F2416" s="8" t="s">
        <v>66</v>
      </c>
    </row>
    <row r="2417" spans="1:6" x14ac:dyDescent="0.2">
      <c r="A2417" s="3">
        <v>2414</v>
      </c>
      <c r="B2417" s="3" t="s">
        <v>3933</v>
      </c>
      <c r="C2417" s="3" t="s">
        <v>3930</v>
      </c>
      <c r="D2417" s="3" t="s">
        <v>3930</v>
      </c>
      <c r="E2417" s="1"/>
      <c r="F2417" s="8" t="s">
        <v>66</v>
      </c>
    </row>
    <row r="2418" spans="1:6" x14ac:dyDescent="0.2">
      <c r="A2418" s="3">
        <v>2415</v>
      </c>
      <c r="B2418" s="3" t="s">
        <v>3934</v>
      </c>
      <c r="C2418" s="3" t="s">
        <v>3935</v>
      </c>
      <c r="D2418" s="3" t="s">
        <v>3935</v>
      </c>
      <c r="E2418" s="1"/>
      <c r="F2418" s="8" t="s">
        <v>66</v>
      </c>
    </row>
    <row r="2419" spans="1:6" x14ac:dyDescent="0.2">
      <c r="A2419" s="3">
        <v>2416</v>
      </c>
      <c r="B2419" s="3" t="s">
        <v>3936</v>
      </c>
      <c r="C2419" s="3" t="s">
        <v>3937</v>
      </c>
      <c r="D2419" s="3" t="s">
        <v>3937</v>
      </c>
      <c r="E2419" s="1"/>
      <c r="F2419" s="8" t="s">
        <v>66</v>
      </c>
    </row>
    <row r="2420" spans="1:6" x14ac:dyDescent="0.2">
      <c r="A2420" s="3">
        <v>2417</v>
      </c>
      <c r="B2420" s="3" t="s">
        <v>3938</v>
      </c>
      <c r="C2420" s="3" t="s">
        <v>3939</v>
      </c>
      <c r="D2420" s="3" t="s">
        <v>3939</v>
      </c>
      <c r="E2420" s="1"/>
      <c r="F2420" s="8" t="s">
        <v>66</v>
      </c>
    </row>
    <row r="2421" spans="1:6" x14ac:dyDescent="0.2">
      <c r="A2421" s="3">
        <v>2418</v>
      </c>
      <c r="B2421" s="3" t="s">
        <v>3940</v>
      </c>
      <c r="C2421" s="3" t="s">
        <v>3939</v>
      </c>
      <c r="D2421" s="3" t="s">
        <v>3939</v>
      </c>
      <c r="E2421" s="1"/>
      <c r="F2421" s="8" t="s">
        <v>66</v>
      </c>
    </row>
    <row r="2422" spans="1:6" x14ac:dyDescent="0.2">
      <c r="A2422" s="3">
        <v>2419</v>
      </c>
      <c r="B2422" s="3" t="s">
        <v>3941</v>
      </c>
      <c r="C2422" s="3" t="s">
        <v>3941</v>
      </c>
      <c r="D2422" s="3" t="s">
        <v>3941</v>
      </c>
      <c r="E2422" s="1" t="s">
        <v>3942</v>
      </c>
      <c r="F2422" s="8" t="s">
        <v>66</v>
      </c>
    </row>
    <row r="2423" spans="1:6" x14ac:dyDescent="0.2">
      <c r="A2423" s="3">
        <v>2420</v>
      </c>
      <c r="B2423" s="3" t="s">
        <v>3943</v>
      </c>
      <c r="C2423" s="3" t="s">
        <v>3944</v>
      </c>
      <c r="D2423" s="3" t="s">
        <v>3944</v>
      </c>
      <c r="E2423" s="1"/>
      <c r="F2423" s="8" t="s">
        <v>66</v>
      </c>
    </row>
    <row r="2424" spans="1:6" x14ac:dyDescent="0.2">
      <c r="A2424" s="3">
        <v>2421</v>
      </c>
      <c r="B2424" s="3" t="s">
        <v>3945</v>
      </c>
      <c r="C2424" s="3" t="s">
        <v>3946</v>
      </c>
      <c r="D2424" s="3" t="s">
        <v>3946</v>
      </c>
      <c r="E2424" s="1"/>
      <c r="F2424" s="8" t="s">
        <v>66</v>
      </c>
    </row>
    <row r="2425" spans="1:6" x14ac:dyDescent="0.2">
      <c r="A2425" s="3">
        <v>2422</v>
      </c>
      <c r="B2425" s="3" t="s">
        <v>3947</v>
      </c>
      <c r="C2425" s="3" t="s">
        <v>3948</v>
      </c>
      <c r="D2425" s="3" t="s">
        <v>3948</v>
      </c>
      <c r="E2425" s="1"/>
      <c r="F2425" s="8" t="s">
        <v>66</v>
      </c>
    </row>
    <row r="2426" spans="1:6" x14ac:dyDescent="0.2">
      <c r="A2426" s="3">
        <v>2423</v>
      </c>
      <c r="B2426" s="3" t="s">
        <v>3949</v>
      </c>
      <c r="C2426" s="3" t="s">
        <v>3948</v>
      </c>
      <c r="D2426" s="3" t="s">
        <v>3948</v>
      </c>
      <c r="E2426" s="1"/>
      <c r="F2426" s="8" t="s">
        <v>66</v>
      </c>
    </row>
    <row r="2427" spans="1:6" x14ac:dyDescent="0.2">
      <c r="A2427" s="3">
        <v>2424</v>
      </c>
      <c r="B2427" s="3" t="s">
        <v>3950</v>
      </c>
      <c r="C2427" s="3" t="s">
        <v>3951</v>
      </c>
      <c r="D2427" s="3" t="s">
        <v>3951</v>
      </c>
      <c r="E2427" s="1"/>
      <c r="F2427" s="8" t="s">
        <v>66</v>
      </c>
    </row>
    <row r="2428" spans="1:6" x14ac:dyDescent="0.2">
      <c r="A2428" s="3">
        <v>2425</v>
      </c>
      <c r="B2428" s="3" t="s">
        <v>3952</v>
      </c>
      <c r="C2428" s="3" t="s">
        <v>3951</v>
      </c>
      <c r="D2428" s="3" t="s">
        <v>3951</v>
      </c>
      <c r="E2428" s="1"/>
      <c r="F2428" s="8" t="s">
        <v>66</v>
      </c>
    </row>
    <row r="2429" spans="1:6" x14ac:dyDescent="0.2">
      <c r="A2429" s="3">
        <v>2426</v>
      </c>
      <c r="B2429" s="3" t="s">
        <v>3953</v>
      </c>
      <c r="C2429" s="3" t="s">
        <v>3954</v>
      </c>
      <c r="D2429" s="3" t="s">
        <v>3954</v>
      </c>
      <c r="E2429" s="1"/>
      <c r="F2429" s="8" t="s">
        <v>66</v>
      </c>
    </row>
    <row r="2430" spans="1:6" x14ac:dyDescent="0.2">
      <c r="A2430" s="3">
        <v>2427</v>
      </c>
      <c r="B2430" s="3" t="s">
        <v>3955</v>
      </c>
      <c r="C2430" s="3" t="s">
        <v>3956</v>
      </c>
      <c r="D2430" s="3" t="s">
        <v>3956</v>
      </c>
      <c r="E2430" s="1"/>
      <c r="F2430" s="8" t="s">
        <v>66</v>
      </c>
    </row>
    <row r="2431" spans="1:6" x14ac:dyDescent="0.2">
      <c r="A2431" s="3">
        <v>2428</v>
      </c>
      <c r="B2431" s="3" t="s">
        <v>3957</v>
      </c>
      <c r="C2431" s="3" t="s">
        <v>3956</v>
      </c>
      <c r="D2431" s="3" t="s">
        <v>3956</v>
      </c>
      <c r="E2431" s="1"/>
      <c r="F2431" s="8" t="s">
        <v>66</v>
      </c>
    </row>
    <row r="2432" spans="1:6" x14ac:dyDescent="0.2">
      <c r="A2432" s="3">
        <v>2429</v>
      </c>
      <c r="B2432" s="3" t="s">
        <v>3958</v>
      </c>
      <c r="C2432" s="3" t="s">
        <v>3959</v>
      </c>
      <c r="D2432" s="3" t="s">
        <v>3959</v>
      </c>
      <c r="E2432" s="1"/>
      <c r="F2432" s="8" t="s">
        <v>66</v>
      </c>
    </row>
    <row r="2433" spans="1:6" x14ac:dyDescent="0.2">
      <c r="A2433" s="3">
        <v>2430</v>
      </c>
      <c r="B2433" s="3" t="s">
        <v>3960</v>
      </c>
      <c r="C2433" s="3" t="s">
        <v>3959</v>
      </c>
      <c r="D2433" s="3" t="s">
        <v>3959</v>
      </c>
      <c r="E2433" s="1"/>
      <c r="F2433" s="8" t="s">
        <v>66</v>
      </c>
    </row>
    <row r="2434" spans="1:6" x14ac:dyDescent="0.2">
      <c r="A2434" s="3">
        <v>2431</v>
      </c>
      <c r="B2434" s="3" t="s">
        <v>3961</v>
      </c>
      <c r="C2434" s="3" t="s">
        <v>3962</v>
      </c>
      <c r="D2434" s="3" t="s">
        <v>3962</v>
      </c>
      <c r="E2434" s="1"/>
      <c r="F2434" s="8" t="s">
        <v>66</v>
      </c>
    </row>
    <row r="2435" spans="1:6" x14ac:dyDescent="0.2">
      <c r="A2435" s="3">
        <v>2432</v>
      </c>
      <c r="B2435" s="3" t="s">
        <v>3963</v>
      </c>
      <c r="C2435" s="3" t="s">
        <v>3964</v>
      </c>
      <c r="D2435" s="3" t="s">
        <v>3964</v>
      </c>
      <c r="E2435" s="1"/>
      <c r="F2435" s="8" t="s">
        <v>66</v>
      </c>
    </row>
    <row r="2436" spans="1:6" x14ac:dyDescent="0.2">
      <c r="A2436" s="3">
        <v>2433</v>
      </c>
      <c r="B2436" s="3" t="s">
        <v>3965</v>
      </c>
      <c r="C2436" s="3" t="s">
        <v>3964</v>
      </c>
      <c r="D2436" s="3" t="s">
        <v>3964</v>
      </c>
      <c r="E2436" s="1"/>
      <c r="F2436" s="8" t="s">
        <v>66</v>
      </c>
    </row>
    <row r="2437" spans="1:6" x14ac:dyDescent="0.2">
      <c r="A2437" s="3">
        <v>2434</v>
      </c>
      <c r="B2437" s="3" t="s">
        <v>3966</v>
      </c>
      <c r="C2437" s="3" t="s">
        <v>3967</v>
      </c>
      <c r="D2437" s="3" t="s">
        <v>3967</v>
      </c>
      <c r="E2437" s="1"/>
      <c r="F2437" s="8" t="s">
        <v>66</v>
      </c>
    </row>
    <row r="2438" spans="1:6" x14ac:dyDescent="0.2">
      <c r="A2438" s="3">
        <v>2435</v>
      </c>
      <c r="B2438" s="3" t="s">
        <v>3968</v>
      </c>
      <c r="C2438" s="3" t="s">
        <v>3967</v>
      </c>
      <c r="D2438" s="3" t="s">
        <v>3967</v>
      </c>
      <c r="E2438" s="1"/>
      <c r="F2438" s="8" t="s">
        <v>66</v>
      </c>
    </row>
    <row r="2439" spans="1:6" x14ac:dyDescent="0.2">
      <c r="A2439" s="3">
        <v>2436</v>
      </c>
      <c r="B2439" s="3" t="s">
        <v>3969</v>
      </c>
      <c r="C2439" s="3" t="s">
        <v>3970</v>
      </c>
      <c r="D2439" s="3" t="s">
        <v>3970</v>
      </c>
      <c r="E2439" s="1"/>
      <c r="F2439" s="8" t="s">
        <v>66</v>
      </c>
    </row>
    <row r="2440" spans="1:6" x14ac:dyDescent="0.2">
      <c r="A2440" s="3">
        <v>2437</v>
      </c>
      <c r="B2440" s="3" t="s">
        <v>3971</v>
      </c>
      <c r="C2440" s="3" t="s">
        <v>3972</v>
      </c>
      <c r="D2440" s="3" t="s">
        <v>3972</v>
      </c>
      <c r="E2440" s="1"/>
      <c r="F2440" s="8" t="s">
        <v>66</v>
      </c>
    </row>
    <row r="2441" spans="1:6" x14ac:dyDescent="0.2">
      <c r="A2441" s="3">
        <v>2438</v>
      </c>
      <c r="B2441" s="3" t="s">
        <v>3973</v>
      </c>
      <c r="C2441" s="3" t="s">
        <v>3974</v>
      </c>
      <c r="D2441" s="3" t="s">
        <v>3974</v>
      </c>
      <c r="E2441" s="1"/>
      <c r="F2441" s="8" t="s">
        <v>66</v>
      </c>
    </row>
    <row r="2442" spans="1:6" x14ac:dyDescent="0.2">
      <c r="A2442" s="3">
        <v>2439</v>
      </c>
      <c r="B2442" s="3" t="s">
        <v>3975</v>
      </c>
      <c r="C2442" s="3" t="s">
        <v>3976</v>
      </c>
      <c r="D2442" s="3" t="s">
        <v>3976</v>
      </c>
      <c r="E2442" s="1"/>
      <c r="F2442" s="8" t="s">
        <v>66</v>
      </c>
    </row>
    <row r="2443" spans="1:6" x14ac:dyDescent="0.2">
      <c r="A2443" s="3">
        <v>2440</v>
      </c>
      <c r="B2443" s="3" t="s">
        <v>3977</v>
      </c>
      <c r="C2443" s="3" t="s">
        <v>3978</v>
      </c>
      <c r="D2443" s="3" t="s">
        <v>3978</v>
      </c>
      <c r="E2443" s="1"/>
      <c r="F2443" s="8" t="s">
        <v>66</v>
      </c>
    </row>
    <row r="2444" spans="1:6" x14ac:dyDescent="0.2">
      <c r="A2444" s="3">
        <v>2441</v>
      </c>
      <c r="B2444" s="3" t="s">
        <v>3979</v>
      </c>
      <c r="C2444" s="3" t="s">
        <v>3978</v>
      </c>
      <c r="D2444" s="3" t="s">
        <v>3978</v>
      </c>
      <c r="E2444" s="1"/>
      <c r="F2444" s="8" t="s">
        <v>66</v>
      </c>
    </row>
    <row r="2445" spans="1:6" x14ac:dyDescent="0.2">
      <c r="A2445" s="3">
        <v>2442</v>
      </c>
      <c r="B2445" s="3" t="s">
        <v>3980</v>
      </c>
      <c r="C2445" s="3" t="s">
        <v>3978</v>
      </c>
      <c r="D2445" s="3" t="s">
        <v>3978</v>
      </c>
      <c r="E2445" s="1"/>
      <c r="F2445" s="8" t="s">
        <v>66</v>
      </c>
    </row>
    <row r="2446" spans="1:6" x14ac:dyDescent="0.2">
      <c r="A2446" s="3">
        <v>2443</v>
      </c>
      <c r="B2446" s="3" t="s">
        <v>3981</v>
      </c>
      <c r="C2446" s="3" t="s">
        <v>3982</v>
      </c>
      <c r="D2446" s="3" t="s">
        <v>3982</v>
      </c>
      <c r="E2446" s="1"/>
      <c r="F2446" s="8" t="s">
        <v>66</v>
      </c>
    </row>
    <row r="2447" spans="1:6" x14ac:dyDescent="0.2">
      <c r="A2447" s="3">
        <v>2444</v>
      </c>
      <c r="B2447" s="3" t="s">
        <v>3983</v>
      </c>
      <c r="C2447" s="3" t="s">
        <v>3984</v>
      </c>
      <c r="D2447" s="3" t="s">
        <v>3984</v>
      </c>
      <c r="E2447" s="1"/>
      <c r="F2447" s="8" t="s">
        <v>66</v>
      </c>
    </row>
    <row r="2448" spans="1:6" x14ac:dyDescent="0.2">
      <c r="A2448" s="3">
        <v>2445</v>
      </c>
      <c r="B2448" s="3" t="s">
        <v>3985</v>
      </c>
      <c r="C2448" s="3" t="s">
        <v>3984</v>
      </c>
      <c r="D2448" s="3" t="s">
        <v>3984</v>
      </c>
      <c r="E2448" s="1"/>
      <c r="F2448" s="8" t="s">
        <v>66</v>
      </c>
    </row>
    <row r="2449" spans="1:6" x14ac:dyDescent="0.2">
      <c r="A2449" s="3">
        <v>2446</v>
      </c>
      <c r="B2449" s="3" t="s">
        <v>3986</v>
      </c>
      <c r="C2449" s="3" t="s">
        <v>3987</v>
      </c>
      <c r="D2449" s="3" t="s">
        <v>3987</v>
      </c>
      <c r="E2449" s="1"/>
      <c r="F2449" s="8" t="s">
        <v>66</v>
      </c>
    </row>
    <row r="2450" spans="1:6" x14ac:dyDescent="0.2">
      <c r="A2450" s="3">
        <v>2447</v>
      </c>
      <c r="B2450" s="3" t="s">
        <v>3988</v>
      </c>
      <c r="C2450" s="3" t="s">
        <v>3987</v>
      </c>
      <c r="D2450" s="3" t="s">
        <v>3987</v>
      </c>
      <c r="E2450" s="1"/>
      <c r="F2450" s="8" t="s">
        <v>66</v>
      </c>
    </row>
    <row r="2451" spans="1:6" x14ac:dyDescent="0.2">
      <c r="A2451" s="3">
        <v>2448</v>
      </c>
      <c r="B2451" s="3" t="s">
        <v>3989</v>
      </c>
      <c r="C2451" s="3" t="s">
        <v>3990</v>
      </c>
      <c r="D2451" s="3" t="s">
        <v>3990</v>
      </c>
      <c r="E2451" s="1"/>
      <c r="F2451" s="8" t="s">
        <v>66</v>
      </c>
    </row>
    <row r="2452" spans="1:6" x14ac:dyDescent="0.2">
      <c r="A2452" s="3">
        <v>2449</v>
      </c>
      <c r="B2452" s="3" t="s">
        <v>3991</v>
      </c>
      <c r="C2452" s="3" t="s">
        <v>3992</v>
      </c>
      <c r="D2452" s="3" t="s">
        <v>3992</v>
      </c>
      <c r="E2452" s="1"/>
      <c r="F2452" s="8" t="s">
        <v>66</v>
      </c>
    </row>
    <row r="2453" spans="1:6" x14ac:dyDescent="0.2">
      <c r="A2453" s="3">
        <v>2450</v>
      </c>
      <c r="B2453" s="3" t="s">
        <v>3993</v>
      </c>
      <c r="C2453" s="3" t="s">
        <v>3994</v>
      </c>
      <c r="D2453" s="3" t="s">
        <v>3994</v>
      </c>
      <c r="E2453" s="1"/>
      <c r="F2453" s="8" t="s">
        <v>66</v>
      </c>
    </row>
    <row r="2454" spans="1:6" x14ac:dyDescent="0.2">
      <c r="A2454" s="3">
        <v>2451</v>
      </c>
      <c r="B2454" s="3" t="s">
        <v>3995</v>
      </c>
      <c r="C2454" s="3" t="s">
        <v>3996</v>
      </c>
      <c r="D2454" s="3" t="s">
        <v>3996</v>
      </c>
      <c r="E2454" s="1"/>
      <c r="F2454" s="8" t="s">
        <v>66</v>
      </c>
    </row>
    <row r="2455" spans="1:6" x14ac:dyDescent="0.2">
      <c r="A2455" s="3">
        <v>2452</v>
      </c>
      <c r="B2455" s="3" t="s">
        <v>3997</v>
      </c>
      <c r="C2455" s="3" t="s">
        <v>3998</v>
      </c>
      <c r="D2455" s="3" t="s">
        <v>3998</v>
      </c>
      <c r="E2455" s="1"/>
      <c r="F2455" s="8" t="s">
        <v>66</v>
      </c>
    </row>
    <row r="2456" spans="1:6" x14ac:dyDescent="0.2">
      <c r="A2456" s="3">
        <v>2453</v>
      </c>
      <c r="B2456" s="3" t="s">
        <v>3999</v>
      </c>
      <c r="C2456" s="3" t="s">
        <v>4000</v>
      </c>
      <c r="D2456" s="3" t="s">
        <v>4000</v>
      </c>
      <c r="E2456" s="1"/>
      <c r="F2456" s="8" t="s">
        <v>66</v>
      </c>
    </row>
    <row r="2457" spans="1:6" x14ac:dyDescent="0.2">
      <c r="A2457" s="3">
        <v>2454</v>
      </c>
      <c r="B2457" s="3" t="s">
        <v>4001</v>
      </c>
      <c r="C2457" s="3" t="s">
        <v>4002</v>
      </c>
      <c r="D2457" s="3" t="s">
        <v>4002</v>
      </c>
      <c r="E2457" s="1"/>
      <c r="F2457" s="8" t="s">
        <v>66</v>
      </c>
    </row>
    <row r="2458" spans="1:6" x14ac:dyDescent="0.2">
      <c r="A2458" s="3">
        <v>2455</v>
      </c>
      <c r="B2458" s="3" t="s">
        <v>4003</v>
      </c>
      <c r="C2458" s="3" t="s">
        <v>4004</v>
      </c>
      <c r="D2458" s="3" t="s">
        <v>4004</v>
      </c>
      <c r="E2458" s="1"/>
      <c r="F2458" s="8" t="s">
        <v>66</v>
      </c>
    </row>
    <row r="2459" spans="1:6" x14ac:dyDescent="0.2">
      <c r="A2459" s="3">
        <v>2456</v>
      </c>
      <c r="B2459" s="3" t="s">
        <v>4005</v>
      </c>
      <c r="C2459" s="3" t="s">
        <v>4006</v>
      </c>
      <c r="D2459" s="3" t="s">
        <v>4006</v>
      </c>
      <c r="E2459" s="1"/>
      <c r="F2459" s="8" t="s">
        <v>66</v>
      </c>
    </row>
    <row r="2460" spans="1:6" x14ac:dyDescent="0.2">
      <c r="A2460" s="3">
        <v>2457</v>
      </c>
      <c r="B2460" s="3" t="s">
        <v>4007</v>
      </c>
      <c r="C2460" s="3" t="s">
        <v>4008</v>
      </c>
      <c r="D2460" s="3" t="s">
        <v>4008</v>
      </c>
      <c r="E2460" s="1"/>
      <c r="F2460" s="8" t="s">
        <v>66</v>
      </c>
    </row>
    <row r="2461" spans="1:6" x14ac:dyDescent="0.2">
      <c r="A2461" s="3">
        <v>2458</v>
      </c>
      <c r="B2461" s="3" t="s">
        <v>4009</v>
      </c>
      <c r="C2461" s="3" t="s">
        <v>4010</v>
      </c>
      <c r="D2461" s="3" t="s">
        <v>4010</v>
      </c>
      <c r="E2461" s="1"/>
      <c r="F2461" s="8" t="s">
        <v>66</v>
      </c>
    </row>
    <row r="2462" spans="1:6" x14ac:dyDescent="0.2">
      <c r="A2462" s="3">
        <v>2459</v>
      </c>
      <c r="B2462" s="3" t="s">
        <v>4011</v>
      </c>
      <c r="C2462" s="3" t="s">
        <v>4012</v>
      </c>
      <c r="D2462" s="3" t="s">
        <v>4012</v>
      </c>
      <c r="E2462" s="1"/>
      <c r="F2462" s="8" t="s">
        <v>66</v>
      </c>
    </row>
    <row r="2463" spans="1:6" x14ac:dyDescent="0.2">
      <c r="A2463" s="3">
        <v>2460</v>
      </c>
      <c r="B2463" s="3" t="s">
        <v>4013</v>
      </c>
      <c r="C2463" s="3" t="s">
        <v>4014</v>
      </c>
      <c r="D2463" s="3" t="s">
        <v>4014</v>
      </c>
      <c r="E2463" s="1"/>
      <c r="F2463" s="8" t="s">
        <v>66</v>
      </c>
    </row>
    <row r="2464" spans="1:6" x14ac:dyDescent="0.2">
      <c r="A2464" s="3">
        <v>2461</v>
      </c>
      <c r="B2464" s="3" t="s">
        <v>4015</v>
      </c>
      <c r="C2464" s="3" t="s">
        <v>4014</v>
      </c>
      <c r="D2464" s="3" t="s">
        <v>4014</v>
      </c>
      <c r="E2464" s="1"/>
      <c r="F2464" s="8" t="s">
        <v>66</v>
      </c>
    </row>
    <row r="2465" spans="1:6" x14ac:dyDescent="0.2">
      <c r="A2465" s="3">
        <v>2462</v>
      </c>
      <c r="B2465" s="3" t="s">
        <v>4016</v>
      </c>
      <c r="C2465" s="3" t="s">
        <v>4017</v>
      </c>
      <c r="D2465" s="3" t="s">
        <v>4017</v>
      </c>
      <c r="E2465" s="1"/>
      <c r="F2465" s="8" t="s">
        <v>66</v>
      </c>
    </row>
    <row r="2466" spans="1:6" x14ac:dyDescent="0.2">
      <c r="A2466" s="3">
        <v>2463</v>
      </c>
      <c r="B2466" s="3" t="s">
        <v>4018</v>
      </c>
      <c r="C2466" s="3" t="s">
        <v>4019</v>
      </c>
      <c r="D2466" s="3" t="s">
        <v>4019</v>
      </c>
      <c r="E2466" s="1"/>
      <c r="F2466" s="8" t="s">
        <v>66</v>
      </c>
    </row>
    <row r="2467" spans="1:6" x14ac:dyDescent="0.2">
      <c r="A2467" s="3">
        <v>2464</v>
      </c>
      <c r="B2467" s="3" t="s">
        <v>4020</v>
      </c>
      <c r="C2467" s="3" t="s">
        <v>4021</v>
      </c>
      <c r="D2467" s="3" t="s">
        <v>4021</v>
      </c>
      <c r="E2467" s="1"/>
      <c r="F2467" s="8" t="s">
        <v>66</v>
      </c>
    </row>
    <row r="2468" spans="1:6" x14ac:dyDescent="0.2">
      <c r="A2468" s="3">
        <v>2465</v>
      </c>
      <c r="B2468" s="3" t="s">
        <v>4022</v>
      </c>
      <c r="C2468" s="3" t="s">
        <v>4023</v>
      </c>
      <c r="D2468" s="3" t="s">
        <v>4023</v>
      </c>
      <c r="E2468" s="1"/>
      <c r="F2468" s="8" t="s">
        <v>66</v>
      </c>
    </row>
    <row r="2469" spans="1:6" x14ac:dyDescent="0.2">
      <c r="A2469" s="3">
        <v>2466</v>
      </c>
      <c r="B2469" s="3" t="s">
        <v>4024</v>
      </c>
      <c r="C2469" s="3" t="s">
        <v>4023</v>
      </c>
      <c r="D2469" s="3" t="s">
        <v>4023</v>
      </c>
      <c r="E2469" s="1"/>
      <c r="F2469" s="8" t="s">
        <v>66</v>
      </c>
    </row>
    <row r="2470" spans="1:6" x14ac:dyDescent="0.2">
      <c r="A2470" s="3">
        <v>2467</v>
      </c>
      <c r="B2470" s="3" t="s">
        <v>4025</v>
      </c>
      <c r="C2470" s="3" t="s">
        <v>4023</v>
      </c>
      <c r="D2470" s="3" t="s">
        <v>4023</v>
      </c>
      <c r="E2470" s="1"/>
      <c r="F2470" s="8" t="s">
        <v>66</v>
      </c>
    </row>
    <row r="2471" spans="1:6" x14ac:dyDescent="0.2">
      <c r="A2471" s="3">
        <v>2468</v>
      </c>
      <c r="B2471" s="3" t="s">
        <v>4026</v>
      </c>
      <c r="C2471" s="3" t="s">
        <v>4027</v>
      </c>
      <c r="D2471" s="3" t="s">
        <v>4027</v>
      </c>
      <c r="E2471" s="1"/>
      <c r="F2471" s="8" t="s">
        <v>66</v>
      </c>
    </row>
    <row r="2472" spans="1:6" x14ac:dyDescent="0.2">
      <c r="A2472" s="3">
        <v>2469</v>
      </c>
      <c r="B2472" s="3" t="s">
        <v>4028</v>
      </c>
      <c r="C2472" s="3" t="s">
        <v>4027</v>
      </c>
      <c r="D2472" s="3" t="s">
        <v>4027</v>
      </c>
      <c r="E2472" s="1"/>
      <c r="F2472" s="8" t="s">
        <v>66</v>
      </c>
    </row>
    <row r="2473" spans="1:6" x14ac:dyDescent="0.2">
      <c r="A2473" s="3">
        <v>2470</v>
      </c>
      <c r="B2473" s="3" t="s">
        <v>4029</v>
      </c>
      <c r="C2473" s="3" t="s">
        <v>4030</v>
      </c>
      <c r="D2473" s="3" t="s">
        <v>4030</v>
      </c>
      <c r="E2473" s="1"/>
      <c r="F2473" s="8" t="s">
        <v>66</v>
      </c>
    </row>
    <row r="2474" spans="1:6" x14ac:dyDescent="0.2">
      <c r="A2474" s="3">
        <v>2471</v>
      </c>
      <c r="B2474" s="3" t="s">
        <v>4031</v>
      </c>
      <c r="C2474" s="3" t="s">
        <v>1930</v>
      </c>
      <c r="D2474" s="3" t="s">
        <v>1930</v>
      </c>
      <c r="E2474" s="1"/>
      <c r="F2474" s="8" t="s">
        <v>66</v>
      </c>
    </row>
    <row r="2475" spans="1:6" x14ac:dyDescent="0.2">
      <c r="A2475" s="3">
        <v>2472</v>
      </c>
      <c r="B2475" s="3" t="s">
        <v>4032</v>
      </c>
      <c r="C2475" s="3" t="s">
        <v>4033</v>
      </c>
      <c r="D2475" s="3" t="s">
        <v>4033</v>
      </c>
      <c r="E2475" s="1"/>
      <c r="F2475" s="8" t="s">
        <v>66</v>
      </c>
    </row>
    <row r="2476" spans="1:6" x14ac:dyDescent="0.2">
      <c r="A2476" s="3">
        <v>2473</v>
      </c>
      <c r="B2476" s="3" t="s">
        <v>4034</v>
      </c>
      <c r="C2476" s="3" t="s">
        <v>4033</v>
      </c>
      <c r="D2476" s="3" t="s">
        <v>4033</v>
      </c>
      <c r="E2476" s="1"/>
      <c r="F2476" s="8" t="s">
        <v>66</v>
      </c>
    </row>
    <row r="2477" spans="1:6" x14ac:dyDescent="0.2">
      <c r="A2477" s="3">
        <v>2474</v>
      </c>
      <c r="B2477" s="3" t="s">
        <v>4035</v>
      </c>
      <c r="C2477" s="3" t="s">
        <v>4036</v>
      </c>
      <c r="D2477" s="3" t="s">
        <v>4036</v>
      </c>
      <c r="E2477" s="1"/>
      <c r="F2477" s="8" t="s">
        <v>66</v>
      </c>
    </row>
    <row r="2478" spans="1:6" x14ac:dyDescent="0.2">
      <c r="A2478" s="3">
        <v>2475</v>
      </c>
      <c r="B2478" s="3" t="s">
        <v>4037</v>
      </c>
      <c r="C2478" s="3" t="s">
        <v>4036</v>
      </c>
      <c r="D2478" s="3" t="s">
        <v>4036</v>
      </c>
      <c r="E2478" s="1"/>
      <c r="F2478" s="8" t="s">
        <v>66</v>
      </c>
    </row>
    <row r="2479" spans="1:6" x14ac:dyDescent="0.2">
      <c r="A2479" s="3">
        <v>2476</v>
      </c>
      <c r="B2479" s="3" t="s">
        <v>4038</v>
      </c>
      <c r="C2479" s="3" t="s">
        <v>4039</v>
      </c>
      <c r="D2479" s="3" t="s">
        <v>4039</v>
      </c>
      <c r="E2479" s="1"/>
      <c r="F2479" s="8" t="s">
        <v>66</v>
      </c>
    </row>
    <row r="2480" spans="1:6" x14ac:dyDescent="0.2">
      <c r="A2480" s="3">
        <v>2477</v>
      </c>
      <c r="B2480" s="3" t="s">
        <v>4040</v>
      </c>
      <c r="C2480" s="3" t="s">
        <v>4041</v>
      </c>
      <c r="D2480" s="3" t="s">
        <v>4041</v>
      </c>
      <c r="E2480" s="1"/>
      <c r="F2480" s="8" t="s">
        <v>66</v>
      </c>
    </row>
    <row r="2481" spans="1:6" x14ac:dyDescent="0.2">
      <c r="A2481" s="3">
        <v>2478</v>
      </c>
      <c r="B2481" s="3" t="s">
        <v>4042</v>
      </c>
      <c r="C2481" s="3" t="s">
        <v>4043</v>
      </c>
      <c r="D2481" s="3" t="s">
        <v>4043</v>
      </c>
      <c r="E2481" s="1"/>
      <c r="F2481" s="8" t="s">
        <v>66</v>
      </c>
    </row>
    <row r="2482" spans="1:6" x14ac:dyDescent="0.2">
      <c r="A2482" s="3">
        <v>2609</v>
      </c>
      <c r="B2482" s="3" t="s">
        <v>4044</v>
      </c>
      <c r="C2482" s="3" t="s">
        <v>4044</v>
      </c>
      <c r="D2482" s="3" t="s">
        <v>4044</v>
      </c>
      <c r="E2482" s="1"/>
      <c r="F2482" s="8" t="s">
        <v>66</v>
      </c>
    </row>
    <row r="2483" spans="1:6" x14ac:dyDescent="0.2">
      <c r="A2483" s="3">
        <v>2479</v>
      </c>
      <c r="B2483" s="3" t="s">
        <v>4045</v>
      </c>
      <c r="C2483" s="3" t="s">
        <v>4046</v>
      </c>
      <c r="D2483" s="3" t="s">
        <v>4046</v>
      </c>
      <c r="E2483" s="1"/>
      <c r="F2483" s="8" t="s">
        <v>66</v>
      </c>
    </row>
    <row r="2484" spans="1:6" x14ac:dyDescent="0.2">
      <c r="A2484" s="3">
        <v>2480</v>
      </c>
      <c r="B2484" s="3" t="s">
        <v>4047</v>
      </c>
      <c r="C2484" s="3" t="s">
        <v>4046</v>
      </c>
      <c r="D2484" s="3" t="s">
        <v>4046</v>
      </c>
      <c r="E2484" s="1"/>
      <c r="F2484" s="8" t="s">
        <v>66</v>
      </c>
    </row>
    <row r="2485" spans="1:6" x14ac:dyDescent="0.2">
      <c r="A2485" s="3">
        <v>2481</v>
      </c>
      <c r="B2485" s="3" t="s">
        <v>4048</v>
      </c>
      <c r="C2485" s="3" t="s">
        <v>4046</v>
      </c>
      <c r="D2485" s="3" t="s">
        <v>4046</v>
      </c>
      <c r="E2485" s="1"/>
      <c r="F2485" s="8" t="s">
        <v>66</v>
      </c>
    </row>
    <row r="2486" spans="1:6" x14ac:dyDescent="0.2">
      <c r="A2486" s="3">
        <v>2482</v>
      </c>
      <c r="B2486" s="3" t="s">
        <v>4049</v>
      </c>
      <c r="C2486" s="3" t="s">
        <v>4050</v>
      </c>
      <c r="D2486" s="3" t="s">
        <v>4050</v>
      </c>
      <c r="E2486" s="1"/>
      <c r="F2486" s="8" t="s">
        <v>66</v>
      </c>
    </row>
    <row r="2487" spans="1:6" x14ac:dyDescent="0.2">
      <c r="A2487" s="3">
        <v>2483</v>
      </c>
      <c r="B2487" s="3" t="s">
        <v>4051</v>
      </c>
      <c r="C2487" s="3" t="s">
        <v>4052</v>
      </c>
      <c r="D2487" s="3" t="s">
        <v>4052</v>
      </c>
      <c r="E2487" s="1"/>
      <c r="F2487" s="8" t="s">
        <v>66</v>
      </c>
    </row>
    <row r="2488" spans="1:6" x14ac:dyDescent="0.2">
      <c r="A2488" s="3">
        <v>2484</v>
      </c>
      <c r="B2488" s="3" t="s">
        <v>4053</v>
      </c>
      <c r="C2488" s="3" t="s">
        <v>4054</v>
      </c>
      <c r="D2488" s="3" t="s">
        <v>4054</v>
      </c>
      <c r="E2488" s="1"/>
      <c r="F2488" s="8" t="s">
        <v>66</v>
      </c>
    </row>
    <row r="2489" spans="1:6" x14ac:dyDescent="0.2">
      <c r="A2489" s="3">
        <v>2485</v>
      </c>
      <c r="B2489" s="3" t="s">
        <v>4055</v>
      </c>
      <c r="C2489" s="3" t="s">
        <v>4056</v>
      </c>
      <c r="D2489" s="3" t="s">
        <v>4056</v>
      </c>
      <c r="E2489" s="1"/>
      <c r="F2489" s="8" t="s">
        <v>66</v>
      </c>
    </row>
    <row r="2490" spans="1:6" x14ac:dyDescent="0.2">
      <c r="A2490" s="3">
        <v>2486</v>
      </c>
      <c r="B2490" s="3" t="s">
        <v>4057</v>
      </c>
      <c r="C2490" s="3" t="s">
        <v>4056</v>
      </c>
      <c r="D2490" s="3" t="s">
        <v>4056</v>
      </c>
      <c r="E2490" s="1"/>
      <c r="F2490" s="8" t="s">
        <v>66</v>
      </c>
    </row>
    <row r="2491" spans="1:6" x14ac:dyDescent="0.2">
      <c r="A2491" s="3">
        <v>2487</v>
      </c>
      <c r="B2491" s="3" t="s">
        <v>4058</v>
      </c>
      <c r="C2491" s="3" t="s">
        <v>4056</v>
      </c>
      <c r="D2491" s="3" t="s">
        <v>4056</v>
      </c>
      <c r="E2491" s="1"/>
      <c r="F2491" s="8" t="s">
        <v>66</v>
      </c>
    </row>
    <row r="2492" spans="1:6" x14ac:dyDescent="0.2">
      <c r="A2492" s="3">
        <v>2488</v>
      </c>
      <c r="B2492" s="3" t="s">
        <v>4059</v>
      </c>
      <c r="C2492" s="3" t="s">
        <v>4060</v>
      </c>
      <c r="D2492" s="3" t="s">
        <v>4060</v>
      </c>
      <c r="E2492" s="1"/>
      <c r="F2492" s="8" t="s">
        <v>66</v>
      </c>
    </row>
    <row r="2493" spans="1:6" x14ac:dyDescent="0.2">
      <c r="A2493" s="3">
        <v>2489</v>
      </c>
      <c r="B2493" s="3" t="s">
        <v>4061</v>
      </c>
      <c r="C2493" s="3" t="s">
        <v>4060</v>
      </c>
      <c r="D2493" s="3" t="s">
        <v>4060</v>
      </c>
      <c r="E2493" s="1"/>
      <c r="F2493" s="8" t="s">
        <v>66</v>
      </c>
    </row>
    <row r="2494" spans="1:6" x14ac:dyDescent="0.2">
      <c r="A2494" s="3">
        <v>2490</v>
      </c>
      <c r="B2494" s="3" t="s">
        <v>4062</v>
      </c>
      <c r="C2494" s="3" t="s">
        <v>4060</v>
      </c>
      <c r="D2494" s="3" t="s">
        <v>4060</v>
      </c>
      <c r="E2494" s="1"/>
      <c r="F2494" s="8" t="s">
        <v>66</v>
      </c>
    </row>
    <row r="2495" spans="1:6" x14ac:dyDescent="0.2">
      <c r="A2495" s="3">
        <v>2491</v>
      </c>
      <c r="B2495" s="3" t="s">
        <v>4063</v>
      </c>
      <c r="C2495" s="3" t="s">
        <v>4060</v>
      </c>
      <c r="D2495" s="3" t="s">
        <v>4060</v>
      </c>
      <c r="E2495" s="1"/>
      <c r="F2495" s="8" t="s">
        <v>66</v>
      </c>
    </row>
    <row r="2496" spans="1:6" x14ac:dyDescent="0.2">
      <c r="A2496" s="3">
        <v>2492</v>
      </c>
      <c r="B2496" s="3" t="s">
        <v>4064</v>
      </c>
      <c r="C2496" s="3" t="s">
        <v>4060</v>
      </c>
      <c r="D2496" s="3" t="s">
        <v>4060</v>
      </c>
      <c r="E2496" s="1"/>
      <c r="F2496" s="8" t="s">
        <v>66</v>
      </c>
    </row>
    <row r="2497" spans="1:6" x14ac:dyDescent="0.2">
      <c r="A2497" s="3">
        <v>2493</v>
      </c>
      <c r="B2497" s="3" t="s">
        <v>4065</v>
      </c>
      <c r="C2497" s="3" t="s">
        <v>4066</v>
      </c>
      <c r="D2497" s="3" t="s">
        <v>4066</v>
      </c>
      <c r="E2497" s="1"/>
      <c r="F2497" s="8" t="s">
        <v>66</v>
      </c>
    </row>
    <row r="2498" spans="1:6" x14ac:dyDescent="0.2">
      <c r="A2498" s="3">
        <v>2494</v>
      </c>
      <c r="B2498" s="3" t="s">
        <v>4067</v>
      </c>
      <c r="C2498" s="3" t="s">
        <v>4068</v>
      </c>
      <c r="D2498" s="3" t="s">
        <v>4068</v>
      </c>
      <c r="E2498" s="1"/>
      <c r="F2498" s="8" t="s">
        <v>66</v>
      </c>
    </row>
    <row r="2499" spans="1:6" x14ac:dyDescent="0.2">
      <c r="A2499" s="3">
        <v>2495</v>
      </c>
      <c r="B2499" s="3" t="s">
        <v>4069</v>
      </c>
      <c r="C2499" s="3" t="s">
        <v>4068</v>
      </c>
      <c r="D2499" s="3" t="s">
        <v>4068</v>
      </c>
      <c r="E2499" s="1"/>
      <c r="F2499" s="8" t="s">
        <v>66</v>
      </c>
    </row>
    <row r="2500" spans="1:6" x14ac:dyDescent="0.2">
      <c r="A2500" s="3">
        <v>2496</v>
      </c>
      <c r="B2500" s="3" t="s">
        <v>4070</v>
      </c>
      <c r="C2500" s="3" t="s">
        <v>4071</v>
      </c>
      <c r="D2500" s="3" t="s">
        <v>4071</v>
      </c>
      <c r="E2500" s="1"/>
      <c r="F2500" s="8" t="s">
        <v>66</v>
      </c>
    </row>
    <row r="2501" spans="1:6" x14ac:dyDescent="0.2">
      <c r="A2501" s="3">
        <v>2497</v>
      </c>
      <c r="B2501" s="3" t="s">
        <v>4072</v>
      </c>
      <c r="C2501" s="3" t="s">
        <v>4071</v>
      </c>
      <c r="D2501" s="3" t="s">
        <v>4071</v>
      </c>
      <c r="E2501" s="1"/>
      <c r="F2501" s="8" t="s">
        <v>66</v>
      </c>
    </row>
    <row r="2502" spans="1:6" x14ac:dyDescent="0.2">
      <c r="A2502" s="3">
        <v>2498</v>
      </c>
      <c r="B2502" s="3" t="s">
        <v>4073</v>
      </c>
      <c r="C2502" s="3" t="s">
        <v>4074</v>
      </c>
      <c r="D2502" s="3" t="s">
        <v>4074</v>
      </c>
      <c r="E2502" s="1"/>
      <c r="F2502" s="8" t="s">
        <v>66</v>
      </c>
    </row>
    <row r="2503" spans="1:6" x14ac:dyDescent="0.2">
      <c r="A2503" s="3">
        <v>2499</v>
      </c>
      <c r="B2503" s="3" t="s">
        <v>4075</v>
      </c>
      <c r="C2503" s="3" t="s">
        <v>4076</v>
      </c>
      <c r="D2503" s="3" t="s">
        <v>4076</v>
      </c>
      <c r="E2503" s="1"/>
      <c r="F2503" s="8" t="s">
        <v>66</v>
      </c>
    </row>
    <row r="2504" spans="1:6" x14ac:dyDescent="0.2">
      <c r="A2504" s="3">
        <v>2500</v>
      </c>
      <c r="B2504" s="3" t="s">
        <v>4077</v>
      </c>
      <c r="C2504" s="3" t="s">
        <v>4078</v>
      </c>
      <c r="D2504" s="3" t="s">
        <v>4078</v>
      </c>
      <c r="E2504" s="1"/>
      <c r="F2504" s="8" t="s">
        <v>66</v>
      </c>
    </row>
    <row r="2505" spans="1:6" x14ac:dyDescent="0.2">
      <c r="A2505" s="3">
        <v>2501</v>
      </c>
      <c r="B2505" s="3" t="s">
        <v>4079</v>
      </c>
      <c r="C2505" s="3" t="s">
        <v>4078</v>
      </c>
      <c r="D2505" s="3" t="s">
        <v>4078</v>
      </c>
      <c r="E2505" s="1"/>
      <c r="F2505" s="8" t="s">
        <v>66</v>
      </c>
    </row>
    <row r="2506" spans="1:6" x14ac:dyDescent="0.2">
      <c r="A2506" s="3">
        <v>2502</v>
      </c>
      <c r="B2506" s="3" t="s">
        <v>4080</v>
      </c>
      <c r="C2506" s="3" t="s">
        <v>4078</v>
      </c>
      <c r="D2506" s="3" t="s">
        <v>4078</v>
      </c>
      <c r="E2506" s="1"/>
      <c r="F2506" s="8" t="s">
        <v>66</v>
      </c>
    </row>
    <row r="2507" spans="1:6" x14ac:dyDescent="0.2">
      <c r="A2507" s="3">
        <v>2503</v>
      </c>
      <c r="B2507" s="3" t="s">
        <v>4081</v>
      </c>
      <c r="C2507" s="3" t="s">
        <v>4082</v>
      </c>
      <c r="D2507" s="3" t="s">
        <v>4082</v>
      </c>
      <c r="E2507" s="1"/>
      <c r="F2507" s="8" t="s">
        <v>66</v>
      </c>
    </row>
    <row r="2508" spans="1:6" x14ac:dyDescent="0.2">
      <c r="A2508" s="3">
        <v>2504</v>
      </c>
      <c r="B2508" s="3" t="s">
        <v>4083</v>
      </c>
      <c r="C2508" s="3" t="s">
        <v>4082</v>
      </c>
      <c r="D2508" s="3" t="s">
        <v>4082</v>
      </c>
      <c r="E2508" s="1"/>
      <c r="F2508" s="8" t="s">
        <v>66</v>
      </c>
    </row>
    <row r="2509" spans="1:6" x14ac:dyDescent="0.2">
      <c r="A2509" s="3">
        <v>2505</v>
      </c>
      <c r="B2509" s="3" t="s">
        <v>4084</v>
      </c>
      <c r="C2509" s="3" t="s">
        <v>4085</v>
      </c>
      <c r="D2509" s="3" t="s">
        <v>4085</v>
      </c>
      <c r="E2509" s="1"/>
      <c r="F2509" s="8" t="s">
        <v>66</v>
      </c>
    </row>
    <row r="2510" spans="1:6" x14ac:dyDescent="0.2">
      <c r="A2510" s="3">
        <v>2506</v>
      </c>
      <c r="B2510" s="3" t="s">
        <v>4086</v>
      </c>
      <c r="C2510" s="3" t="s">
        <v>4085</v>
      </c>
      <c r="D2510" s="3" t="s">
        <v>4085</v>
      </c>
      <c r="E2510" s="1"/>
      <c r="F2510" s="8" t="s">
        <v>66</v>
      </c>
    </row>
    <row r="2511" spans="1:6" x14ac:dyDescent="0.2">
      <c r="A2511" s="3">
        <v>2507</v>
      </c>
      <c r="B2511" s="3" t="s">
        <v>4087</v>
      </c>
      <c r="C2511" s="3" t="s">
        <v>4088</v>
      </c>
      <c r="D2511" s="3" t="s">
        <v>4088</v>
      </c>
      <c r="E2511" s="3"/>
      <c r="F2511" s="8" t="s">
        <v>66</v>
      </c>
    </row>
    <row r="2512" spans="1:6" x14ac:dyDescent="0.2">
      <c r="A2512" s="3">
        <v>2508</v>
      </c>
      <c r="B2512" s="3" t="s">
        <v>4089</v>
      </c>
      <c r="C2512" s="3" t="s">
        <v>4090</v>
      </c>
      <c r="D2512" s="3" t="s">
        <v>4090</v>
      </c>
      <c r="E2512" s="1"/>
      <c r="F2512" s="8" t="s">
        <v>66</v>
      </c>
    </row>
    <row r="2513" spans="1:6" x14ac:dyDescent="0.2">
      <c r="A2513" s="3">
        <v>2509</v>
      </c>
      <c r="B2513" s="3" t="s">
        <v>4091</v>
      </c>
      <c r="C2513" s="3" t="s">
        <v>4090</v>
      </c>
      <c r="D2513" s="3" t="s">
        <v>4090</v>
      </c>
      <c r="E2513" s="1"/>
      <c r="F2513" s="8" t="s">
        <v>66</v>
      </c>
    </row>
    <row r="2514" spans="1:6" x14ac:dyDescent="0.2">
      <c r="A2514" s="3">
        <v>2510</v>
      </c>
      <c r="B2514" s="3" t="s">
        <v>4092</v>
      </c>
      <c r="C2514" s="3" t="s">
        <v>4093</v>
      </c>
      <c r="D2514" s="3" t="s">
        <v>4093</v>
      </c>
      <c r="E2514" s="1"/>
      <c r="F2514" s="8" t="s">
        <v>66</v>
      </c>
    </row>
    <row r="2515" spans="1:6" x14ac:dyDescent="0.2">
      <c r="A2515" s="3">
        <v>2511</v>
      </c>
      <c r="B2515" s="3" t="s">
        <v>4094</v>
      </c>
      <c r="C2515" s="3" t="s">
        <v>4095</v>
      </c>
      <c r="D2515" s="3" t="s">
        <v>4095</v>
      </c>
      <c r="E2515" s="1"/>
      <c r="F2515" s="8" t="s">
        <v>66</v>
      </c>
    </row>
    <row r="2516" spans="1:6" x14ac:dyDescent="0.2">
      <c r="A2516" s="3">
        <v>2512</v>
      </c>
      <c r="B2516" s="3" t="s">
        <v>4096</v>
      </c>
      <c r="C2516" s="3" t="s">
        <v>4095</v>
      </c>
      <c r="D2516" s="3" t="s">
        <v>4095</v>
      </c>
      <c r="E2516" s="1"/>
      <c r="F2516" s="8" t="s">
        <v>66</v>
      </c>
    </row>
    <row r="2517" spans="1:6" x14ac:dyDescent="0.2">
      <c r="A2517" s="3">
        <v>2513</v>
      </c>
      <c r="B2517" s="3" t="s">
        <v>4097</v>
      </c>
      <c r="C2517" s="3" t="s">
        <v>4095</v>
      </c>
      <c r="D2517" s="3" t="s">
        <v>4095</v>
      </c>
      <c r="E2517" s="1"/>
      <c r="F2517" s="8" t="s">
        <v>66</v>
      </c>
    </row>
    <row r="2518" spans="1:6" x14ac:dyDescent="0.2">
      <c r="A2518" s="3">
        <v>2514</v>
      </c>
      <c r="B2518" s="3" t="s">
        <v>4098</v>
      </c>
      <c r="C2518" s="3" t="s">
        <v>4095</v>
      </c>
      <c r="D2518" s="3" t="s">
        <v>4095</v>
      </c>
      <c r="E2518" s="1"/>
      <c r="F2518" s="8" t="s">
        <v>66</v>
      </c>
    </row>
    <row r="2519" spans="1:6" x14ac:dyDescent="0.2">
      <c r="A2519" s="3">
        <v>2515</v>
      </c>
      <c r="B2519" s="3" t="s">
        <v>4099</v>
      </c>
      <c r="C2519" s="3" t="s">
        <v>4095</v>
      </c>
      <c r="D2519" s="3" t="s">
        <v>4095</v>
      </c>
      <c r="E2519" s="1"/>
      <c r="F2519" s="8" t="s">
        <v>66</v>
      </c>
    </row>
    <row r="2520" spans="1:6" x14ac:dyDescent="0.2">
      <c r="A2520" s="3">
        <v>2516</v>
      </c>
      <c r="B2520" s="3" t="s">
        <v>4100</v>
      </c>
      <c r="C2520" s="3" t="s">
        <v>4101</v>
      </c>
      <c r="D2520" s="3" t="s">
        <v>4101</v>
      </c>
      <c r="E2520" s="1"/>
      <c r="F2520" s="8" t="s">
        <v>66</v>
      </c>
    </row>
    <row r="2521" spans="1:6" x14ac:dyDescent="0.2">
      <c r="A2521" s="3">
        <v>2517</v>
      </c>
      <c r="B2521" s="3" t="s">
        <v>4102</v>
      </c>
      <c r="C2521" s="3" t="s">
        <v>4103</v>
      </c>
      <c r="D2521" s="3" t="s">
        <v>4103</v>
      </c>
      <c r="E2521" s="1"/>
      <c r="F2521" s="8" t="s">
        <v>66</v>
      </c>
    </row>
    <row r="2522" spans="1:6" x14ac:dyDescent="0.2">
      <c r="A2522" s="3">
        <v>2518</v>
      </c>
      <c r="B2522" s="3" t="s">
        <v>4104</v>
      </c>
      <c r="C2522" s="3" t="s">
        <v>4105</v>
      </c>
      <c r="D2522" s="3" t="s">
        <v>4105</v>
      </c>
      <c r="E2522" s="1"/>
      <c r="F2522" s="8" t="s">
        <v>66</v>
      </c>
    </row>
    <row r="2523" spans="1:6" x14ac:dyDescent="0.2">
      <c r="A2523" s="3">
        <v>2519</v>
      </c>
      <c r="B2523" s="3" t="s">
        <v>4106</v>
      </c>
      <c r="C2523" s="3" t="s">
        <v>4107</v>
      </c>
      <c r="D2523" s="3" t="s">
        <v>4107</v>
      </c>
      <c r="E2523" s="1"/>
      <c r="F2523" s="8" t="s">
        <v>66</v>
      </c>
    </row>
    <row r="2524" spans="1:6" x14ac:dyDescent="0.2">
      <c r="A2524" s="3">
        <v>2520</v>
      </c>
      <c r="B2524" s="3" t="s">
        <v>4108</v>
      </c>
      <c r="C2524" s="3" t="s">
        <v>4109</v>
      </c>
      <c r="D2524" s="3" t="s">
        <v>4109</v>
      </c>
      <c r="E2524" s="1"/>
      <c r="F2524" s="8" t="s">
        <v>66</v>
      </c>
    </row>
    <row r="2525" spans="1:6" x14ac:dyDescent="0.2">
      <c r="A2525" s="3">
        <v>2521</v>
      </c>
      <c r="B2525" s="3" t="s">
        <v>4110</v>
      </c>
      <c r="C2525" s="3" t="s">
        <v>4109</v>
      </c>
      <c r="D2525" s="3" t="s">
        <v>4109</v>
      </c>
      <c r="E2525" s="1"/>
      <c r="F2525" s="8" t="s">
        <v>66</v>
      </c>
    </row>
    <row r="2526" spans="1:6" x14ac:dyDescent="0.2">
      <c r="A2526" s="3">
        <v>2522</v>
      </c>
      <c r="B2526" s="3" t="s">
        <v>4111</v>
      </c>
      <c r="C2526" s="3" t="s">
        <v>4112</v>
      </c>
      <c r="D2526" s="3" t="s">
        <v>4112</v>
      </c>
      <c r="E2526" s="1"/>
      <c r="F2526" s="8" t="s">
        <v>66</v>
      </c>
    </row>
    <row r="2527" spans="1:6" x14ac:dyDescent="0.2">
      <c r="A2527" s="3">
        <v>2523</v>
      </c>
      <c r="B2527" s="3" t="s">
        <v>4113</v>
      </c>
      <c r="C2527" s="3" t="s">
        <v>4114</v>
      </c>
      <c r="D2527" s="3" t="s">
        <v>4114</v>
      </c>
      <c r="E2527" s="1"/>
      <c r="F2527" s="8" t="s">
        <v>66</v>
      </c>
    </row>
    <row r="2528" spans="1:6" x14ac:dyDescent="0.2">
      <c r="A2528" s="3">
        <v>2524</v>
      </c>
      <c r="B2528" s="3" t="s">
        <v>4115</v>
      </c>
      <c r="C2528" s="3" t="s">
        <v>4114</v>
      </c>
      <c r="D2528" s="3" t="s">
        <v>4114</v>
      </c>
      <c r="E2528" s="1"/>
      <c r="F2528" s="8" t="s">
        <v>66</v>
      </c>
    </row>
    <row r="2529" spans="1:6" x14ac:dyDescent="0.2">
      <c r="A2529" s="3">
        <v>2525</v>
      </c>
      <c r="B2529" s="3" t="s">
        <v>4116</v>
      </c>
      <c r="C2529" s="3" t="s">
        <v>4114</v>
      </c>
      <c r="D2529" s="3" t="s">
        <v>4114</v>
      </c>
      <c r="E2529" s="1"/>
      <c r="F2529" s="8" t="s">
        <v>66</v>
      </c>
    </row>
    <row r="2530" spans="1:6" x14ac:dyDescent="0.2">
      <c r="A2530" s="3">
        <v>2526</v>
      </c>
      <c r="B2530" s="3" t="s">
        <v>4117</v>
      </c>
      <c r="C2530" s="3" t="s">
        <v>4114</v>
      </c>
      <c r="D2530" s="3" t="s">
        <v>4114</v>
      </c>
      <c r="E2530" s="1"/>
      <c r="F2530" s="8" t="s">
        <v>66</v>
      </c>
    </row>
    <row r="2531" spans="1:6" x14ac:dyDescent="0.2">
      <c r="A2531" s="3">
        <v>2527</v>
      </c>
      <c r="B2531" s="3" t="s">
        <v>4118</v>
      </c>
      <c r="C2531" s="3" t="s">
        <v>4114</v>
      </c>
      <c r="D2531" s="3" t="s">
        <v>4114</v>
      </c>
      <c r="E2531" s="1"/>
      <c r="F2531" s="8" t="s">
        <v>66</v>
      </c>
    </row>
    <row r="2532" spans="1:6" x14ac:dyDescent="0.2">
      <c r="A2532" s="3">
        <v>2528</v>
      </c>
      <c r="B2532" s="3" t="s">
        <v>4119</v>
      </c>
      <c r="C2532" s="3" t="s">
        <v>4120</v>
      </c>
      <c r="D2532" s="3" t="s">
        <v>4120</v>
      </c>
      <c r="E2532" s="1"/>
      <c r="F2532" s="8" t="s">
        <v>66</v>
      </c>
    </row>
    <row r="2533" spans="1:6" x14ac:dyDescent="0.2">
      <c r="A2533" s="3">
        <v>2529</v>
      </c>
      <c r="B2533" s="3" t="s">
        <v>4121</v>
      </c>
      <c r="C2533" s="3" t="s">
        <v>4120</v>
      </c>
      <c r="D2533" s="3" t="s">
        <v>4120</v>
      </c>
      <c r="E2533" s="1"/>
      <c r="F2533" s="8" t="s">
        <v>66</v>
      </c>
    </row>
    <row r="2534" spans="1:6" x14ac:dyDescent="0.2">
      <c r="A2534" s="3">
        <v>2530</v>
      </c>
      <c r="B2534" s="3" t="s">
        <v>4122</v>
      </c>
      <c r="C2534" s="3" t="s">
        <v>4123</v>
      </c>
      <c r="D2534" s="3" t="s">
        <v>4123</v>
      </c>
      <c r="E2534" s="1"/>
      <c r="F2534" s="8" t="s">
        <v>66</v>
      </c>
    </row>
    <row r="2535" spans="1:6" x14ac:dyDescent="0.2">
      <c r="A2535" s="3">
        <v>2531</v>
      </c>
      <c r="B2535" s="3" t="s">
        <v>4124</v>
      </c>
      <c r="C2535" s="3" t="s">
        <v>4123</v>
      </c>
      <c r="D2535" s="3" t="s">
        <v>4123</v>
      </c>
      <c r="E2535" s="1"/>
      <c r="F2535" s="8" t="s">
        <v>66</v>
      </c>
    </row>
    <row r="2536" spans="1:6" x14ac:dyDescent="0.2">
      <c r="A2536" s="3">
        <v>2532</v>
      </c>
      <c r="B2536" s="3" t="s">
        <v>4125</v>
      </c>
      <c r="C2536" s="3" t="s">
        <v>4126</v>
      </c>
      <c r="D2536" s="3" t="s">
        <v>4126</v>
      </c>
      <c r="E2536" s="1"/>
      <c r="F2536" s="8" t="s">
        <v>66</v>
      </c>
    </row>
    <row r="2537" spans="1:6" x14ac:dyDescent="0.2">
      <c r="A2537" s="3">
        <v>2533</v>
      </c>
      <c r="B2537" s="3" t="s">
        <v>4127</v>
      </c>
      <c r="C2537" s="3" t="s">
        <v>4128</v>
      </c>
      <c r="D2537" s="3" t="s">
        <v>4128</v>
      </c>
      <c r="E2537" s="1"/>
      <c r="F2537" s="8" t="s">
        <v>66</v>
      </c>
    </row>
    <row r="2538" spans="1:6" x14ac:dyDescent="0.2">
      <c r="A2538" s="3">
        <v>2534</v>
      </c>
      <c r="B2538" s="3" t="s">
        <v>4129</v>
      </c>
      <c r="C2538" s="3" t="s">
        <v>4130</v>
      </c>
      <c r="D2538" s="3" t="s">
        <v>4130</v>
      </c>
      <c r="E2538" s="1"/>
      <c r="F2538" s="8" t="s">
        <v>66</v>
      </c>
    </row>
    <row r="2539" spans="1:6" x14ac:dyDescent="0.2">
      <c r="A2539" s="3">
        <v>2535</v>
      </c>
      <c r="B2539" s="3" t="s">
        <v>4131</v>
      </c>
      <c r="C2539" s="3" t="s">
        <v>4131</v>
      </c>
      <c r="D2539" s="3" t="s">
        <v>4131</v>
      </c>
      <c r="E2539" s="1" t="s">
        <v>4132</v>
      </c>
      <c r="F2539" s="8" t="s">
        <v>66</v>
      </c>
    </row>
    <row r="2540" spans="1:6" x14ac:dyDescent="0.2">
      <c r="A2540" s="3">
        <v>2536</v>
      </c>
      <c r="B2540" s="3" t="s">
        <v>4133</v>
      </c>
      <c r="C2540" s="3" t="s">
        <v>4134</v>
      </c>
      <c r="D2540" s="3" t="s">
        <v>4134</v>
      </c>
      <c r="E2540" s="1"/>
      <c r="F2540" s="8" t="s">
        <v>66</v>
      </c>
    </row>
    <row r="2541" spans="1:6" x14ac:dyDescent="0.2">
      <c r="A2541" s="3">
        <v>2537</v>
      </c>
      <c r="B2541" s="3" t="s">
        <v>4135</v>
      </c>
      <c r="C2541" s="3" t="s">
        <v>4134</v>
      </c>
      <c r="D2541" s="3" t="s">
        <v>4134</v>
      </c>
      <c r="E2541" s="1"/>
      <c r="F2541" s="8" t="s">
        <v>66</v>
      </c>
    </row>
    <row r="2542" spans="1:6" x14ac:dyDescent="0.2">
      <c r="A2542" s="3">
        <v>2538</v>
      </c>
      <c r="B2542" s="3" t="s">
        <v>4136</v>
      </c>
      <c r="C2542" s="3" t="s">
        <v>4137</v>
      </c>
      <c r="D2542" s="3" t="s">
        <v>4137</v>
      </c>
      <c r="E2542" s="1"/>
      <c r="F2542" s="8" t="s">
        <v>66</v>
      </c>
    </row>
    <row r="2543" spans="1:6" x14ac:dyDescent="0.2">
      <c r="A2543" s="3">
        <v>2539</v>
      </c>
      <c r="B2543" s="3" t="s">
        <v>4138</v>
      </c>
      <c r="C2543" s="3" t="s">
        <v>4139</v>
      </c>
      <c r="D2543" s="3" t="s">
        <v>4139</v>
      </c>
      <c r="E2543" s="1"/>
      <c r="F2543" s="8" t="s">
        <v>66</v>
      </c>
    </row>
    <row r="2544" spans="1:6" x14ac:dyDescent="0.2">
      <c r="A2544" s="3">
        <v>2540</v>
      </c>
      <c r="B2544" s="3" t="s">
        <v>4140</v>
      </c>
      <c r="C2544" s="3" t="s">
        <v>4141</v>
      </c>
      <c r="D2544" s="3" t="s">
        <v>4141</v>
      </c>
      <c r="E2544" s="1"/>
      <c r="F2544" s="8" t="s">
        <v>66</v>
      </c>
    </row>
    <row r="2545" spans="1:6" x14ac:dyDescent="0.2">
      <c r="A2545" s="3">
        <v>2541</v>
      </c>
      <c r="B2545" s="3" t="s">
        <v>4142</v>
      </c>
      <c r="C2545" s="3" t="s">
        <v>4143</v>
      </c>
      <c r="D2545" s="3" t="s">
        <v>4143</v>
      </c>
      <c r="E2545" s="1"/>
      <c r="F2545" s="8" t="s">
        <v>66</v>
      </c>
    </row>
    <row r="2546" spans="1:6" x14ac:dyDescent="0.2">
      <c r="A2546" s="3">
        <v>2542</v>
      </c>
      <c r="B2546" s="3" t="s">
        <v>4144</v>
      </c>
      <c r="C2546" s="3" t="s">
        <v>4143</v>
      </c>
      <c r="D2546" s="3" t="s">
        <v>4143</v>
      </c>
      <c r="E2546" s="1"/>
      <c r="F2546" s="8" t="s">
        <v>66</v>
      </c>
    </row>
    <row r="2547" spans="1:6" x14ac:dyDescent="0.2">
      <c r="A2547" s="3">
        <v>2543</v>
      </c>
      <c r="B2547" s="3" t="s">
        <v>4145</v>
      </c>
      <c r="C2547" s="3" t="s">
        <v>4146</v>
      </c>
      <c r="D2547" s="3" t="s">
        <v>4146</v>
      </c>
      <c r="E2547" s="1"/>
      <c r="F2547" s="8" t="s">
        <v>66</v>
      </c>
    </row>
    <row r="2548" spans="1:6" x14ac:dyDescent="0.2">
      <c r="A2548" s="3">
        <v>2544</v>
      </c>
      <c r="B2548" s="3" t="s">
        <v>4147</v>
      </c>
      <c r="C2548" s="3" t="s">
        <v>4148</v>
      </c>
      <c r="D2548" s="3" t="s">
        <v>4148</v>
      </c>
      <c r="E2548" s="1"/>
      <c r="F2548" s="8" t="s">
        <v>66</v>
      </c>
    </row>
    <row r="2549" spans="1:6" x14ac:dyDescent="0.2">
      <c r="A2549" s="3">
        <v>2545</v>
      </c>
      <c r="B2549" s="3" t="s">
        <v>4149</v>
      </c>
      <c r="C2549" s="3" t="s">
        <v>4150</v>
      </c>
      <c r="D2549" s="3" t="s">
        <v>4150</v>
      </c>
      <c r="E2549" s="1"/>
      <c r="F2549" s="8" t="s">
        <v>66</v>
      </c>
    </row>
    <row r="2550" spans="1:6" x14ac:dyDescent="0.2">
      <c r="A2550" s="3">
        <v>2546</v>
      </c>
      <c r="B2550" s="3" t="s">
        <v>4151</v>
      </c>
      <c r="C2550" s="3" t="s">
        <v>4152</v>
      </c>
      <c r="D2550" s="3" t="s">
        <v>4152</v>
      </c>
      <c r="E2550" s="1"/>
      <c r="F2550" s="8" t="s">
        <v>66</v>
      </c>
    </row>
    <row r="2551" spans="1:6" x14ac:dyDescent="0.2">
      <c r="A2551" s="3">
        <v>2547</v>
      </c>
      <c r="B2551" s="3" t="s">
        <v>4153</v>
      </c>
      <c r="C2551" s="3" t="s">
        <v>4154</v>
      </c>
      <c r="D2551" s="3" t="s">
        <v>4154</v>
      </c>
      <c r="E2551" s="1"/>
      <c r="F2551" s="8" t="s">
        <v>66</v>
      </c>
    </row>
    <row r="2552" spans="1:6" x14ac:dyDescent="0.2">
      <c r="A2552" s="3">
        <v>2548</v>
      </c>
      <c r="B2552" s="3" t="s">
        <v>4155</v>
      </c>
      <c r="C2552" s="3" t="s">
        <v>4156</v>
      </c>
      <c r="D2552" s="3" t="s">
        <v>4156</v>
      </c>
      <c r="E2552" s="1"/>
      <c r="F2552" s="8" t="s">
        <v>66</v>
      </c>
    </row>
    <row r="2553" spans="1:6" x14ac:dyDescent="0.2">
      <c r="A2553" s="3">
        <v>2549</v>
      </c>
      <c r="B2553" s="3" t="s">
        <v>4157</v>
      </c>
      <c r="C2553" s="3" t="s">
        <v>4158</v>
      </c>
      <c r="D2553" s="3" t="s">
        <v>4158</v>
      </c>
      <c r="E2553" s="1"/>
      <c r="F2553" s="8" t="s">
        <v>66</v>
      </c>
    </row>
    <row r="2554" spans="1:6" x14ac:dyDescent="0.2">
      <c r="A2554" s="3">
        <v>2550</v>
      </c>
      <c r="B2554" s="3" t="s">
        <v>4159</v>
      </c>
      <c r="C2554" s="3" t="s">
        <v>4158</v>
      </c>
      <c r="D2554" s="3" t="s">
        <v>4158</v>
      </c>
      <c r="E2554" s="1"/>
      <c r="F2554" s="8" t="s">
        <v>66</v>
      </c>
    </row>
    <row r="2555" spans="1:6" x14ac:dyDescent="0.2">
      <c r="A2555" s="3">
        <v>2551</v>
      </c>
      <c r="B2555" s="3" t="s">
        <v>4160</v>
      </c>
      <c r="C2555" s="3" t="s">
        <v>4158</v>
      </c>
      <c r="D2555" s="3" t="s">
        <v>4158</v>
      </c>
      <c r="E2555" s="1"/>
      <c r="F2555" s="8" t="s">
        <v>66</v>
      </c>
    </row>
    <row r="2556" spans="1:6" x14ac:dyDescent="0.2">
      <c r="A2556" s="3">
        <v>2552</v>
      </c>
      <c r="B2556" s="3" t="s">
        <v>4161</v>
      </c>
      <c r="C2556" s="3" t="s">
        <v>4158</v>
      </c>
      <c r="D2556" s="3" t="s">
        <v>4158</v>
      </c>
      <c r="E2556" s="1"/>
      <c r="F2556" s="8" t="s">
        <v>66</v>
      </c>
    </row>
    <row r="2557" spans="1:6" x14ac:dyDescent="0.2">
      <c r="A2557" s="3">
        <v>2553</v>
      </c>
      <c r="B2557" s="3" t="s">
        <v>4162</v>
      </c>
      <c r="C2557" s="3" t="s">
        <v>4158</v>
      </c>
      <c r="D2557" s="3" t="s">
        <v>4158</v>
      </c>
      <c r="E2557" s="1"/>
      <c r="F2557" s="8" t="s">
        <v>66</v>
      </c>
    </row>
    <row r="2558" spans="1:6" x14ac:dyDescent="0.2">
      <c r="A2558" s="3">
        <v>2554</v>
      </c>
      <c r="B2558" s="3" t="s">
        <v>4163</v>
      </c>
      <c r="C2558" s="3" t="s">
        <v>4164</v>
      </c>
      <c r="D2558" s="3" t="s">
        <v>4164</v>
      </c>
      <c r="E2558" s="1"/>
      <c r="F2558" s="8" t="s">
        <v>66</v>
      </c>
    </row>
    <row r="2559" spans="1:6" x14ac:dyDescent="0.2">
      <c r="A2559" s="3">
        <v>2555</v>
      </c>
      <c r="B2559" s="3" t="s">
        <v>4165</v>
      </c>
      <c r="C2559" s="3" t="s">
        <v>4166</v>
      </c>
      <c r="D2559" s="3" t="s">
        <v>4166</v>
      </c>
      <c r="E2559" s="1"/>
      <c r="F2559" s="8" t="s">
        <v>66</v>
      </c>
    </row>
    <row r="2560" spans="1:6" x14ac:dyDescent="0.2">
      <c r="A2560" s="3">
        <v>2556</v>
      </c>
      <c r="B2560" s="3" t="s">
        <v>4167</v>
      </c>
      <c r="C2560" s="3" t="s">
        <v>4166</v>
      </c>
      <c r="D2560" s="3" t="s">
        <v>4166</v>
      </c>
      <c r="E2560" s="1"/>
      <c r="F2560" s="8" t="s">
        <v>66</v>
      </c>
    </row>
    <row r="2561" spans="1:6" x14ac:dyDescent="0.2">
      <c r="A2561" s="3">
        <v>2557</v>
      </c>
      <c r="B2561" s="3" t="s">
        <v>4168</v>
      </c>
      <c r="C2561" s="3" t="s">
        <v>4166</v>
      </c>
      <c r="D2561" s="3" t="s">
        <v>4166</v>
      </c>
      <c r="E2561" s="1"/>
      <c r="F2561" s="8" t="s">
        <v>66</v>
      </c>
    </row>
    <row r="2562" spans="1:6" x14ac:dyDescent="0.2">
      <c r="A2562" s="3">
        <v>2558</v>
      </c>
      <c r="B2562" s="3" t="s">
        <v>4169</v>
      </c>
      <c r="C2562" s="3" t="s">
        <v>4166</v>
      </c>
      <c r="D2562" s="3" t="s">
        <v>4166</v>
      </c>
      <c r="E2562" s="1"/>
      <c r="F2562" s="8" t="s">
        <v>66</v>
      </c>
    </row>
    <row r="2563" spans="1:6" x14ac:dyDescent="0.2">
      <c r="A2563" s="3">
        <v>2559</v>
      </c>
      <c r="B2563" s="3" t="s">
        <v>4170</v>
      </c>
      <c r="C2563" s="3" t="s">
        <v>4166</v>
      </c>
      <c r="D2563" s="3" t="s">
        <v>4166</v>
      </c>
      <c r="E2563" s="1"/>
      <c r="F2563" s="8" t="s">
        <v>66</v>
      </c>
    </row>
    <row r="2564" spans="1:6" x14ac:dyDescent="0.2">
      <c r="A2564" s="3">
        <v>2560</v>
      </c>
      <c r="B2564" s="3" t="s">
        <v>4171</v>
      </c>
      <c r="C2564" s="3" t="s">
        <v>4166</v>
      </c>
      <c r="D2564" s="3" t="s">
        <v>4166</v>
      </c>
      <c r="E2564" s="1"/>
      <c r="F2564" s="8" t="s">
        <v>66</v>
      </c>
    </row>
    <row r="2565" spans="1:6" x14ac:dyDescent="0.2">
      <c r="A2565" s="3">
        <v>2561</v>
      </c>
      <c r="B2565" s="3" t="s">
        <v>4172</v>
      </c>
      <c r="C2565" s="3" t="s">
        <v>4173</v>
      </c>
      <c r="D2565" s="3" t="s">
        <v>4173</v>
      </c>
      <c r="E2565" s="1"/>
      <c r="F2565" s="8" t="s">
        <v>66</v>
      </c>
    </row>
    <row r="2566" spans="1:6" x14ac:dyDescent="0.2">
      <c r="A2566" s="3">
        <v>2562</v>
      </c>
      <c r="B2566" s="3" t="s">
        <v>4174</v>
      </c>
      <c r="C2566" s="3" t="s">
        <v>4173</v>
      </c>
      <c r="D2566" s="3" t="s">
        <v>4173</v>
      </c>
      <c r="E2566" s="1"/>
      <c r="F2566" s="8" t="s">
        <v>66</v>
      </c>
    </row>
    <row r="2567" spans="1:6" x14ac:dyDescent="0.2">
      <c r="A2567" s="3">
        <v>2563</v>
      </c>
      <c r="B2567" s="3" t="s">
        <v>4175</v>
      </c>
      <c r="C2567" s="3" t="s">
        <v>4176</v>
      </c>
      <c r="D2567" s="3" t="s">
        <v>4176</v>
      </c>
      <c r="E2567" s="1"/>
      <c r="F2567" s="8" t="s">
        <v>66</v>
      </c>
    </row>
    <row r="2568" spans="1:6" x14ac:dyDescent="0.2">
      <c r="A2568" s="3">
        <v>2564</v>
      </c>
      <c r="B2568" s="3" t="s">
        <v>4177</v>
      </c>
      <c r="C2568" s="3" t="s">
        <v>4178</v>
      </c>
      <c r="D2568" s="3" t="s">
        <v>4178</v>
      </c>
      <c r="E2568" s="1"/>
      <c r="F2568" s="8" t="s">
        <v>66</v>
      </c>
    </row>
    <row r="2569" spans="1:6" x14ac:dyDescent="0.2">
      <c r="A2569" s="3">
        <v>2565</v>
      </c>
      <c r="B2569" s="3" t="s">
        <v>4179</v>
      </c>
      <c r="C2569" s="3" t="s">
        <v>4180</v>
      </c>
      <c r="D2569" s="3" t="s">
        <v>4180</v>
      </c>
      <c r="E2569" s="1"/>
      <c r="F2569" s="8" t="s">
        <v>66</v>
      </c>
    </row>
    <row r="2570" spans="1:6" x14ac:dyDescent="0.2">
      <c r="A2570" s="3">
        <v>2566</v>
      </c>
      <c r="B2570" s="3" t="s">
        <v>4181</v>
      </c>
      <c r="C2570" s="3" t="s">
        <v>4180</v>
      </c>
      <c r="D2570" s="3" t="s">
        <v>4180</v>
      </c>
      <c r="E2570" s="1"/>
      <c r="F2570" s="8" t="s">
        <v>66</v>
      </c>
    </row>
    <row r="2571" spans="1:6" x14ac:dyDescent="0.2">
      <c r="A2571" s="3">
        <v>2567</v>
      </c>
      <c r="B2571" s="3" t="s">
        <v>4182</v>
      </c>
      <c r="C2571" s="3" t="s">
        <v>4183</v>
      </c>
      <c r="D2571" s="3" t="s">
        <v>4183</v>
      </c>
      <c r="E2571" s="1"/>
      <c r="F2571" s="8" t="s">
        <v>66</v>
      </c>
    </row>
    <row r="2572" spans="1:6" x14ac:dyDescent="0.2">
      <c r="A2572" s="3">
        <v>2568</v>
      </c>
      <c r="B2572" s="3" t="s">
        <v>4184</v>
      </c>
      <c r="C2572" s="3" t="s">
        <v>4185</v>
      </c>
      <c r="D2572" s="3" t="s">
        <v>4185</v>
      </c>
      <c r="E2572" s="1"/>
      <c r="F2572" s="8" t="s">
        <v>66</v>
      </c>
    </row>
    <row r="2573" spans="1:6" x14ac:dyDescent="0.2">
      <c r="A2573" s="3">
        <v>2569</v>
      </c>
      <c r="B2573" s="3" t="s">
        <v>4186</v>
      </c>
      <c r="C2573" s="3" t="s">
        <v>4187</v>
      </c>
      <c r="D2573" s="3" t="s">
        <v>4187</v>
      </c>
      <c r="E2573" s="1"/>
      <c r="F2573" s="8" t="s">
        <v>66</v>
      </c>
    </row>
    <row r="2574" spans="1:6" x14ac:dyDescent="0.2">
      <c r="A2574" s="3">
        <v>2570</v>
      </c>
      <c r="B2574" s="3" t="s">
        <v>4188</v>
      </c>
      <c r="C2574" s="3" t="s">
        <v>4189</v>
      </c>
      <c r="D2574" s="3" t="s">
        <v>4189</v>
      </c>
      <c r="E2574" s="1"/>
      <c r="F2574" s="8" t="s">
        <v>66</v>
      </c>
    </row>
    <row r="2575" spans="1:6" x14ac:dyDescent="0.2">
      <c r="A2575" s="3">
        <v>2571</v>
      </c>
      <c r="B2575" s="3" t="s">
        <v>4190</v>
      </c>
      <c r="C2575" s="3" t="s">
        <v>4189</v>
      </c>
      <c r="D2575" s="3" t="s">
        <v>4189</v>
      </c>
      <c r="E2575" s="1"/>
      <c r="F2575" s="8" t="s">
        <v>66</v>
      </c>
    </row>
    <row r="2576" spans="1:6" x14ac:dyDescent="0.2">
      <c r="A2576" s="3">
        <v>2572</v>
      </c>
      <c r="B2576" s="3" t="s">
        <v>4191</v>
      </c>
      <c r="C2576" s="3" t="s">
        <v>4192</v>
      </c>
      <c r="D2576" s="3" t="s">
        <v>4192</v>
      </c>
      <c r="E2576" s="1"/>
      <c r="F2576" s="8" t="s">
        <v>66</v>
      </c>
    </row>
    <row r="2577" spans="1:6" x14ac:dyDescent="0.2">
      <c r="A2577" s="3">
        <v>2573</v>
      </c>
      <c r="B2577" s="3" t="s">
        <v>4193</v>
      </c>
      <c r="C2577" s="3" t="s">
        <v>4193</v>
      </c>
      <c r="D2577" s="3" t="s">
        <v>4193</v>
      </c>
      <c r="E2577" s="1"/>
      <c r="F2577" s="8" t="s">
        <v>66</v>
      </c>
    </row>
    <row r="2578" spans="1:6" x14ac:dyDescent="0.2">
      <c r="A2578" s="3">
        <v>2574</v>
      </c>
      <c r="B2578" s="3" t="s">
        <v>4194</v>
      </c>
      <c r="C2578" s="3" t="s">
        <v>4195</v>
      </c>
      <c r="D2578" s="3" t="s">
        <v>4195</v>
      </c>
      <c r="E2578" s="1"/>
      <c r="F2578" s="8" t="s">
        <v>66</v>
      </c>
    </row>
    <row r="2579" spans="1:6" x14ac:dyDescent="0.2">
      <c r="A2579" s="3">
        <v>2575</v>
      </c>
      <c r="B2579" s="3" t="s">
        <v>4196</v>
      </c>
      <c r="C2579" s="3" t="s">
        <v>4195</v>
      </c>
      <c r="D2579" s="3" t="s">
        <v>4195</v>
      </c>
      <c r="E2579" s="1"/>
      <c r="F2579" s="8" t="s">
        <v>66</v>
      </c>
    </row>
    <row r="2580" spans="1:6" x14ac:dyDescent="0.2">
      <c r="A2580" s="3">
        <v>2576</v>
      </c>
      <c r="B2580" s="3" t="s">
        <v>4197</v>
      </c>
      <c r="C2580" s="3" t="s">
        <v>4198</v>
      </c>
      <c r="D2580" s="3" t="s">
        <v>4198</v>
      </c>
      <c r="E2580" s="1"/>
      <c r="F2580" s="8" t="s">
        <v>66</v>
      </c>
    </row>
    <row r="2581" spans="1:6" x14ac:dyDescent="0.2">
      <c r="A2581" s="3">
        <v>2577</v>
      </c>
      <c r="B2581" s="3" t="s">
        <v>4199</v>
      </c>
      <c r="C2581" s="3" t="s">
        <v>4200</v>
      </c>
      <c r="D2581" s="3" t="s">
        <v>4200</v>
      </c>
      <c r="E2581" s="1"/>
      <c r="F2581" s="8" t="s">
        <v>66</v>
      </c>
    </row>
    <row r="2582" spans="1:6" x14ac:dyDescent="0.2">
      <c r="A2582" s="3">
        <v>2578</v>
      </c>
      <c r="B2582" s="3" t="s">
        <v>4201</v>
      </c>
      <c r="C2582" s="3" t="s">
        <v>4202</v>
      </c>
      <c r="D2582" s="3" t="s">
        <v>4202</v>
      </c>
      <c r="E2582" s="1"/>
      <c r="F2582" s="8" t="s">
        <v>66</v>
      </c>
    </row>
    <row r="2583" spans="1:6" x14ac:dyDescent="0.2">
      <c r="A2583" s="3">
        <v>2579</v>
      </c>
      <c r="B2583" s="3" t="s">
        <v>4203</v>
      </c>
      <c r="C2583" s="3" t="s">
        <v>4202</v>
      </c>
      <c r="D2583" s="3" t="s">
        <v>4202</v>
      </c>
      <c r="E2583" s="1"/>
      <c r="F2583" s="8" t="s">
        <v>66</v>
      </c>
    </row>
    <row r="2584" spans="1:6" x14ac:dyDescent="0.2">
      <c r="A2584" s="3">
        <v>2580</v>
      </c>
      <c r="B2584" s="3" t="s">
        <v>4204</v>
      </c>
      <c r="C2584" s="3" t="s">
        <v>4205</v>
      </c>
      <c r="D2584" s="3" t="s">
        <v>4205</v>
      </c>
      <c r="E2584" s="1"/>
      <c r="F2584" s="8" t="s">
        <v>66</v>
      </c>
    </row>
    <row r="2585" spans="1:6" x14ac:dyDescent="0.2">
      <c r="A2585" s="3">
        <v>2581</v>
      </c>
      <c r="B2585" s="3" t="s">
        <v>4206</v>
      </c>
      <c r="C2585" s="3" t="s">
        <v>4205</v>
      </c>
      <c r="D2585" s="3" t="s">
        <v>4205</v>
      </c>
      <c r="E2585" s="1"/>
      <c r="F2585" s="8" t="s">
        <v>66</v>
      </c>
    </row>
    <row r="2586" spans="1:6" x14ac:dyDescent="0.2">
      <c r="A2586" s="3">
        <v>2582</v>
      </c>
      <c r="B2586" s="3" t="s">
        <v>4207</v>
      </c>
      <c r="C2586" s="3" t="s">
        <v>4208</v>
      </c>
      <c r="D2586" s="3" t="s">
        <v>4208</v>
      </c>
      <c r="E2586" s="1"/>
      <c r="F2586" s="8" t="s">
        <v>66</v>
      </c>
    </row>
    <row r="2587" spans="1:6" x14ac:dyDescent="0.2">
      <c r="A2587" s="3">
        <v>2583</v>
      </c>
      <c r="B2587" s="3" t="s">
        <v>4209</v>
      </c>
      <c r="C2587" s="3" t="s">
        <v>4210</v>
      </c>
      <c r="D2587" s="3" t="s">
        <v>4210</v>
      </c>
      <c r="E2587" s="1"/>
      <c r="F2587" s="8" t="s">
        <v>66</v>
      </c>
    </row>
    <row r="2588" spans="1:6" x14ac:dyDescent="0.2">
      <c r="A2588" s="3">
        <v>2584</v>
      </c>
      <c r="B2588" s="3" t="s">
        <v>4211</v>
      </c>
      <c r="C2588" s="3" t="s">
        <v>4212</v>
      </c>
      <c r="D2588" s="3" t="s">
        <v>4212</v>
      </c>
      <c r="E2588" s="1"/>
      <c r="F2588" s="8" t="s">
        <v>66</v>
      </c>
    </row>
    <row r="2589" spans="1:6" x14ac:dyDescent="0.2">
      <c r="A2589" s="3">
        <v>2585</v>
      </c>
      <c r="B2589" s="3" t="s">
        <v>4213</v>
      </c>
      <c r="C2589" s="3" t="s">
        <v>4212</v>
      </c>
      <c r="D2589" s="3" t="s">
        <v>4212</v>
      </c>
      <c r="E2589" s="1"/>
      <c r="F2589" s="8" t="s">
        <v>66</v>
      </c>
    </row>
    <row r="2590" spans="1:6" x14ac:dyDescent="0.2">
      <c r="A2590" s="3">
        <v>2586</v>
      </c>
      <c r="B2590" s="3" t="s">
        <v>4214</v>
      </c>
      <c r="C2590" s="3" t="s">
        <v>4215</v>
      </c>
      <c r="D2590" s="3" t="s">
        <v>4215</v>
      </c>
      <c r="E2590" s="1"/>
      <c r="F2590" s="8" t="s">
        <v>66</v>
      </c>
    </row>
    <row r="2591" spans="1:6" x14ac:dyDescent="0.2">
      <c r="A2591" s="3">
        <v>2587</v>
      </c>
      <c r="B2591" s="3" t="s">
        <v>4216</v>
      </c>
      <c r="C2591" s="3" t="s">
        <v>4217</v>
      </c>
      <c r="D2591" s="3" t="s">
        <v>4217</v>
      </c>
      <c r="E2591" s="1"/>
      <c r="F2591" s="8" t="s">
        <v>66</v>
      </c>
    </row>
    <row r="2592" spans="1:6" x14ac:dyDescent="0.2">
      <c r="A2592" s="3">
        <v>2588</v>
      </c>
      <c r="B2592" s="3" t="s">
        <v>4218</v>
      </c>
      <c r="C2592" s="3" t="s">
        <v>4217</v>
      </c>
      <c r="D2592" s="3" t="s">
        <v>4217</v>
      </c>
      <c r="E2592" s="1"/>
      <c r="F2592" s="8" t="s">
        <v>66</v>
      </c>
    </row>
    <row r="2593" spans="1:12" x14ac:dyDescent="0.2">
      <c r="A2593" s="3">
        <v>2589</v>
      </c>
      <c r="B2593" s="3" t="s">
        <v>4219</v>
      </c>
      <c r="C2593" s="3" t="s">
        <v>4220</v>
      </c>
      <c r="D2593" s="3" t="s">
        <v>4220</v>
      </c>
      <c r="E2593" s="1"/>
      <c r="F2593" s="8" t="s">
        <v>66</v>
      </c>
    </row>
    <row r="2594" spans="1:12" x14ac:dyDescent="0.2">
      <c r="A2594" s="3">
        <v>2590</v>
      </c>
      <c r="B2594" s="3" t="s">
        <v>4221</v>
      </c>
      <c r="C2594" s="3" t="s">
        <v>4220</v>
      </c>
      <c r="D2594" s="3" t="s">
        <v>4220</v>
      </c>
      <c r="E2594" s="1"/>
      <c r="F2594" s="8" t="s">
        <v>66</v>
      </c>
    </row>
    <row r="2595" spans="1:12" x14ac:dyDescent="0.2">
      <c r="A2595" s="3">
        <v>2591</v>
      </c>
      <c r="B2595" s="3" t="s">
        <v>4222</v>
      </c>
      <c r="C2595" s="3" t="s">
        <v>4220</v>
      </c>
      <c r="D2595" s="3" t="s">
        <v>4220</v>
      </c>
      <c r="E2595" s="1"/>
      <c r="F2595" s="8" t="s">
        <v>66</v>
      </c>
    </row>
    <row r="2596" spans="1:12" x14ac:dyDescent="0.2">
      <c r="A2596" s="3">
        <v>2592</v>
      </c>
      <c r="B2596" s="3" t="s">
        <v>4223</v>
      </c>
      <c r="C2596" s="3" t="s">
        <v>4220</v>
      </c>
      <c r="D2596" s="3" t="s">
        <v>4220</v>
      </c>
      <c r="E2596" s="1"/>
      <c r="F2596" s="8" t="s">
        <v>66</v>
      </c>
      <c r="L2596" s="7"/>
    </row>
    <row r="2597" spans="1:12" x14ac:dyDescent="0.2">
      <c r="A2597" s="3">
        <v>2593</v>
      </c>
      <c r="B2597" s="3" t="s">
        <v>4224</v>
      </c>
      <c r="C2597" s="3" t="s">
        <v>4225</v>
      </c>
      <c r="D2597" s="3" t="s">
        <v>4225</v>
      </c>
      <c r="E2597" s="1"/>
      <c r="F2597" s="8" t="s">
        <v>66</v>
      </c>
      <c r="L2597" s="7"/>
    </row>
    <row r="2598" spans="1:12" x14ac:dyDescent="0.2">
      <c r="A2598" s="3">
        <v>2594</v>
      </c>
      <c r="B2598" s="3" t="s">
        <v>4226</v>
      </c>
      <c r="C2598" s="3" t="s">
        <v>4227</v>
      </c>
      <c r="D2598" s="3" t="s">
        <v>4227</v>
      </c>
      <c r="E2598" s="1"/>
      <c r="F2598" s="8" t="s">
        <v>66</v>
      </c>
      <c r="L2598" s="7"/>
    </row>
    <row r="2599" spans="1:12" x14ac:dyDescent="0.2">
      <c r="A2599" s="3">
        <v>2595</v>
      </c>
      <c r="B2599" s="3" t="s">
        <v>4228</v>
      </c>
      <c r="C2599" s="3" t="s">
        <v>4227</v>
      </c>
      <c r="D2599" s="3" t="s">
        <v>4227</v>
      </c>
      <c r="E2599" s="1"/>
      <c r="F2599" s="8" t="s">
        <v>66</v>
      </c>
      <c r="L2599" s="7"/>
    </row>
    <row r="2600" spans="1:12" x14ac:dyDescent="0.2">
      <c r="A2600" s="3">
        <v>2596</v>
      </c>
      <c r="B2600" s="3" t="s">
        <v>4229</v>
      </c>
      <c r="C2600" s="3" t="s">
        <v>4230</v>
      </c>
      <c r="D2600" s="3" t="s">
        <v>4230</v>
      </c>
      <c r="E2600" s="1"/>
      <c r="F2600" s="8" t="s">
        <v>66</v>
      </c>
      <c r="L2600" s="7"/>
    </row>
    <row r="2601" spans="1:12" x14ac:dyDescent="0.2">
      <c r="A2601" s="3">
        <v>2597</v>
      </c>
      <c r="B2601" s="3" t="s">
        <v>4231</v>
      </c>
      <c r="C2601" s="3" t="s">
        <v>4230</v>
      </c>
      <c r="D2601" s="3" t="s">
        <v>4230</v>
      </c>
      <c r="E2601" s="1"/>
      <c r="F2601" s="8" t="s">
        <v>66</v>
      </c>
      <c r="L2601" s="7"/>
    </row>
    <row r="2602" spans="1:12" x14ac:dyDescent="0.2">
      <c r="A2602" s="3">
        <v>2598</v>
      </c>
      <c r="B2602" s="3" t="s">
        <v>4232</v>
      </c>
      <c r="C2602" s="3" t="s">
        <v>4230</v>
      </c>
      <c r="D2602" s="3" t="s">
        <v>4230</v>
      </c>
      <c r="E2602" s="1"/>
      <c r="F2602" s="8" t="s">
        <v>66</v>
      </c>
      <c r="L2602" s="7"/>
    </row>
    <row r="2603" spans="1:12" x14ac:dyDescent="0.2">
      <c r="A2603" s="3">
        <v>2599</v>
      </c>
      <c r="B2603" s="3" t="s">
        <v>4233</v>
      </c>
      <c r="C2603" s="3" t="s">
        <v>4234</v>
      </c>
      <c r="D2603" s="3" t="s">
        <v>4234</v>
      </c>
      <c r="E2603" s="1"/>
      <c r="F2603" s="8" t="s">
        <v>66</v>
      </c>
      <c r="L2603" s="7"/>
    </row>
    <row r="2604" spans="1:12" x14ac:dyDescent="0.2">
      <c r="A2604" s="3">
        <v>2600</v>
      </c>
      <c r="B2604" s="3" t="s">
        <v>4235</v>
      </c>
      <c r="C2604" s="3" t="s">
        <v>4236</v>
      </c>
      <c r="D2604" s="3" t="s">
        <v>4236</v>
      </c>
      <c r="E2604" s="1"/>
      <c r="F2604" s="8" t="s">
        <v>66</v>
      </c>
      <c r="L2604" s="7"/>
    </row>
    <row r="2605" spans="1:12" x14ac:dyDescent="0.2">
      <c r="A2605" s="3">
        <v>2601</v>
      </c>
      <c r="B2605" s="3" t="s">
        <v>4237</v>
      </c>
      <c r="C2605" s="3" t="s">
        <v>4238</v>
      </c>
      <c r="D2605" s="3" t="s">
        <v>4238</v>
      </c>
      <c r="E2605" s="1"/>
      <c r="F2605" s="8" t="s">
        <v>66</v>
      </c>
      <c r="L2605" s="7"/>
    </row>
    <row r="2606" spans="1:12" x14ac:dyDescent="0.2">
      <c r="A2606" s="3">
        <v>2602</v>
      </c>
      <c r="B2606" s="3" t="s">
        <v>4239</v>
      </c>
      <c r="C2606" s="3" t="s">
        <v>4240</v>
      </c>
      <c r="D2606" s="3" t="s">
        <v>4240</v>
      </c>
      <c r="E2606" s="1"/>
      <c r="F2606" s="8" t="s">
        <v>66</v>
      </c>
      <c r="L2606" s="7"/>
    </row>
    <row r="2607" spans="1:12" x14ac:dyDescent="0.2">
      <c r="A2607" s="3">
        <v>2603</v>
      </c>
      <c r="B2607" s="3" t="s">
        <v>4241</v>
      </c>
      <c r="C2607" s="3" t="s">
        <v>4242</v>
      </c>
      <c r="D2607" s="3" t="s">
        <v>4242</v>
      </c>
      <c r="E2607" s="1"/>
      <c r="F2607" s="8" t="s">
        <v>66</v>
      </c>
      <c r="L2607" s="7"/>
    </row>
    <row r="2608" spans="1:12" x14ac:dyDescent="0.2">
      <c r="A2608" s="3">
        <v>2604</v>
      </c>
      <c r="B2608" s="3" t="s">
        <v>4243</v>
      </c>
      <c r="C2608" s="3" t="s">
        <v>4244</v>
      </c>
      <c r="D2608" s="3" t="s">
        <v>4244</v>
      </c>
      <c r="E2608" s="1"/>
      <c r="F2608" s="8" t="s">
        <v>66</v>
      </c>
      <c r="L2608" s="7"/>
    </row>
    <row r="2609" spans="1:12" x14ac:dyDescent="0.2">
      <c r="A2609" s="3">
        <v>2605</v>
      </c>
      <c r="B2609" s="3" t="s">
        <v>4245</v>
      </c>
      <c r="C2609" s="3" t="s">
        <v>4246</v>
      </c>
      <c r="D2609" s="3" t="s">
        <v>4246</v>
      </c>
      <c r="E2609" s="1"/>
      <c r="F2609" s="8" t="s">
        <v>66</v>
      </c>
      <c r="L2609" s="7"/>
    </row>
    <row r="2610" spans="1:12" x14ac:dyDescent="0.2">
      <c r="A2610" s="3">
        <v>2606</v>
      </c>
      <c r="B2610" s="3" t="s">
        <v>4247</v>
      </c>
      <c r="C2610" s="3" t="s">
        <v>4247</v>
      </c>
      <c r="D2610" s="3" t="s">
        <v>4247</v>
      </c>
      <c r="E2610" s="1" t="s">
        <v>4248</v>
      </c>
      <c r="F2610" s="8" t="s">
        <v>66</v>
      </c>
    </row>
    <row r="2611" spans="1:12" x14ac:dyDescent="0.2">
      <c r="A2611" s="3">
        <v>2607</v>
      </c>
      <c r="B2611" s="3" t="s">
        <v>4249</v>
      </c>
      <c r="C2611" s="3" t="s">
        <v>4250</v>
      </c>
      <c r="D2611" s="3" t="s">
        <v>4250</v>
      </c>
      <c r="E2611" s="1"/>
      <c r="F2611" s="8" t="s">
        <v>66</v>
      </c>
    </row>
    <row r="2612" spans="1:12" x14ac:dyDescent="0.2">
      <c r="A2612" s="3">
        <v>2608</v>
      </c>
      <c r="B2612" s="3" t="s">
        <v>4251</v>
      </c>
      <c r="C2612" s="3" t="s">
        <v>4250</v>
      </c>
      <c r="D2612" s="3" t="s">
        <v>4250</v>
      </c>
      <c r="E2612" s="1"/>
      <c r="F2612" s="8" t="s">
        <v>66</v>
      </c>
    </row>
    <row r="2613" spans="1:12" x14ac:dyDescent="0.2">
      <c r="A2613" s="3">
        <v>2612</v>
      </c>
      <c r="B2613" s="3"/>
      <c r="C2613" s="3"/>
      <c r="D2613" s="3"/>
      <c r="E2613" s="1"/>
      <c r="F2613" s="8" t="s">
        <v>66</v>
      </c>
    </row>
    <row r="2614" spans="1:12" x14ac:dyDescent="0.2">
      <c r="A2614" s="3">
        <v>2613</v>
      </c>
      <c r="B2614" s="3"/>
      <c r="C2614" s="3"/>
      <c r="D2614" s="3"/>
      <c r="E2614" s="1"/>
      <c r="F2614" s="8" t="s">
        <v>66</v>
      </c>
    </row>
    <row r="2615" spans="1:12" x14ac:dyDescent="0.2">
      <c r="A2615" s="3">
        <v>2614</v>
      </c>
      <c r="B2615" s="3"/>
      <c r="C2615" s="3"/>
      <c r="D2615" s="3"/>
      <c r="E2615" s="1"/>
      <c r="F2615" s="8" t="s">
        <v>66</v>
      </c>
    </row>
    <row r="2616" spans="1:12" x14ac:dyDescent="0.2">
      <c r="A2616" s="3">
        <v>2615</v>
      </c>
      <c r="B2616" s="3"/>
      <c r="C2616" s="3"/>
      <c r="D2616" s="3"/>
      <c r="E2616" s="1"/>
      <c r="F2616" s="8" t="s">
        <v>66</v>
      </c>
    </row>
    <row r="2617" spans="1:12" x14ac:dyDescent="0.2">
      <c r="A2617" s="3">
        <v>2616</v>
      </c>
      <c r="B2617" s="3"/>
      <c r="C2617" s="3"/>
      <c r="D2617" s="3"/>
      <c r="E2617" s="1"/>
      <c r="F2617" s="8" t="s">
        <v>66</v>
      </c>
    </row>
    <row r="2618" spans="1:12" x14ac:dyDescent="0.2">
      <c r="A2618" s="3">
        <v>2617</v>
      </c>
      <c r="B2618" s="3"/>
      <c r="C2618" s="3"/>
      <c r="D2618" s="3"/>
      <c r="E2618" s="1"/>
      <c r="F2618" s="8" t="s">
        <v>66</v>
      </c>
    </row>
    <row r="2619" spans="1:12" x14ac:dyDescent="0.2">
      <c r="A2619" s="3">
        <v>2618</v>
      </c>
      <c r="B2619" s="3"/>
      <c r="C2619" s="3"/>
      <c r="D2619" s="3"/>
      <c r="E2619" s="1"/>
      <c r="F2619" s="8" t="s">
        <v>66</v>
      </c>
    </row>
    <row r="2620" spans="1:12" x14ac:dyDescent="0.2">
      <c r="A2620" s="3">
        <v>2619</v>
      </c>
      <c r="B2620" s="3"/>
      <c r="C2620" s="3"/>
      <c r="D2620" s="3"/>
      <c r="E2620" s="1"/>
      <c r="F2620" s="8" t="s">
        <v>66</v>
      </c>
    </row>
    <row r="2621" spans="1:12" x14ac:dyDescent="0.2">
      <c r="A2621" s="3">
        <v>2620</v>
      </c>
      <c r="B2621" s="3"/>
      <c r="C2621" s="3"/>
      <c r="D2621" s="3"/>
      <c r="E2621" s="1"/>
      <c r="F2621" s="8" t="s">
        <v>66</v>
      </c>
    </row>
    <row r="2622" spans="1:12" x14ac:dyDescent="0.2">
      <c r="A2622" s="3">
        <v>2621</v>
      </c>
      <c r="B2622" s="3"/>
      <c r="C2622" s="3"/>
      <c r="D2622" s="3"/>
      <c r="E2622" s="1"/>
      <c r="F2622" s="8" t="s">
        <v>66</v>
      </c>
    </row>
    <row r="2623" spans="1:12" x14ac:dyDescent="0.2">
      <c r="A2623" s="3">
        <v>2622</v>
      </c>
      <c r="B2623" s="3"/>
      <c r="C2623" s="3"/>
      <c r="D2623" s="3"/>
      <c r="E2623" s="1"/>
      <c r="F2623" s="8" t="s">
        <v>66</v>
      </c>
    </row>
    <row r="2624" spans="1:12" x14ac:dyDescent="0.2">
      <c r="A2624" s="3">
        <v>2623</v>
      </c>
      <c r="B2624" s="3"/>
      <c r="C2624" s="3"/>
      <c r="D2624" s="3"/>
      <c r="E2624" s="1"/>
      <c r="F2624" s="8" t="s">
        <v>66</v>
      </c>
    </row>
    <row r="2625" spans="1:6" x14ac:dyDescent="0.2">
      <c r="A2625" s="3">
        <v>2624</v>
      </c>
      <c r="B2625" s="3"/>
      <c r="C2625" s="3"/>
      <c r="D2625" s="3"/>
      <c r="E2625" s="1"/>
      <c r="F2625" s="8" t="s">
        <v>66</v>
      </c>
    </row>
    <row r="2626" spans="1:6" x14ac:dyDescent="0.2">
      <c r="A2626" s="3">
        <v>2625</v>
      </c>
      <c r="B2626" s="3"/>
      <c r="C2626" s="3"/>
      <c r="D2626" s="3"/>
      <c r="E2626" s="1"/>
      <c r="F2626" s="8" t="s">
        <v>66</v>
      </c>
    </row>
    <row r="2627" spans="1:6" x14ac:dyDescent="0.2">
      <c r="A2627" s="3">
        <v>2626</v>
      </c>
      <c r="B2627" s="3"/>
      <c r="C2627" s="3"/>
      <c r="D2627" s="3"/>
      <c r="E2627" s="1"/>
      <c r="F2627" s="8" t="s">
        <v>66</v>
      </c>
    </row>
    <row r="2628" spans="1:6" x14ac:dyDescent="0.2">
      <c r="A2628" s="3">
        <v>2627</v>
      </c>
      <c r="B2628" s="3"/>
      <c r="C2628" s="3"/>
      <c r="D2628" s="3"/>
      <c r="E2628" s="1"/>
      <c r="F2628" s="8" t="s">
        <v>66</v>
      </c>
    </row>
    <row r="2629" spans="1:6" x14ac:dyDescent="0.2">
      <c r="A2629" s="3">
        <v>2628</v>
      </c>
      <c r="B2629" s="3"/>
      <c r="C2629" s="3"/>
      <c r="D2629" s="3"/>
      <c r="E2629" s="1"/>
      <c r="F2629" s="8" t="s">
        <v>66</v>
      </c>
    </row>
    <row r="2630" spans="1:6" x14ac:dyDescent="0.2">
      <c r="A2630" s="3">
        <v>2629</v>
      </c>
      <c r="B2630" s="3"/>
      <c r="C2630" s="3"/>
      <c r="D2630" s="3"/>
      <c r="E2630" s="1"/>
      <c r="F2630" s="8" t="s">
        <v>66</v>
      </c>
    </row>
    <row r="2631" spans="1:6" x14ac:dyDescent="0.2">
      <c r="A2631" s="3">
        <v>2630</v>
      </c>
      <c r="B2631" s="3"/>
      <c r="C2631" s="3"/>
      <c r="D2631" s="3"/>
      <c r="E2631" s="1"/>
      <c r="F2631" s="8" t="s">
        <v>66</v>
      </c>
    </row>
    <row r="2632" spans="1:6" x14ac:dyDescent="0.2">
      <c r="A2632" s="3">
        <v>2631</v>
      </c>
      <c r="B2632" s="3"/>
      <c r="C2632" s="3"/>
      <c r="D2632" s="3"/>
      <c r="E2632" s="1"/>
      <c r="F2632" s="8" t="s">
        <v>66</v>
      </c>
    </row>
    <row r="2633" spans="1:6" x14ac:dyDescent="0.2">
      <c r="A2633" s="3">
        <v>2632</v>
      </c>
      <c r="B2633" s="3"/>
      <c r="C2633" s="3"/>
      <c r="D2633" s="3"/>
      <c r="E2633" s="1"/>
      <c r="F2633" s="8" t="s">
        <v>66</v>
      </c>
    </row>
    <row r="2634" spans="1:6" x14ac:dyDescent="0.2">
      <c r="A2634" s="3">
        <v>2633</v>
      </c>
      <c r="B2634" s="3"/>
      <c r="C2634" s="3"/>
      <c r="D2634" s="3"/>
      <c r="E2634" s="1"/>
      <c r="F2634" s="8" t="s">
        <v>66</v>
      </c>
    </row>
    <row r="2635" spans="1:6" x14ac:dyDescent="0.2">
      <c r="A2635" s="3">
        <v>2634</v>
      </c>
      <c r="B2635" s="3"/>
      <c r="C2635" s="3"/>
      <c r="D2635" s="3"/>
      <c r="E2635" s="1"/>
      <c r="F2635" s="8" t="s">
        <v>66</v>
      </c>
    </row>
    <row r="2636" spans="1:6" x14ac:dyDescent="0.2">
      <c r="A2636" s="3">
        <v>2635</v>
      </c>
      <c r="B2636" s="3"/>
      <c r="C2636" s="3"/>
      <c r="D2636" s="3"/>
      <c r="E2636" s="1"/>
      <c r="F2636" s="8" t="s">
        <v>66</v>
      </c>
    </row>
    <row r="2637" spans="1:6" x14ac:dyDescent="0.2">
      <c r="A2637" s="3">
        <v>2636</v>
      </c>
      <c r="B2637" s="3"/>
      <c r="C2637" s="3"/>
      <c r="D2637" s="3"/>
      <c r="E2637" s="1"/>
      <c r="F2637" s="8" t="s">
        <v>66</v>
      </c>
    </row>
    <row r="2638" spans="1:6" x14ac:dyDescent="0.2">
      <c r="A2638" s="3">
        <v>2637</v>
      </c>
      <c r="B2638" s="3"/>
      <c r="C2638" s="3"/>
      <c r="D2638" s="3"/>
      <c r="E2638" s="1"/>
      <c r="F2638" s="8" t="s">
        <v>66</v>
      </c>
    </row>
    <row r="2639" spans="1:6" x14ac:dyDescent="0.2">
      <c r="A2639" s="3">
        <v>2638</v>
      </c>
      <c r="B2639" s="3"/>
      <c r="C2639" s="3"/>
      <c r="D2639" s="3"/>
      <c r="E2639" s="1"/>
      <c r="F2639" s="8" t="s">
        <v>66</v>
      </c>
    </row>
    <row r="2640" spans="1:6" x14ac:dyDescent="0.2">
      <c r="A2640" s="3">
        <v>2639</v>
      </c>
      <c r="B2640" s="3"/>
      <c r="C2640" s="3"/>
      <c r="D2640" s="3"/>
      <c r="E2640" s="1"/>
      <c r="F2640" s="8" t="s">
        <v>66</v>
      </c>
    </row>
    <row r="2641" spans="1:6" x14ac:dyDescent="0.2">
      <c r="A2641" s="3">
        <v>2640</v>
      </c>
      <c r="B2641" s="3"/>
      <c r="C2641" s="3"/>
      <c r="D2641" s="3"/>
      <c r="E2641" s="1"/>
      <c r="F2641" s="8" t="s">
        <v>66</v>
      </c>
    </row>
    <row r="2642" spans="1:6" x14ac:dyDescent="0.2">
      <c r="A2642" s="3">
        <v>2641</v>
      </c>
      <c r="B2642" s="3"/>
      <c r="C2642" s="3"/>
      <c r="D2642" s="3"/>
      <c r="E2642" s="1"/>
      <c r="F2642" s="8" t="s">
        <v>66</v>
      </c>
    </row>
    <row r="2643" spans="1:6" x14ac:dyDescent="0.2">
      <c r="A2643" s="3">
        <v>2642</v>
      </c>
      <c r="B2643" s="3"/>
      <c r="C2643" s="3"/>
      <c r="D2643" s="3"/>
      <c r="E2643" s="1"/>
      <c r="F2643" s="8" t="s">
        <v>66</v>
      </c>
    </row>
    <row r="2644" spans="1:6" x14ac:dyDescent="0.2">
      <c r="A2644" s="3">
        <v>2643</v>
      </c>
      <c r="B2644" s="3"/>
      <c r="C2644" s="3"/>
      <c r="D2644" s="3"/>
      <c r="E2644" s="1"/>
      <c r="F2644" s="8" t="s">
        <v>66</v>
      </c>
    </row>
    <row r="2645" spans="1:6" x14ac:dyDescent="0.2">
      <c r="A2645" s="3">
        <v>2644</v>
      </c>
      <c r="B2645" s="3"/>
      <c r="C2645" s="3"/>
      <c r="D2645" s="3"/>
      <c r="E2645" s="1"/>
      <c r="F2645" s="8" t="s">
        <v>66</v>
      </c>
    </row>
    <row r="2646" spans="1:6" x14ac:dyDescent="0.2">
      <c r="A2646" s="3">
        <v>2645</v>
      </c>
      <c r="B2646" s="3"/>
      <c r="C2646" s="3"/>
      <c r="D2646" s="3"/>
      <c r="E2646" s="1"/>
      <c r="F2646" s="8" t="s">
        <v>66</v>
      </c>
    </row>
    <row r="2647" spans="1:6" x14ac:dyDescent="0.2">
      <c r="A2647" s="3">
        <v>2646</v>
      </c>
      <c r="B2647" s="3"/>
      <c r="C2647" s="3"/>
      <c r="D2647" s="3"/>
      <c r="E2647" s="1"/>
      <c r="F2647" s="8" t="s">
        <v>66</v>
      </c>
    </row>
    <row r="2648" spans="1:6" x14ac:dyDescent="0.2">
      <c r="A2648" s="3">
        <v>2647</v>
      </c>
      <c r="B2648" s="3"/>
      <c r="C2648" s="3"/>
      <c r="D2648" s="3"/>
      <c r="E2648" s="1"/>
      <c r="F2648" s="8" t="s">
        <v>66</v>
      </c>
    </row>
    <row r="2649" spans="1:6" x14ac:dyDescent="0.2">
      <c r="A2649" s="3">
        <v>2648</v>
      </c>
      <c r="B2649" s="3"/>
      <c r="C2649" s="3"/>
      <c r="D2649" s="3"/>
      <c r="E2649" s="1"/>
      <c r="F2649" s="8" t="s">
        <v>66</v>
      </c>
    </row>
    <row r="2650" spans="1:6" x14ac:dyDescent="0.2">
      <c r="A2650" s="3">
        <v>2649</v>
      </c>
      <c r="B2650" s="3"/>
      <c r="C2650" s="3"/>
      <c r="D2650" s="3"/>
      <c r="E2650" s="1"/>
      <c r="F2650" s="8" t="s">
        <v>66</v>
      </c>
    </row>
    <row r="2651" spans="1:6" x14ac:dyDescent="0.2">
      <c r="A2651" s="3">
        <v>2650</v>
      </c>
      <c r="B2651" s="3"/>
      <c r="C2651" s="3"/>
      <c r="D2651" s="3"/>
      <c r="E2651" s="1"/>
      <c r="F2651" s="8" t="s">
        <v>66</v>
      </c>
    </row>
    <row r="2652" spans="1:6" x14ac:dyDescent="0.2">
      <c r="A2652" s="3">
        <v>2651</v>
      </c>
      <c r="B2652" s="3"/>
      <c r="C2652" s="3"/>
      <c r="D2652" s="3"/>
      <c r="E2652" s="1"/>
      <c r="F2652" s="8" t="s">
        <v>66</v>
      </c>
    </row>
    <row r="2653" spans="1:6" x14ac:dyDescent="0.2">
      <c r="A2653" s="3">
        <v>2652</v>
      </c>
      <c r="B2653" s="3"/>
      <c r="C2653" s="3"/>
      <c r="D2653" s="3"/>
      <c r="E2653" s="1"/>
      <c r="F2653" s="8" t="s">
        <v>66</v>
      </c>
    </row>
    <row r="2654" spans="1:6" x14ac:dyDescent="0.2">
      <c r="A2654" s="3">
        <v>2653</v>
      </c>
      <c r="B2654" s="3"/>
      <c r="C2654" s="3"/>
      <c r="D2654" s="3"/>
      <c r="E2654" s="1"/>
      <c r="F2654" s="8" t="s">
        <v>66</v>
      </c>
    </row>
    <row r="2655" spans="1:6" x14ac:dyDescent="0.2">
      <c r="A2655" s="3">
        <v>2654</v>
      </c>
      <c r="B2655" s="3"/>
      <c r="C2655" s="3"/>
      <c r="D2655" s="3"/>
      <c r="E2655" s="1"/>
      <c r="F2655" s="8" t="s">
        <v>66</v>
      </c>
    </row>
    <row r="2656" spans="1:6" x14ac:dyDescent="0.2">
      <c r="A2656" s="3">
        <v>2655</v>
      </c>
      <c r="B2656" s="3"/>
      <c r="C2656" s="3"/>
      <c r="D2656" s="3"/>
      <c r="E2656" s="1"/>
      <c r="F2656" s="8" t="s">
        <v>66</v>
      </c>
    </row>
    <row r="2657" spans="1:6" x14ac:dyDescent="0.2">
      <c r="A2657" s="3">
        <v>2656</v>
      </c>
      <c r="B2657" s="3"/>
      <c r="C2657" s="3"/>
      <c r="D2657" s="3"/>
      <c r="E2657" s="1"/>
      <c r="F2657" s="8" t="s">
        <v>66</v>
      </c>
    </row>
    <row r="2658" spans="1:6" x14ac:dyDescent="0.2">
      <c r="A2658" s="3">
        <v>2657</v>
      </c>
      <c r="B2658" s="3"/>
      <c r="C2658" s="3"/>
      <c r="D2658" s="3"/>
      <c r="E2658" s="1"/>
      <c r="F2658" s="8" t="s">
        <v>66</v>
      </c>
    </row>
    <row r="2659" spans="1:6" x14ac:dyDescent="0.2">
      <c r="A2659" s="3">
        <v>2658</v>
      </c>
      <c r="B2659" s="3"/>
      <c r="C2659" s="3"/>
      <c r="D2659" s="3"/>
      <c r="E2659" s="1"/>
      <c r="F2659" s="8" t="s">
        <v>66</v>
      </c>
    </row>
    <row r="2660" spans="1:6" x14ac:dyDescent="0.2">
      <c r="A2660" s="3">
        <v>2659</v>
      </c>
      <c r="B2660" s="3"/>
      <c r="C2660" s="3"/>
      <c r="D2660" s="3"/>
      <c r="E2660" s="1"/>
      <c r="F2660" s="8" t="s">
        <v>66</v>
      </c>
    </row>
    <row r="2661" spans="1:6" x14ac:dyDescent="0.2">
      <c r="A2661" s="3">
        <v>2660</v>
      </c>
      <c r="B2661" s="3"/>
      <c r="C2661" s="3"/>
      <c r="D2661" s="3"/>
      <c r="E2661" s="1"/>
      <c r="F2661" s="8" t="s">
        <v>66</v>
      </c>
    </row>
    <row r="2662" spans="1:6" x14ac:dyDescent="0.2">
      <c r="A2662" s="3">
        <v>2661</v>
      </c>
      <c r="B2662" s="3"/>
      <c r="C2662" s="3"/>
      <c r="D2662" s="3"/>
      <c r="E2662" s="1"/>
      <c r="F2662" s="8" t="s">
        <v>66</v>
      </c>
    </row>
    <row r="2663" spans="1:6" x14ac:dyDescent="0.2">
      <c r="A2663" s="3">
        <v>2662</v>
      </c>
      <c r="B2663" s="3"/>
      <c r="C2663" s="3"/>
      <c r="D2663" s="3"/>
      <c r="E2663" s="1"/>
      <c r="F2663" s="8" t="s">
        <v>66</v>
      </c>
    </row>
    <row r="2664" spans="1:6" x14ac:dyDescent="0.2">
      <c r="A2664" s="3">
        <v>2663</v>
      </c>
      <c r="B2664" s="3"/>
      <c r="C2664" s="3"/>
      <c r="D2664" s="3"/>
      <c r="E2664" s="1"/>
      <c r="F2664" s="8" t="s">
        <v>66</v>
      </c>
    </row>
    <row r="2665" spans="1:6" x14ac:dyDescent="0.2">
      <c r="A2665" s="3">
        <v>2664</v>
      </c>
      <c r="B2665" s="3"/>
      <c r="C2665" s="3"/>
      <c r="D2665" s="3"/>
      <c r="E2665" s="1"/>
      <c r="F2665" s="8" t="s">
        <v>66</v>
      </c>
    </row>
    <row r="2666" spans="1:6" x14ac:dyDescent="0.2">
      <c r="A2666" s="3">
        <v>2665</v>
      </c>
      <c r="B2666" s="3"/>
      <c r="C2666" s="3"/>
      <c r="D2666" s="3"/>
      <c r="E2666" s="1"/>
      <c r="F2666" s="8" t="s">
        <v>66</v>
      </c>
    </row>
    <row r="2667" spans="1:6" x14ac:dyDescent="0.2">
      <c r="A2667" s="3">
        <v>2666</v>
      </c>
      <c r="B2667" s="3"/>
      <c r="C2667" s="3"/>
      <c r="D2667" s="3"/>
      <c r="E2667" s="1"/>
      <c r="F2667" s="8" t="s">
        <v>66</v>
      </c>
    </row>
    <row r="2668" spans="1:6" x14ac:dyDescent="0.2">
      <c r="A2668" s="3">
        <v>2667</v>
      </c>
      <c r="B2668" s="3"/>
      <c r="C2668" s="3"/>
      <c r="D2668" s="3"/>
      <c r="E2668" s="1"/>
      <c r="F2668" s="8" t="s">
        <v>66</v>
      </c>
    </row>
    <row r="2669" spans="1:6" x14ac:dyDescent="0.2">
      <c r="A2669" s="3">
        <v>2668</v>
      </c>
      <c r="B2669" s="3"/>
      <c r="C2669" s="3"/>
      <c r="D2669" s="3"/>
      <c r="E2669" s="1"/>
      <c r="F2669" s="8" t="s">
        <v>66</v>
      </c>
    </row>
    <row r="2670" spans="1:6" x14ac:dyDescent="0.2">
      <c r="A2670" s="3">
        <v>2669</v>
      </c>
      <c r="B2670" s="3"/>
      <c r="C2670" s="3"/>
      <c r="D2670" s="3"/>
      <c r="E2670" s="1"/>
      <c r="F2670" s="8" t="s">
        <v>66</v>
      </c>
    </row>
    <row r="2671" spans="1:6" x14ac:dyDescent="0.2">
      <c r="A2671" s="3">
        <v>2670</v>
      </c>
      <c r="B2671" s="3"/>
      <c r="C2671" s="3"/>
      <c r="D2671" s="3"/>
      <c r="E2671" s="1"/>
      <c r="F2671" s="8" t="s">
        <v>66</v>
      </c>
    </row>
    <row r="2672" spans="1:6" x14ac:dyDescent="0.2">
      <c r="A2672" s="3">
        <v>2671</v>
      </c>
      <c r="B2672" s="3"/>
      <c r="C2672" s="3"/>
      <c r="D2672" s="3"/>
      <c r="E2672" s="1"/>
      <c r="F2672" s="8" t="s">
        <v>66</v>
      </c>
    </row>
    <row r="2673" spans="1:6" x14ac:dyDescent="0.2">
      <c r="A2673" s="3">
        <v>2672</v>
      </c>
      <c r="B2673" s="3"/>
      <c r="C2673" s="3"/>
      <c r="D2673" s="3"/>
      <c r="E2673" s="1"/>
      <c r="F2673" s="8" t="s">
        <v>66</v>
      </c>
    </row>
    <row r="2674" spans="1:6" x14ac:dyDescent="0.2">
      <c r="A2674" s="3">
        <v>2673</v>
      </c>
      <c r="B2674" s="3"/>
      <c r="C2674" s="3"/>
      <c r="D2674" s="3"/>
      <c r="E2674" s="1"/>
      <c r="F2674" s="8" t="s">
        <v>66</v>
      </c>
    </row>
    <row r="2675" spans="1:6" x14ac:dyDescent="0.2">
      <c r="A2675" s="3">
        <v>2674</v>
      </c>
      <c r="B2675" s="3"/>
      <c r="C2675" s="3"/>
      <c r="D2675" s="3"/>
      <c r="E2675" s="1"/>
      <c r="F2675" s="8" t="s">
        <v>66</v>
      </c>
    </row>
    <row r="2676" spans="1:6" x14ac:dyDescent="0.2">
      <c r="A2676" s="3">
        <v>2675</v>
      </c>
      <c r="B2676" s="3"/>
      <c r="C2676" s="3"/>
      <c r="D2676" s="3"/>
      <c r="E2676" s="1"/>
      <c r="F2676" s="8" t="s">
        <v>66</v>
      </c>
    </row>
    <row r="2677" spans="1:6" x14ac:dyDescent="0.2">
      <c r="A2677" s="3">
        <v>2676</v>
      </c>
      <c r="B2677" s="3"/>
      <c r="C2677" s="3"/>
      <c r="D2677" s="3"/>
      <c r="E2677" s="1"/>
      <c r="F2677" s="8" t="s">
        <v>66</v>
      </c>
    </row>
    <row r="2678" spans="1:6" x14ac:dyDescent="0.2">
      <c r="A2678" s="3">
        <v>2677</v>
      </c>
      <c r="B2678" s="3"/>
      <c r="C2678" s="3"/>
      <c r="D2678" s="3"/>
      <c r="E2678" s="1"/>
      <c r="F2678" s="8" t="s">
        <v>66</v>
      </c>
    </row>
    <row r="2679" spans="1:6" x14ac:dyDescent="0.2">
      <c r="A2679" s="3">
        <v>2678</v>
      </c>
      <c r="B2679" s="3"/>
      <c r="C2679" s="3"/>
      <c r="D2679" s="3"/>
      <c r="E2679" s="1"/>
      <c r="F2679" s="8" t="s">
        <v>66</v>
      </c>
    </row>
    <row r="2680" spans="1:6" x14ac:dyDescent="0.2">
      <c r="A2680" s="3">
        <v>2679</v>
      </c>
      <c r="B2680" s="3"/>
      <c r="C2680" s="3"/>
      <c r="D2680" s="3"/>
      <c r="E2680" s="1"/>
      <c r="F2680" s="8" t="s">
        <v>66</v>
      </c>
    </row>
    <row r="2681" spans="1:6" x14ac:dyDescent="0.2">
      <c r="A2681" s="3">
        <v>2680</v>
      </c>
      <c r="B2681" s="3"/>
      <c r="C2681" s="3"/>
      <c r="D2681" s="3"/>
      <c r="E2681" s="1"/>
      <c r="F2681" s="8" t="s">
        <v>66</v>
      </c>
    </row>
    <row r="2682" spans="1:6" x14ac:dyDescent="0.2">
      <c r="A2682" s="3">
        <v>2681</v>
      </c>
      <c r="B2682" s="3"/>
      <c r="C2682" s="3"/>
      <c r="D2682" s="3"/>
      <c r="E2682" s="1"/>
      <c r="F2682" s="8" t="s">
        <v>66</v>
      </c>
    </row>
    <row r="2683" spans="1:6" x14ac:dyDescent="0.2">
      <c r="A2683" s="3">
        <v>2682</v>
      </c>
      <c r="B2683" s="3"/>
      <c r="C2683" s="3"/>
      <c r="D2683" s="3"/>
      <c r="E2683" s="1"/>
      <c r="F2683" s="8" t="s">
        <v>66</v>
      </c>
    </row>
    <row r="2684" spans="1:6" x14ac:dyDescent="0.2">
      <c r="A2684" s="3">
        <v>2683</v>
      </c>
      <c r="B2684" s="3"/>
      <c r="C2684" s="3"/>
      <c r="D2684" s="3"/>
      <c r="E2684" s="1"/>
      <c r="F2684" s="8" t="s">
        <v>66</v>
      </c>
    </row>
    <row r="2685" spans="1:6" x14ac:dyDescent="0.2">
      <c r="A2685" s="3">
        <v>2684</v>
      </c>
      <c r="B2685" s="3"/>
      <c r="C2685" s="3"/>
      <c r="D2685" s="3"/>
      <c r="E2685" s="1"/>
      <c r="F2685" s="8" t="s">
        <v>66</v>
      </c>
    </row>
    <row r="2686" spans="1:6" x14ac:dyDescent="0.2">
      <c r="A2686" s="3">
        <v>2685</v>
      </c>
      <c r="B2686" s="3"/>
      <c r="C2686" s="3"/>
      <c r="D2686" s="3"/>
      <c r="E2686" s="1"/>
      <c r="F2686" s="8" t="s">
        <v>66</v>
      </c>
    </row>
    <row r="2687" spans="1:6" x14ac:dyDescent="0.2">
      <c r="A2687" s="3">
        <v>2686</v>
      </c>
      <c r="B2687" s="3"/>
      <c r="C2687" s="3"/>
      <c r="D2687" s="3"/>
      <c r="E2687" s="1"/>
      <c r="F2687" s="8" t="s">
        <v>66</v>
      </c>
    </row>
    <row r="2688" spans="1:6" x14ac:dyDescent="0.2">
      <c r="A2688" s="3">
        <v>2687</v>
      </c>
      <c r="B2688" s="3"/>
      <c r="C2688" s="3"/>
      <c r="D2688" s="3"/>
      <c r="E2688" s="1"/>
      <c r="F2688" s="8" t="s">
        <v>66</v>
      </c>
    </row>
    <row r="2689" spans="1:6" x14ac:dyDescent="0.2">
      <c r="A2689" s="3">
        <v>2688</v>
      </c>
      <c r="B2689" s="3"/>
      <c r="C2689" s="3"/>
      <c r="D2689" s="3"/>
      <c r="E2689" s="1"/>
      <c r="F2689" s="8" t="s">
        <v>66</v>
      </c>
    </row>
    <row r="2690" spans="1:6" x14ac:dyDescent="0.2">
      <c r="A2690" s="3">
        <v>2689</v>
      </c>
      <c r="B2690" s="3"/>
      <c r="C2690" s="3"/>
      <c r="D2690" s="3"/>
      <c r="E2690" s="1"/>
      <c r="F2690" s="8" t="s">
        <v>66</v>
      </c>
    </row>
    <row r="2691" spans="1:6" x14ac:dyDescent="0.2">
      <c r="A2691" s="3">
        <v>2690</v>
      </c>
      <c r="B2691" s="3"/>
      <c r="C2691" s="3"/>
      <c r="D2691" s="3"/>
      <c r="E2691" s="1"/>
      <c r="F2691" s="8" t="s">
        <v>66</v>
      </c>
    </row>
    <row r="2692" spans="1:6" x14ac:dyDescent="0.2">
      <c r="A2692" s="3">
        <v>2691</v>
      </c>
      <c r="B2692" s="3"/>
      <c r="C2692" s="3"/>
      <c r="D2692" s="3"/>
      <c r="E2692" s="1"/>
      <c r="F2692" s="8" t="s">
        <v>66</v>
      </c>
    </row>
    <row r="2693" spans="1:6" x14ac:dyDescent="0.2">
      <c r="A2693" s="3">
        <v>2692</v>
      </c>
      <c r="B2693" s="3"/>
      <c r="C2693" s="3"/>
      <c r="D2693" s="3"/>
      <c r="E2693" s="1"/>
      <c r="F2693" s="8" t="s">
        <v>66</v>
      </c>
    </row>
    <row r="2694" spans="1:6" x14ac:dyDescent="0.2">
      <c r="A2694" s="3">
        <v>2693</v>
      </c>
      <c r="B2694" s="3"/>
      <c r="C2694" s="3"/>
      <c r="D2694" s="3"/>
      <c r="E2694" s="1"/>
      <c r="F2694" s="8" t="s">
        <v>66</v>
      </c>
    </row>
    <row r="2695" spans="1:6" x14ac:dyDescent="0.2">
      <c r="A2695" s="3">
        <v>2694</v>
      </c>
      <c r="B2695" s="3"/>
      <c r="C2695" s="3"/>
      <c r="D2695" s="3"/>
      <c r="E2695" s="1"/>
      <c r="F2695" s="8" t="s">
        <v>66</v>
      </c>
    </row>
    <row r="2696" spans="1:6" x14ac:dyDescent="0.2">
      <c r="A2696" s="3">
        <v>2695</v>
      </c>
      <c r="B2696" s="3"/>
      <c r="C2696" s="3"/>
      <c r="D2696" s="3"/>
      <c r="E2696" s="1"/>
      <c r="F2696" s="8" t="s">
        <v>66</v>
      </c>
    </row>
    <row r="2697" spans="1:6" x14ac:dyDescent="0.2">
      <c r="A2697" s="3">
        <v>2696</v>
      </c>
      <c r="B2697" s="3"/>
      <c r="C2697" s="3"/>
      <c r="D2697" s="3"/>
      <c r="E2697" s="1"/>
      <c r="F2697" s="8" t="s">
        <v>66</v>
      </c>
    </row>
    <row r="2698" spans="1:6" x14ac:dyDescent="0.2">
      <c r="A2698" s="3">
        <v>2697</v>
      </c>
      <c r="B2698" s="3"/>
      <c r="C2698" s="3"/>
      <c r="D2698" s="3"/>
      <c r="E2698" s="1"/>
      <c r="F2698" s="8" t="s">
        <v>66</v>
      </c>
    </row>
    <row r="2699" spans="1:6" x14ac:dyDescent="0.2">
      <c r="A2699" s="3">
        <v>2698</v>
      </c>
      <c r="B2699" s="3"/>
      <c r="C2699" s="3"/>
      <c r="D2699" s="3"/>
      <c r="E2699" s="1"/>
      <c r="F2699" s="8" t="s">
        <v>66</v>
      </c>
    </row>
    <row r="2700" spans="1:6" x14ac:dyDescent="0.2">
      <c r="A2700" s="3">
        <v>2699</v>
      </c>
      <c r="B2700" s="3"/>
      <c r="C2700" s="3"/>
      <c r="D2700" s="3"/>
      <c r="E2700" s="1"/>
      <c r="F2700" s="8" t="s">
        <v>66</v>
      </c>
    </row>
    <row r="2701" spans="1:6" x14ac:dyDescent="0.2">
      <c r="A2701" s="3">
        <v>2700</v>
      </c>
      <c r="B2701" s="3"/>
      <c r="C2701" s="3"/>
      <c r="D2701" s="3"/>
      <c r="E2701" s="1"/>
      <c r="F2701" s="8" t="s">
        <v>66</v>
      </c>
    </row>
    <row r="2702" spans="1:6" x14ac:dyDescent="0.2">
      <c r="A2702" s="3">
        <v>2701</v>
      </c>
      <c r="B2702" s="3"/>
      <c r="C2702" s="3"/>
      <c r="D2702" s="3"/>
      <c r="E2702" s="1"/>
      <c r="F2702" s="8" t="s">
        <v>66</v>
      </c>
    </row>
    <row r="2703" spans="1:6" x14ac:dyDescent="0.2">
      <c r="A2703" s="3">
        <v>2702</v>
      </c>
      <c r="B2703" s="3"/>
      <c r="C2703" s="3"/>
      <c r="D2703" s="3"/>
      <c r="E2703" s="1"/>
      <c r="F2703" s="8" t="s">
        <v>66</v>
      </c>
    </row>
    <row r="2704" spans="1:6" x14ac:dyDescent="0.2">
      <c r="A2704" s="3">
        <v>2703</v>
      </c>
      <c r="B2704" s="3"/>
      <c r="C2704" s="3"/>
      <c r="D2704" s="3"/>
      <c r="E2704" s="1"/>
      <c r="F2704" s="8" t="s">
        <v>66</v>
      </c>
    </row>
    <row r="2705" spans="1:6" x14ac:dyDescent="0.2">
      <c r="A2705" s="3">
        <v>2704</v>
      </c>
      <c r="B2705" s="3"/>
      <c r="C2705" s="3"/>
      <c r="D2705" s="3"/>
      <c r="E2705" s="1"/>
      <c r="F2705" s="8" t="s">
        <v>66</v>
      </c>
    </row>
    <row r="2706" spans="1:6" x14ac:dyDescent="0.2">
      <c r="A2706" s="3">
        <v>2705</v>
      </c>
      <c r="B2706" s="3"/>
      <c r="C2706" s="3"/>
      <c r="D2706" s="3"/>
      <c r="E2706" s="1"/>
      <c r="F2706" s="8" t="s">
        <v>66</v>
      </c>
    </row>
    <row r="2707" spans="1:6" x14ac:dyDescent="0.2">
      <c r="A2707" s="3">
        <v>2706</v>
      </c>
      <c r="B2707" s="3"/>
      <c r="C2707" s="3"/>
      <c r="D2707" s="3"/>
      <c r="E2707" s="1"/>
      <c r="F2707" s="8" t="s">
        <v>66</v>
      </c>
    </row>
    <row r="2708" spans="1:6" x14ac:dyDescent="0.2">
      <c r="A2708" s="3">
        <v>2707</v>
      </c>
      <c r="B2708" s="3"/>
      <c r="C2708" s="3"/>
      <c r="D2708" s="3"/>
      <c r="E2708" s="1"/>
      <c r="F2708" s="8" t="s">
        <v>66</v>
      </c>
    </row>
    <row r="2709" spans="1:6" x14ac:dyDescent="0.2">
      <c r="A2709" s="3">
        <v>2708</v>
      </c>
      <c r="B2709" s="3"/>
      <c r="C2709" s="3"/>
      <c r="D2709" s="3"/>
      <c r="E2709" s="1"/>
      <c r="F2709" s="8" t="s">
        <v>66</v>
      </c>
    </row>
    <row r="2710" spans="1:6" x14ac:dyDescent="0.2">
      <c r="A2710" s="3">
        <v>2709</v>
      </c>
      <c r="B2710" s="3"/>
      <c r="C2710" s="3"/>
      <c r="D2710" s="3"/>
      <c r="E2710" s="1"/>
      <c r="F2710" s="8" t="s">
        <v>66</v>
      </c>
    </row>
    <row r="2711" spans="1:6" x14ac:dyDescent="0.2">
      <c r="A2711" s="3">
        <v>2710</v>
      </c>
      <c r="B2711" s="3"/>
      <c r="C2711" s="3"/>
      <c r="D2711" s="3"/>
      <c r="E2711" s="1"/>
      <c r="F2711" s="8" t="s">
        <v>66</v>
      </c>
    </row>
    <row r="2712" spans="1:6" x14ac:dyDescent="0.2">
      <c r="A2712" s="3">
        <v>2711</v>
      </c>
      <c r="B2712" s="3"/>
      <c r="C2712" s="3"/>
      <c r="D2712" s="3"/>
      <c r="E2712" s="1"/>
      <c r="F2712" s="8" t="s">
        <v>66</v>
      </c>
    </row>
    <row r="2713" spans="1:6" x14ac:dyDescent="0.2">
      <c r="A2713" s="3">
        <v>2712</v>
      </c>
      <c r="B2713" s="3"/>
      <c r="C2713" s="3"/>
      <c r="D2713" s="3"/>
      <c r="E2713" s="1"/>
      <c r="F2713" s="8" t="s">
        <v>66</v>
      </c>
    </row>
    <row r="2714" spans="1:6" x14ac:dyDescent="0.2">
      <c r="A2714" s="3">
        <v>2713</v>
      </c>
      <c r="B2714" s="3"/>
      <c r="C2714" s="3"/>
      <c r="D2714" s="3"/>
      <c r="E2714" s="1"/>
      <c r="F2714" s="8" t="s">
        <v>66</v>
      </c>
    </row>
    <row r="2715" spans="1:6" x14ac:dyDescent="0.2">
      <c r="A2715" s="3">
        <v>2714</v>
      </c>
      <c r="B2715" s="3"/>
      <c r="C2715" s="3"/>
      <c r="D2715" s="3"/>
      <c r="E2715" s="1"/>
      <c r="F2715" s="8" t="s">
        <v>66</v>
      </c>
    </row>
    <row r="2716" spans="1:6" x14ac:dyDescent="0.2">
      <c r="A2716" s="3">
        <v>2715</v>
      </c>
      <c r="B2716" s="3"/>
      <c r="C2716" s="3"/>
      <c r="D2716" s="3"/>
      <c r="E2716" s="1"/>
      <c r="F2716" s="8" t="s">
        <v>66</v>
      </c>
    </row>
    <row r="2717" spans="1:6" x14ac:dyDescent="0.2">
      <c r="A2717" s="3">
        <v>2716</v>
      </c>
      <c r="B2717" s="3"/>
      <c r="C2717" s="3"/>
      <c r="D2717" s="3"/>
      <c r="E2717" s="1"/>
      <c r="F2717" s="8" t="s">
        <v>66</v>
      </c>
    </row>
    <row r="2718" spans="1:6" x14ac:dyDescent="0.2">
      <c r="A2718" s="3">
        <v>2717</v>
      </c>
      <c r="B2718" s="3"/>
      <c r="C2718" s="3"/>
      <c r="D2718" s="3"/>
      <c r="E2718" s="1"/>
      <c r="F2718" s="8" t="s">
        <v>66</v>
      </c>
    </row>
    <row r="2719" spans="1:6" x14ac:dyDescent="0.2">
      <c r="A2719" s="3">
        <v>2718</v>
      </c>
      <c r="B2719" s="3"/>
      <c r="C2719" s="3"/>
      <c r="D2719" s="3"/>
      <c r="E2719" s="1"/>
      <c r="F2719" s="8" t="s">
        <v>66</v>
      </c>
    </row>
    <row r="2720" spans="1:6" x14ac:dyDescent="0.2">
      <c r="A2720" s="3">
        <v>2719</v>
      </c>
      <c r="B2720" s="3"/>
      <c r="C2720" s="3"/>
      <c r="D2720" s="3"/>
      <c r="E2720" s="1"/>
      <c r="F2720" s="8" t="s">
        <v>66</v>
      </c>
    </row>
    <row r="2721" spans="1:6" x14ac:dyDescent="0.2">
      <c r="A2721" s="3">
        <v>2720</v>
      </c>
      <c r="B2721" s="3"/>
      <c r="C2721" s="3"/>
      <c r="D2721" s="3"/>
      <c r="E2721" s="1"/>
      <c r="F2721" s="8" t="s">
        <v>66</v>
      </c>
    </row>
    <row r="2722" spans="1:6" x14ac:dyDescent="0.2">
      <c r="A2722" s="3">
        <v>2721</v>
      </c>
      <c r="B2722" s="3"/>
      <c r="C2722" s="3"/>
      <c r="D2722" s="3"/>
      <c r="E2722" s="1"/>
      <c r="F2722" s="8" t="s">
        <v>66</v>
      </c>
    </row>
    <row r="2723" spans="1:6" x14ac:dyDescent="0.2">
      <c r="A2723" s="3">
        <v>2722</v>
      </c>
      <c r="B2723" s="3"/>
      <c r="C2723" s="3"/>
      <c r="D2723" s="3"/>
      <c r="E2723" s="1"/>
      <c r="F2723" s="8" t="s">
        <v>66</v>
      </c>
    </row>
    <row r="2724" spans="1:6" x14ac:dyDescent="0.2">
      <c r="A2724" s="3">
        <v>2723</v>
      </c>
      <c r="B2724" s="3"/>
      <c r="C2724" s="3"/>
      <c r="D2724" s="3"/>
      <c r="E2724" s="1"/>
      <c r="F2724" s="8" t="s">
        <v>66</v>
      </c>
    </row>
    <row r="2725" spans="1:6" x14ac:dyDescent="0.2">
      <c r="A2725" s="3">
        <v>2724</v>
      </c>
      <c r="B2725" s="3"/>
      <c r="C2725" s="3"/>
      <c r="D2725" s="3"/>
      <c r="E2725" s="1"/>
      <c r="F2725" s="8" t="s">
        <v>66</v>
      </c>
    </row>
    <row r="2726" spans="1:6" x14ac:dyDescent="0.2">
      <c r="A2726" s="3">
        <v>2725</v>
      </c>
      <c r="B2726" s="3"/>
      <c r="C2726" s="3"/>
      <c r="D2726" s="3"/>
      <c r="E2726" s="1"/>
      <c r="F2726" s="8" t="s">
        <v>66</v>
      </c>
    </row>
    <row r="2727" spans="1:6" x14ac:dyDescent="0.2">
      <c r="A2727" s="3">
        <v>2726</v>
      </c>
      <c r="B2727" s="3"/>
      <c r="C2727" s="3"/>
      <c r="D2727" s="3"/>
      <c r="E2727" s="1"/>
      <c r="F2727" s="8" t="s">
        <v>66</v>
      </c>
    </row>
    <row r="2728" spans="1:6" x14ac:dyDescent="0.2">
      <c r="A2728" s="3">
        <v>2727</v>
      </c>
      <c r="B2728" s="3"/>
      <c r="C2728" s="3"/>
      <c r="D2728" s="3"/>
      <c r="E2728" s="1"/>
      <c r="F2728" s="8" t="s">
        <v>66</v>
      </c>
    </row>
    <row r="2729" spans="1:6" x14ac:dyDescent="0.2">
      <c r="A2729" s="3">
        <v>2728</v>
      </c>
      <c r="B2729" s="3"/>
      <c r="C2729" s="3"/>
      <c r="D2729" s="3"/>
      <c r="E2729" s="1"/>
      <c r="F2729" s="8" t="s">
        <v>66</v>
      </c>
    </row>
    <row r="2730" spans="1:6" x14ac:dyDescent="0.2">
      <c r="A2730" s="3">
        <v>2729</v>
      </c>
      <c r="B2730" s="3"/>
      <c r="C2730" s="3"/>
      <c r="D2730" s="3"/>
      <c r="E2730" s="1"/>
      <c r="F2730" s="8" t="s">
        <v>66</v>
      </c>
    </row>
    <row r="2731" spans="1:6" x14ac:dyDescent="0.2">
      <c r="A2731" s="3">
        <v>2730</v>
      </c>
      <c r="B2731" s="3"/>
      <c r="C2731" s="3"/>
      <c r="D2731" s="3"/>
      <c r="E2731" s="1"/>
      <c r="F2731" s="8" t="s">
        <v>66</v>
      </c>
    </row>
    <row r="2732" spans="1:6" x14ac:dyDescent="0.2">
      <c r="A2732" s="3">
        <v>2731</v>
      </c>
      <c r="B2732" s="3"/>
      <c r="C2732" s="3"/>
      <c r="D2732" s="3"/>
      <c r="E2732" s="1"/>
      <c r="F2732" s="8" t="s">
        <v>66</v>
      </c>
    </row>
    <row r="2733" spans="1:6" x14ac:dyDescent="0.2">
      <c r="A2733" s="3">
        <v>2732</v>
      </c>
      <c r="B2733" s="3"/>
      <c r="C2733" s="3"/>
      <c r="D2733" s="3"/>
      <c r="E2733" s="1"/>
      <c r="F2733" s="8" t="s">
        <v>66</v>
      </c>
    </row>
    <row r="2734" spans="1:6" x14ac:dyDescent="0.2">
      <c r="A2734" s="3">
        <v>2733</v>
      </c>
      <c r="B2734" s="3"/>
      <c r="C2734" s="3"/>
      <c r="D2734" s="3"/>
      <c r="E2734" s="1"/>
      <c r="F2734" s="8" t="s">
        <v>66</v>
      </c>
    </row>
    <row r="2735" spans="1:6" x14ac:dyDescent="0.2">
      <c r="A2735" s="3">
        <v>2734</v>
      </c>
      <c r="B2735" s="3"/>
      <c r="C2735" s="3"/>
      <c r="D2735" s="3"/>
      <c r="E2735" s="1"/>
      <c r="F2735" s="8" t="s">
        <v>66</v>
      </c>
    </row>
    <row r="2736" spans="1:6" x14ac:dyDescent="0.2">
      <c r="A2736" s="3">
        <v>2735</v>
      </c>
      <c r="B2736" s="3"/>
      <c r="C2736" s="3"/>
      <c r="D2736" s="3"/>
      <c r="E2736" s="1"/>
      <c r="F2736" s="8" t="s">
        <v>66</v>
      </c>
    </row>
    <row r="2737" spans="1:6" x14ac:dyDescent="0.2">
      <c r="A2737" s="3">
        <v>2736</v>
      </c>
      <c r="B2737" s="3"/>
      <c r="C2737" s="3"/>
      <c r="D2737" s="3"/>
      <c r="E2737" s="1"/>
      <c r="F2737" s="8" t="s">
        <v>66</v>
      </c>
    </row>
    <row r="2738" spans="1:6" x14ac:dyDescent="0.2">
      <c r="A2738" s="3">
        <v>2737</v>
      </c>
      <c r="B2738" s="3"/>
      <c r="C2738" s="3"/>
      <c r="D2738" s="3"/>
      <c r="E2738" s="1"/>
      <c r="F2738" s="8" t="s">
        <v>66</v>
      </c>
    </row>
    <row r="2739" spans="1:6" x14ac:dyDescent="0.2">
      <c r="A2739" s="3">
        <v>2738</v>
      </c>
      <c r="B2739" s="3"/>
      <c r="C2739" s="3"/>
      <c r="D2739" s="3"/>
      <c r="E2739" s="1"/>
      <c r="F2739" s="8" t="s">
        <v>66</v>
      </c>
    </row>
    <row r="2740" spans="1:6" x14ac:dyDescent="0.2">
      <c r="A2740" s="3">
        <v>2739</v>
      </c>
      <c r="B2740" s="3"/>
      <c r="C2740" s="3"/>
      <c r="D2740" s="3"/>
      <c r="E2740" s="1"/>
      <c r="F2740" s="8" t="s">
        <v>66</v>
      </c>
    </row>
    <row r="2741" spans="1:6" x14ac:dyDescent="0.2">
      <c r="A2741" s="3">
        <v>2740</v>
      </c>
      <c r="B2741" s="3"/>
      <c r="C2741" s="3"/>
      <c r="D2741" s="3"/>
      <c r="E2741" s="1"/>
      <c r="F2741" s="8" t="s">
        <v>66</v>
      </c>
    </row>
    <row r="2742" spans="1:6" x14ac:dyDescent="0.2">
      <c r="A2742" s="3">
        <v>2741</v>
      </c>
      <c r="B2742" s="3"/>
      <c r="C2742" s="3"/>
      <c r="D2742" s="3"/>
      <c r="E2742" s="1"/>
      <c r="F2742" s="8" t="s">
        <v>66</v>
      </c>
    </row>
    <row r="2743" spans="1:6" x14ac:dyDescent="0.2">
      <c r="A2743" s="3">
        <v>2742</v>
      </c>
      <c r="B2743" s="3"/>
      <c r="C2743" s="3"/>
      <c r="D2743" s="3"/>
      <c r="E2743" s="1"/>
      <c r="F2743" s="8" t="s">
        <v>66</v>
      </c>
    </row>
    <row r="2744" spans="1:6" x14ac:dyDescent="0.2">
      <c r="A2744" s="3">
        <v>2743</v>
      </c>
      <c r="B2744" s="3"/>
      <c r="C2744" s="3"/>
      <c r="D2744" s="3"/>
      <c r="E2744" s="1"/>
      <c r="F2744" s="8" t="s">
        <v>66</v>
      </c>
    </row>
    <row r="2745" spans="1:6" x14ac:dyDescent="0.2">
      <c r="A2745" s="3">
        <v>2744</v>
      </c>
      <c r="B2745" s="3"/>
      <c r="C2745" s="3"/>
      <c r="D2745" s="3"/>
      <c r="E2745" s="1"/>
      <c r="F2745" s="8" t="s">
        <v>66</v>
      </c>
    </row>
    <row r="2746" spans="1:6" x14ac:dyDescent="0.2">
      <c r="A2746" s="3">
        <v>2745</v>
      </c>
      <c r="B2746" s="3"/>
      <c r="C2746" s="3"/>
      <c r="D2746" s="3"/>
      <c r="E2746" s="1"/>
      <c r="F2746" s="8" t="s">
        <v>66</v>
      </c>
    </row>
    <row r="2747" spans="1:6" x14ac:dyDescent="0.2">
      <c r="A2747" s="3">
        <v>2746</v>
      </c>
      <c r="B2747" s="3"/>
      <c r="C2747" s="3"/>
      <c r="D2747" s="3"/>
      <c r="E2747" s="1"/>
      <c r="F2747" s="8" t="s">
        <v>66</v>
      </c>
    </row>
    <row r="2748" spans="1:6" x14ac:dyDescent="0.2">
      <c r="A2748" s="3">
        <v>2747</v>
      </c>
      <c r="B2748" s="3"/>
      <c r="C2748" s="3"/>
      <c r="D2748" s="3"/>
      <c r="E2748" s="1"/>
      <c r="F2748" s="8" t="s">
        <v>66</v>
      </c>
    </row>
    <row r="2749" spans="1:6" x14ac:dyDescent="0.2">
      <c r="A2749" s="3">
        <v>2748</v>
      </c>
      <c r="B2749" s="3"/>
      <c r="C2749" s="3"/>
      <c r="D2749" s="3"/>
      <c r="E2749" s="1"/>
      <c r="F2749" s="8" t="s">
        <v>66</v>
      </c>
    </row>
    <row r="2750" spans="1:6" x14ac:dyDescent="0.2">
      <c r="A2750" s="3">
        <v>2749</v>
      </c>
      <c r="B2750" s="3"/>
      <c r="C2750" s="3"/>
      <c r="D2750" s="3"/>
      <c r="E2750" s="1"/>
      <c r="F2750" s="8" t="s">
        <v>66</v>
      </c>
    </row>
    <row r="2751" spans="1:6" x14ac:dyDescent="0.2">
      <c r="A2751" s="3">
        <v>2750</v>
      </c>
      <c r="B2751" s="3"/>
      <c r="C2751" s="3"/>
      <c r="D2751" s="3"/>
      <c r="E2751" s="1"/>
      <c r="F2751" s="8" t="s">
        <v>66</v>
      </c>
    </row>
    <row r="2752" spans="1:6" x14ac:dyDescent="0.2">
      <c r="A2752" s="3">
        <v>2751</v>
      </c>
      <c r="B2752" s="3"/>
      <c r="C2752" s="3"/>
      <c r="D2752" s="3"/>
      <c r="E2752" s="1"/>
      <c r="F2752" s="8" t="s">
        <v>66</v>
      </c>
    </row>
    <row r="2753" spans="1:6" x14ac:dyDescent="0.2">
      <c r="A2753" s="3">
        <v>2752</v>
      </c>
      <c r="B2753" s="3"/>
      <c r="C2753" s="3"/>
      <c r="D2753" s="3"/>
      <c r="E2753" s="1"/>
      <c r="F2753" s="8" t="s">
        <v>66</v>
      </c>
    </row>
    <row r="2754" spans="1:6" x14ac:dyDescent="0.2">
      <c r="A2754" s="3">
        <v>2753</v>
      </c>
      <c r="B2754" s="3"/>
      <c r="C2754" s="3"/>
      <c r="D2754" s="3"/>
      <c r="E2754" s="1"/>
      <c r="F2754" s="8" t="s">
        <v>66</v>
      </c>
    </row>
    <row r="2755" spans="1:6" x14ac:dyDescent="0.2">
      <c r="A2755" s="3">
        <v>2754</v>
      </c>
      <c r="B2755" s="3"/>
      <c r="C2755" s="3"/>
      <c r="D2755" s="3"/>
      <c r="E2755" s="1"/>
      <c r="F2755" s="8" t="s">
        <v>66</v>
      </c>
    </row>
    <row r="2756" spans="1:6" x14ac:dyDescent="0.2">
      <c r="A2756" s="3">
        <v>2755</v>
      </c>
      <c r="B2756" s="3"/>
      <c r="C2756" s="3"/>
      <c r="D2756" s="3"/>
      <c r="E2756" s="1"/>
      <c r="F2756" s="8" t="s">
        <v>66</v>
      </c>
    </row>
    <row r="2757" spans="1:6" x14ac:dyDescent="0.2">
      <c r="A2757" s="3">
        <v>2756</v>
      </c>
      <c r="B2757" s="3"/>
      <c r="C2757" s="3"/>
      <c r="D2757" s="3"/>
      <c r="E2757" s="1"/>
      <c r="F2757" s="8" t="s">
        <v>66</v>
      </c>
    </row>
    <row r="2758" spans="1:6" x14ac:dyDescent="0.2">
      <c r="A2758" s="3">
        <v>2757</v>
      </c>
      <c r="B2758" s="3"/>
      <c r="C2758" s="3"/>
      <c r="D2758" s="3"/>
      <c r="E2758" s="1"/>
      <c r="F2758" s="8" t="s">
        <v>66</v>
      </c>
    </row>
    <row r="2759" spans="1:6" x14ac:dyDescent="0.2">
      <c r="A2759" s="3">
        <v>2758</v>
      </c>
      <c r="B2759" s="3"/>
      <c r="C2759" s="3"/>
      <c r="D2759" s="3"/>
      <c r="E2759" s="1"/>
      <c r="F2759" s="8" t="s">
        <v>66</v>
      </c>
    </row>
    <row r="2760" spans="1:6" x14ac:dyDescent="0.2">
      <c r="A2760" s="3">
        <v>2759</v>
      </c>
      <c r="B2760" s="3"/>
      <c r="C2760" s="3"/>
      <c r="D2760" s="3"/>
      <c r="E2760" s="1"/>
      <c r="F2760" s="8" t="s">
        <v>66</v>
      </c>
    </row>
    <row r="2761" spans="1:6" x14ac:dyDescent="0.2">
      <c r="A2761" s="3">
        <v>2760</v>
      </c>
      <c r="B2761" s="3"/>
      <c r="C2761" s="3"/>
      <c r="D2761" s="3"/>
      <c r="E2761" s="1"/>
      <c r="F2761" s="8" t="s">
        <v>66</v>
      </c>
    </row>
    <row r="2762" spans="1:6" x14ac:dyDescent="0.2">
      <c r="A2762" s="3">
        <v>2761</v>
      </c>
      <c r="B2762" s="3"/>
      <c r="C2762" s="3"/>
      <c r="D2762" s="3"/>
      <c r="E2762" s="1"/>
      <c r="F2762" s="8" t="s">
        <v>66</v>
      </c>
    </row>
    <row r="2763" spans="1:6" x14ac:dyDescent="0.2">
      <c r="A2763" s="3">
        <v>2762</v>
      </c>
      <c r="B2763" s="3"/>
      <c r="C2763" s="3"/>
      <c r="D2763" s="3"/>
      <c r="E2763" s="1"/>
      <c r="F2763" s="8" t="s">
        <v>66</v>
      </c>
    </row>
    <row r="2764" spans="1:6" x14ac:dyDescent="0.2">
      <c r="A2764" s="3">
        <v>2763</v>
      </c>
      <c r="B2764" s="3"/>
      <c r="C2764" s="3"/>
      <c r="D2764" s="3"/>
      <c r="E2764" s="1"/>
      <c r="F2764" s="8" t="s">
        <v>66</v>
      </c>
    </row>
    <row r="2765" spans="1:6" x14ac:dyDescent="0.2">
      <c r="A2765" s="3">
        <v>2764</v>
      </c>
      <c r="B2765" s="3"/>
      <c r="C2765" s="3"/>
      <c r="D2765" s="3"/>
      <c r="E2765" s="1"/>
      <c r="F2765" s="8" t="s">
        <v>66</v>
      </c>
    </row>
    <row r="2766" spans="1:6" x14ac:dyDescent="0.2">
      <c r="A2766" s="3">
        <v>2765</v>
      </c>
      <c r="B2766" s="3"/>
      <c r="C2766" s="3"/>
      <c r="D2766" s="3"/>
      <c r="E2766" s="1"/>
      <c r="F2766" s="8" t="s">
        <v>66</v>
      </c>
    </row>
    <row r="2767" spans="1:6" x14ac:dyDescent="0.2">
      <c r="A2767" s="3">
        <v>2766</v>
      </c>
      <c r="B2767" s="3"/>
      <c r="C2767" s="3"/>
      <c r="D2767" s="3"/>
      <c r="E2767" s="1"/>
      <c r="F2767" s="8" t="s">
        <v>66</v>
      </c>
    </row>
    <row r="2768" spans="1:6" x14ac:dyDescent="0.2">
      <c r="A2768" s="3">
        <v>2767</v>
      </c>
      <c r="B2768" s="3"/>
      <c r="C2768" s="3"/>
      <c r="D2768" s="3"/>
      <c r="E2768" s="1"/>
      <c r="F2768" s="8" t="s">
        <v>66</v>
      </c>
    </row>
    <row r="2769" spans="1:6" x14ac:dyDescent="0.2">
      <c r="A2769" s="3">
        <v>2768</v>
      </c>
      <c r="B2769" s="3"/>
      <c r="C2769" s="3"/>
      <c r="D2769" s="3"/>
      <c r="E2769" s="1"/>
      <c r="F2769" s="8" t="s">
        <v>66</v>
      </c>
    </row>
    <row r="2770" spans="1:6" x14ac:dyDescent="0.2">
      <c r="A2770" s="3">
        <v>2769</v>
      </c>
      <c r="B2770" s="3"/>
      <c r="C2770" s="3"/>
      <c r="D2770" s="3"/>
      <c r="E2770" s="1"/>
      <c r="F2770" s="8" t="s">
        <v>66</v>
      </c>
    </row>
    <row r="2771" spans="1:6" x14ac:dyDescent="0.2">
      <c r="A2771" s="3">
        <v>2770</v>
      </c>
      <c r="B2771" s="3"/>
      <c r="C2771" s="3"/>
      <c r="D2771" s="3"/>
      <c r="E2771" s="1"/>
      <c r="F2771" s="8" t="s">
        <v>66</v>
      </c>
    </row>
    <row r="2772" spans="1:6" x14ac:dyDescent="0.2">
      <c r="A2772" s="3">
        <v>2771</v>
      </c>
      <c r="B2772" s="3"/>
      <c r="C2772" s="3"/>
      <c r="D2772" s="3"/>
      <c r="E2772" s="1"/>
      <c r="F2772" s="8" t="s">
        <v>66</v>
      </c>
    </row>
    <row r="2773" spans="1:6" x14ac:dyDescent="0.2">
      <c r="A2773" s="3">
        <v>2772</v>
      </c>
      <c r="B2773" s="3"/>
      <c r="C2773" s="3"/>
      <c r="D2773" s="3"/>
      <c r="E2773" s="1"/>
      <c r="F2773" s="8" t="s">
        <v>66</v>
      </c>
    </row>
    <row r="2774" spans="1:6" x14ac:dyDescent="0.2">
      <c r="A2774" s="3">
        <v>2773</v>
      </c>
      <c r="B2774" s="3"/>
      <c r="C2774" s="3"/>
      <c r="D2774" s="3"/>
      <c r="E2774" s="1"/>
      <c r="F2774" s="8" t="s">
        <v>66</v>
      </c>
    </row>
    <row r="2775" spans="1:6" x14ac:dyDescent="0.2">
      <c r="A2775" s="3">
        <v>2774</v>
      </c>
      <c r="B2775" s="3"/>
      <c r="C2775" s="3"/>
      <c r="D2775" s="3"/>
      <c r="E2775" s="1"/>
      <c r="F2775" s="8" t="s">
        <v>66</v>
      </c>
    </row>
    <row r="2776" spans="1:6" x14ac:dyDescent="0.2">
      <c r="A2776" s="3">
        <v>2775</v>
      </c>
      <c r="B2776" s="3"/>
      <c r="C2776" s="3"/>
      <c r="D2776" s="3"/>
      <c r="E2776" s="1"/>
      <c r="F2776" s="8" t="s">
        <v>66</v>
      </c>
    </row>
    <row r="2777" spans="1:6" x14ac:dyDescent="0.2">
      <c r="A2777" s="3">
        <v>2776</v>
      </c>
      <c r="B2777" s="3"/>
      <c r="C2777" s="3"/>
      <c r="D2777" s="3"/>
      <c r="E2777" s="1"/>
      <c r="F2777" s="8" t="s">
        <v>66</v>
      </c>
    </row>
    <row r="2778" spans="1:6" x14ac:dyDescent="0.2">
      <c r="A2778" s="3">
        <v>2777</v>
      </c>
      <c r="B2778" s="3"/>
      <c r="C2778" s="3"/>
      <c r="D2778" s="3"/>
      <c r="E2778" s="1"/>
      <c r="F2778" s="8" t="s">
        <v>66</v>
      </c>
    </row>
    <row r="2779" spans="1:6" x14ac:dyDescent="0.2">
      <c r="A2779" s="3">
        <v>2778</v>
      </c>
      <c r="B2779" s="3"/>
      <c r="C2779" s="3"/>
      <c r="D2779" s="3"/>
      <c r="E2779" s="1"/>
      <c r="F2779" s="8" t="s">
        <v>66</v>
      </c>
    </row>
    <row r="2780" spans="1:6" x14ac:dyDescent="0.2">
      <c r="A2780" s="3">
        <v>2779</v>
      </c>
      <c r="B2780" s="3"/>
      <c r="C2780" s="3"/>
      <c r="D2780" s="3"/>
      <c r="E2780" s="1"/>
      <c r="F2780" s="8" t="s">
        <v>66</v>
      </c>
    </row>
    <row r="2781" spans="1:6" x14ac:dyDescent="0.2">
      <c r="A2781" s="3">
        <v>2780</v>
      </c>
      <c r="B2781" s="3"/>
      <c r="C2781" s="3"/>
      <c r="D2781" s="3"/>
      <c r="E2781" s="1"/>
      <c r="F2781" s="8" t="s">
        <v>66</v>
      </c>
    </row>
    <row r="2782" spans="1:6" x14ac:dyDescent="0.2">
      <c r="A2782" s="3">
        <v>2781</v>
      </c>
      <c r="B2782" s="3"/>
      <c r="C2782" s="3"/>
      <c r="D2782" s="3"/>
      <c r="E2782" s="1"/>
      <c r="F2782" s="8" t="s">
        <v>66</v>
      </c>
    </row>
    <row r="2783" spans="1:6" x14ac:dyDescent="0.2">
      <c r="A2783" s="3">
        <v>2782</v>
      </c>
      <c r="B2783" s="3"/>
      <c r="C2783" s="3"/>
      <c r="D2783" s="3"/>
      <c r="E2783" s="1"/>
      <c r="F2783" s="8" t="s">
        <v>66</v>
      </c>
    </row>
    <row r="2784" spans="1:6" x14ac:dyDescent="0.2">
      <c r="A2784" s="3">
        <v>2783</v>
      </c>
      <c r="B2784" s="3"/>
      <c r="C2784" s="3"/>
      <c r="D2784" s="3"/>
      <c r="E2784" s="1"/>
      <c r="F2784" s="8" t="s">
        <v>66</v>
      </c>
    </row>
    <row r="2785" spans="1:6" x14ac:dyDescent="0.2">
      <c r="A2785" s="3">
        <v>2784</v>
      </c>
      <c r="B2785" s="3"/>
      <c r="C2785" s="3"/>
      <c r="D2785" s="3"/>
      <c r="E2785" s="1"/>
      <c r="F2785" s="8" t="s">
        <v>66</v>
      </c>
    </row>
    <row r="2786" spans="1:6" x14ac:dyDescent="0.2">
      <c r="A2786" s="3">
        <v>2785</v>
      </c>
      <c r="B2786" s="3"/>
      <c r="C2786" s="3"/>
      <c r="D2786" s="3"/>
      <c r="E2786" s="1"/>
      <c r="F2786" s="8" t="s">
        <v>66</v>
      </c>
    </row>
    <row r="2787" spans="1:6" x14ac:dyDescent="0.2">
      <c r="A2787" s="3">
        <v>2786</v>
      </c>
      <c r="B2787" s="3"/>
      <c r="C2787" s="3"/>
      <c r="D2787" s="3"/>
      <c r="E2787" s="1"/>
      <c r="F2787" s="8" t="s">
        <v>66</v>
      </c>
    </row>
    <row r="2788" spans="1:6" x14ac:dyDescent="0.2">
      <c r="A2788" s="3">
        <v>2787</v>
      </c>
      <c r="B2788" s="3"/>
      <c r="C2788" s="3"/>
      <c r="D2788" s="3"/>
      <c r="E2788" s="1"/>
      <c r="F2788" s="8" t="s">
        <v>66</v>
      </c>
    </row>
    <row r="2789" spans="1:6" x14ac:dyDescent="0.2">
      <c r="A2789" s="3">
        <v>2788</v>
      </c>
      <c r="B2789" s="3"/>
      <c r="C2789" s="3"/>
      <c r="D2789" s="3"/>
      <c r="E2789" s="1"/>
      <c r="F2789" s="8" t="s">
        <v>66</v>
      </c>
    </row>
    <row r="2790" spans="1:6" x14ac:dyDescent="0.2">
      <c r="A2790" s="3">
        <v>2789</v>
      </c>
      <c r="B2790" s="3"/>
      <c r="C2790" s="3"/>
      <c r="D2790" s="3"/>
      <c r="E2790" s="1"/>
      <c r="F2790" s="8" t="s">
        <v>66</v>
      </c>
    </row>
    <row r="2791" spans="1:6" x14ac:dyDescent="0.2">
      <c r="A2791" s="3">
        <v>2790</v>
      </c>
      <c r="B2791" s="3"/>
      <c r="C2791" s="3"/>
      <c r="D2791" s="3"/>
      <c r="E2791" s="1"/>
      <c r="F2791" s="8" t="s">
        <v>66</v>
      </c>
    </row>
    <row r="2792" spans="1:6" x14ac:dyDescent="0.2">
      <c r="A2792" s="3">
        <v>2791</v>
      </c>
      <c r="B2792" s="3"/>
      <c r="C2792" s="3"/>
      <c r="D2792" s="3"/>
      <c r="E2792" s="1"/>
      <c r="F2792" s="8" t="s">
        <v>66</v>
      </c>
    </row>
    <row r="2793" spans="1:6" x14ac:dyDescent="0.2">
      <c r="A2793" s="3">
        <v>2792</v>
      </c>
      <c r="B2793" s="3"/>
      <c r="C2793" s="3"/>
      <c r="D2793" s="3"/>
      <c r="E2793" s="1"/>
      <c r="F2793" s="8" t="s">
        <v>66</v>
      </c>
    </row>
    <row r="2794" spans="1:6" x14ac:dyDescent="0.2">
      <c r="A2794" s="3">
        <v>2793</v>
      </c>
      <c r="B2794" s="3"/>
      <c r="C2794" s="3"/>
      <c r="D2794" s="3"/>
      <c r="E2794" s="1"/>
      <c r="F2794" s="8" t="s">
        <v>66</v>
      </c>
    </row>
    <row r="2795" spans="1:6" x14ac:dyDescent="0.2">
      <c r="A2795" s="3">
        <v>2794</v>
      </c>
      <c r="B2795" s="3"/>
      <c r="C2795" s="3"/>
      <c r="D2795" s="3"/>
      <c r="E2795" s="1"/>
      <c r="F2795" s="8" t="s">
        <v>66</v>
      </c>
    </row>
    <row r="2796" spans="1:6" x14ac:dyDescent="0.2">
      <c r="A2796" s="3">
        <v>2795</v>
      </c>
      <c r="B2796" s="3"/>
      <c r="C2796" s="3"/>
      <c r="D2796" s="3"/>
      <c r="E2796" s="1"/>
      <c r="F2796" s="8" t="s">
        <v>66</v>
      </c>
    </row>
    <row r="2797" spans="1:6" x14ac:dyDescent="0.2">
      <c r="A2797" s="3">
        <v>2796</v>
      </c>
      <c r="B2797" s="3"/>
      <c r="C2797" s="3"/>
      <c r="D2797" s="3"/>
      <c r="E2797" s="1"/>
      <c r="F2797" s="8" t="s">
        <v>66</v>
      </c>
    </row>
    <row r="2798" spans="1:6" x14ac:dyDescent="0.2">
      <c r="A2798" s="3">
        <v>2797</v>
      </c>
      <c r="B2798" s="3"/>
      <c r="C2798" s="3"/>
      <c r="D2798" s="3"/>
      <c r="E2798" s="1"/>
      <c r="F2798" s="8" t="s">
        <v>66</v>
      </c>
    </row>
    <row r="2799" spans="1:6" x14ac:dyDescent="0.2">
      <c r="A2799" s="3">
        <v>2798</v>
      </c>
      <c r="B2799" s="3"/>
      <c r="C2799" s="3"/>
      <c r="D2799" s="3"/>
      <c r="E2799" s="1"/>
      <c r="F2799" s="8" t="s">
        <v>66</v>
      </c>
    </row>
    <row r="2800" spans="1:6" x14ac:dyDescent="0.2">
      <c r="A2800" s="3">
        <v>2799</v>
      </c>
      <c r="B2800" s="3"/>
      <c r="C2800" s="3"/>
      <c r="D2800" s="3"/>
      <c r="E2800" s="1"/>
      <c r="F2800" s="8" t="s">
        <v>66</v>
      </c>
    </row>
    <row r="2801" spans="1:6" x14ac:dyDescent="0.2">
      <c r="A2801" s="3">
        <v>2800</v>
      </c>
      <c r="B2801" s="3"/>
      <c r="C2801" s="3"/>
      <c r="D2801" s="3"/>
      <c r="E2801" s="1"/>
      <c r="F2801" s="8" t="s">
        <v>66</v>
      </c>
    </row>
    <row r="2802" spans="1:6" x14ac:dyDescent="0.2">
      <c r="A2802" s="3">
        <v>2801</v>
      </c>
      <c r="B2802" s="3"/>
      <c r="C2802" s="3"/>
      <c r="D2802" s="3"/>
      <c r="E2802" s="1"/>
      <c r="F2802" s="8" t="s">
        <v>66</v>
      </c>
    </row>
    <row r="2803" spans="1:6" x14ac:dyDescent="0.2">
      <c r="A2803" s="3">
        <v>2802</v>
      </c>
      <c r="B2803" s="3"/>
      <c r="C2803" s="3"/>
      <c r="D2803" s="3"/>
      <c r="E2803" s="1"/>
      <c r="F2803" s="8" t="s">
        <v>66</v>
      </c>
    </row>
    <row r="2804" spans="1:6" x14ac:dyDescent="0.2">
      <c r="A2804" s="3">
        <v>2803</v>
      </c>
      <c r="B2804" s="3"/>
      <c r="C2804" s="3"/>
      <c r="D2804" s="3"/>
      <c r="E2804" s="1"/>
      <c r="F2804" s="8" t="s">
        <v>66</v>
      </c>
    </row>
    <row r="2805" spans="1:6" x14ac:dyDescent="0.2">
      <c r="A2805" s="3">
        <v>2804</v>
      </c>
      <c r="B2805" s="3"/>
      <c r="C2805" s="3"/>
      <c r="D2805" s="3"/>
      <c r="E2805" s="1"/>
      <c r="F2805" s="8" t="s">
        <v>66</v>
      </c>
    </row>
  </sheetData>
  <autoFilter ref="A1:F2805" xr:uid="{00000000-0009-0000-0000-000003000000}">
    <sortState xmlns:xlrd2="http://schemas.microsoft.com/office/spreadsheetml/2017/richdata2" ref="A2:F2805">
      <sortCondition ref="B1:B2805"/>
    </sortState>
  </autoFilter>
  <sortState xmlns:xlrd2="http://schemas.microsoft.com/office/spreadsheetml/2017/richdata2" ref="B2:E2609">
    <sortCondition ref="B2609"/>
  </sortState>
  <phoneticPr fontId="0" type="noConversion"/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3"/>
  <dimension ref="A1:F19"/>
  <sheetViews>
    <sheetView workbookViewId="0">
      <selection activeCell="M4" sqref="M4"/>
    </sheetView>
  </sheetViews>
  <sheetFormatPr defaultColWidth="9.140625" defaultRowHeight="10.5" x14ac:dyDescent="0.2"/>
  <cols>
    <col min="1" max="1" width="6.42578125" style="2" bestFit="1" customWidth="1"/>
    <col min="2" max="2" width="10.85546875" style="2" bestFit="1" customWidth="1"/>
    <col min="3" max="3" width="10.85546875" style="5" bestFit="1" customWidth="1"/>
    <col min="4" max="4" width="10" style="5" bestFit="1" customWidth="1"/>
    <col min="5" max="5" width="4.5703125" style="5" bestFit="1" customWidth="1"/>
    <col min="6" max="6" width="51.42578125" style="7" customWidth="1"/>
    <col min="7" max="16384" width="9.140625" style="2"/>
  </cols>
  <sheetData>
    <row r="1" spans="1:6" s="5" customFormat="1" ht="21" customHeight="1" x14ac:dyDescent="0.2">
      <c r="A1" s="4" t="s">
        <v>58</v>
      </c>
      <c r="B1" s="4" t="s">
        <v>4252</v>
      </c>
      <c r="C1" s="4" t="s">
        <v>49</v>
      </c>
      <c r="D1" s="4" t="s">
        <v>24</v>
      </c>
      <c r="E1" s="4" t="s">
        <v>4253</v>
      </c>
      <c r="F1" s="6" t="s">
        <v>62</v>
      </c>
    </row>
    <row r="2" spans="1:6" ht="21" customHeight="1" x14ac:dyDescent="0.2">
      <c r="A2" s="3">
        <v>1</v>
      </c>
      <c r="B2" s="3" t="s">
        <v>4254</v>
      </c>
      <c r="C2" s="8" t="s">
        <v>4255</v>
      </c>
      <c r="D2" s="8" t="s">
        <v>4256</v>
      </c>
      <c r="E2" s="13" t="s">
        <v>66</v>
      </c>
      <c r="F2" s="1" t="s">
        <v>4257</v>
      </c>
    </row>
    <row r="3" spans="1:6" ht="21" customHeight="1" x14ac:dyDescent="0.2">
      <c r="A3" s="3">
        <v>15</v>
      </c>
      <c r="B3" s="3" t="s">
        <v>786</v>
      </c>
      <c r="C3" s="8" t="s">
        <v>4258</v>
      </c>
      <c r="D3" s="8" t="s">
        <v>4259</v>
      </c>
      <c r="E3" s="13" t="s">
        <v>66</v>
      </c>
      <c r="F3" s="1" t="s">
        <v>4260</v>
      </c>
    </row>
    <row r="4" spans="1:6" ht="21" customHeight="1" x14ac:dyDescent="0.2">
      <c r="A4" s="3">
        <v>2</v>
      </c>
      <c r="B4" s="3" t="s">
        <v>1170</v>
      </c>
      <c r="C4" s="8" t="s">
        <v>4261</v>
      </c>
      <c r="D4" s="8" t="s">
        <v>4262</v>
      </c>
      <c r="E4" s="13" t="s">
        <v>66</v>
      </c>
      <c r="F4" s="1" t="s">
        <v>4263</v>
      </c>
    </row>
    <row r="5" spans="1:6" ht="21" customHeight="1" x14ac:dyDescent="0.2">
      <c r="A5" s="3">
        <v>9</v>
      </c>
      <c r="B5" s="3" t="s">
        <v>1303</v>
      </c>
      <c r="C5" s="8" t="s">
        <v>4264</v>
      </c>
      <c r="D5" s="8" t="s">
        <v>4265</v>
      </c>
      <c r="E5" s="13" t="s">
        <v>66</v>
      </c>
      <c r="F5" s="1" t="s">
        <v>4266</v>
      </c>
    </row>
    <row r="6" spans="1:6" ht="21" customHeight="1" x14ac:dyDescent="0.2">
      <c r="A6" s="3">
        <v>17</v>
      </c>
      <c r="B6" s="3" t="s">
        <v>1387</v>
      </c>
      <c r="C6" s="8" t="s">
        <v>4267</v>
      </c>
      <c r="D6" s="8" t="s">
        <v>4268</v>
      </c>
      <c r="E6" s="13" t="s">
        <v>66</v>
      </c>
      <c r="F6" s="1" t="s">
        <v>4269</v>
      </c>
    </row>
    <row r="7" spans="1:6" ht="21" customHeight="1" x14ac:dyDescent="0.2">
      <c r="A7" s="3">
        <v>18</v>
      </c>
      <c r="B7" s="3" t="s">
        <v>1410</v>
      </c>
      <c r="C7" s="8" t="s">
        <v>4270</v>
      </c>
      <c r="D7" s="8" t="s">
        <v>4271</v>
      </c>
      <c r="E7" s="13" t="s">
        <v>66</v>
      </c>
      <c r="F7" s="1" t="s">
        <v>4272</v>
      </c>
    </row>
    <row r="8" spans="1:6" ht="21" customHeight="1" x14ac:dyDescent="0.2">
      <c r="A8" s="3">
        <v>3</v>
      </c>
      <c r="B8" s="3" t="s">
        <v>1610</v>
      </c>
      <c r="C8" s="8" t="s">
        <v>4273</v>
      </c>
      <c r="D8" s="8" t="s">
        <v>4274</v>
      </c>
      <c r="E8" s="13" t="s">
        <v>66</v>
      </c>
      <c r="F8" s="1" t="s">
        <v>4275</v>
      </c>
    </row>
    <row r="9" spans="1:6" ht="21" customHeight="1" x14ac:dyDescent="0.2">
      <c r="A9" s="3">
        <v>4</v>
      </c>
      <c r="B9" s="3" t="s">
        <v>2109</v>
      </c>
      <c r="C9" s="8" t="s">
        <v>4276</v>
      </c>
      <c r="D9" s="8" t="s">
        <v>4277</v>
      </c>
      <c r="E9" s="13" t="s">
        <v>66</v>
      </c>
      <c r="F9" s="1" t="s">
        <v>4278</v>
      </c>
    </row>
    <row r="10" spans="1:6" ht="21" customHeight="1" x14ac:dyDescent="0.2">
      <c r="A10" s="3">
        <v>6</v>
      </c>
      <c r="B10" s="3" t="s">
        <v>2242</v>
      </c>
      <c r="C10" s="8" t="s">
        <v>4279</v>
      </c>
      <c r="D10" s="8" t="s">
        <v>4280</v>
      </c>
      <c r="E10" s="13" t="s">
        <v>66</v>
      </c>
      <c r="F10" s="1" t="s">
        <v>4281</v>
      </c>
    </row>
    <row r="11" spans="1:6" ht="21" customHeight="1" x14ac:dyDescent="0.2">
      <c r="A11" s="3">
        <v>16</v>
      </c>
      <c r="B11" s="3" t="s">
        <v>2135</v>
      </c>
      <c r="C11" s="8" t="s">
        <v>4282</v>
      </c>
      <c r="D11" s="8" t="s">
        <v>4283</v>
      </c>
      <c r="E11" s="13" t="s">
        <v>66</v>
      </c>
      <c r="F11" s="1" t="s">
        <v>4284</v>
      </c>
    </row>
    <row r="12" spans="1:6" ht="21" customHeight="1" x14ac:dyDescent="0.2">
      <c r="A12" s="3">
        <v>19</v>
      </c>
      <c r="B12" s="3" t="s">
        <v>2612</v>
      </c>
      <c r="C12" s="8" t="s">
        <v>4285</v>
      </c>
      <c r="D12" s="8" t="s">
        <v>4286</v>
      </c>
      <c r="E12" s="13" t="s">
        <v>66</v>
      </c>
      <c r="F12" s="1" t="s">
        <v>4287</v>
      </c>
    </row>
    <row r="13" spans="1:6" ht="21" customHeight="1" x14ac:dyDescent="0.2">
      <c r="A13" s="3">
        <v>5</v>
      </c>
      <c r="B13" s="3" t="s">
        <v>4288</v>
      </c>
      <c r="C13" s="8" t="s">
        <v>4289</v>
      </c>
      <c r="D13" s="8" t="s">
        <v>4290</v>
      </c>
      <c r="E13" s="13" t="s">
        <v>66</v>
      </c>
      <c r="F13" s="1" t="s">
        <v>4287</v>
      </c>
    </row>
    <row r="14" spans="1:6" ht="21" customHeight="1" x14ac:dyDescent="0.2">
      <c r="A14" s="3">
        <v>14</v>
      </c>
      <c r="B14" s="3" t="s">
        <v>2768</v>
      </c>
      <c r="C14" s="8" t="s">
        <v>4291</v>
      </c>
      <c r="D14" s="8" t="s">
        <v>4292</v>
      </c>
      <c r="E14" s="13" t="s">
        <v>66</v>
      </c>
      <c r="F14" s="1" t="s">
        <v>4293</v>
      </c>
    </row>
    <row r="15" spans="1:6" ht="21" customHeight="1" x14ac:dyDescent="0.2">
      <c r="A15" s="3">
        <v>7</v>
      </c>
      <c r="B15" s="3" t="s">
        <v>2964</v>
      </c>
      <c r="C15" s="8" t="s">
        <v>4294</v>
      </c>
      <c r="D15" s="8" t="s">
        <v>4295</v>
      </c>
      <c r="E15" s="13" t="s">
        <v>66</v>
      </c>
      <c r="F15" s="1" t="s">
        <v>4296</v>
      </c>
    </row>
    <row r="16" spans="1:6" ht="21" customHeight="1" x14ac:dyDescent="0.2">
      <c r="A16" s="3">
        <v>8</v>
      </c>
      <c r="B16" s="3" t="s">
        <v>3288</v>
      </c>
      <c r="C16" s="8" t="s">
        <v>4297</v>
      </c>
      <c r="D16" s="8" t="s">
        <v>4298</v>
      </c>
      <c r="E16" s="13" t="s">
        <v>66</v>
      </c>
      <c r="F16" s="1" t="s">
        <v>4299</v>
      </c>
    </row>
    <row r="17" spans="1:6" ht="21" customHeight="1" x14ac:dyDescent="0.2">
      <c r="A17" s="3">
        <v>11</v>
      </c>
      <c r="B17" s="3" t="s">
        <v>3779</v>
      </c>
      <c r="C17" s="8" t="s">
        <v>4300</v>
      </c>
      <c r="D17" s="8" t="s">
        <v>4301</v>
      </c>
      <c r="E17" s="13" t="s">
        <v>66</v>
      </c>
      <c r="F17" s="1" t="s">
        <v>4302</v>
      </c>
    </row>
    <row r="18" spans="1:6" ht="21" customHeight="1" x14ac:dyDescent="0.2">
      <c r="A18" s="3">
        <v>13</v>
      </c>
      <c r="B18" s="3" t="s">
        <v>4040</v>
      </c>
      <c r="C18" s="8" t="s">
        <v>4303</v>
      </c>
      <c r="D18" s="8" t="s">
        <v>4304</v>
      </c>
      <c r="E18" s="13" t="s">
        <v>66</v>
      </c>
      <c r="F18" s="1" t="s">
        <v>4305</v>
      </c>
    </row>
    <row r="19" spans="1:6" ht="21" customHeight="1" x14ac:dyDescent="0.2">
      <c r="A19" s="3">
        <v>12</v>
      </c>
      <c r="B19" s="3" t="s">
        <v>4172</v>
      </c>
      <c r="C19" s="8" t="s">
        <v>4306</v>
      </c>
      <c r="D19" s="8" t="s">
        <v>4307</v>
      </c>
      <c r="E19" s="13" t="s">
        <v>66</v>
      </c>
      <c r="F19" s="1" t="s">
        <v>4308</v>
      </c>
    </row>
  </sheetData>
  <sheetProtection algorithmName="SHA-512" hashValue="snR3ZJXYV/2egheZAOfps4A8jT+P6uSinZJrJMXxAYgIe+jPaMHOY6X8vWGLubU7ETUXUxEX72rraHa8VLLQDA==" saltValue="wnyp02CXbt9Gmazu7uHN5Q==" spinCount="100000" sheet="1" objects="1" scenarios="1"/>
  <phoneticPr fontId="0" type="noConversion"/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3</vt:i4>
      </vt:variant>
    </vt:vector>
  </HeadingPairs>
  <TitlesOfParts>
    <vt:vector size="8" baseType="lpstr">
      <vt:lpstr>Leia-me</vt:lpstr>
      <vt:lpstr>ReadMe</vt:lpstr>
      <vt:lpstr>Conversor</vt:lpstr>
      <vt:lpstr>Thesaurus</vt:lpstr>
      <vt:lpstr>Naturezas</vt:lpstr>
      <vt:lpstr>LisSelNaturezas</vt:lpstr>
      <vt:lpstr>ListaNaturezas</vt:lpstr>
      <vt:lpstr>ListaThesaurus</vt:lpstr>
    </vt:vector>
  </TitlesOfParts>
  <Manager>Lucila Martinez</Manager>
  <Company>GFT Iberia Solutions for: Banco Bradesco S/A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Conversor do Thesaurus</dc:title>
  <dc:subject>Modelagem de Dados segundo normas e padrões Bradesco</dc:subject>
  <dc:creator>Andrés Javier Araya Lange</dc:creator>
  <cp:keywords>AD;DBA;Arquitetura de Dados</cp:keywords>
  <dc:description/>
  <cp:lastModifiedBy>Renato Menendes Cruz</cp:lastModifiedBy>
  <cp:revision/>
  <dcterms:created xsi:type="dcterms:W3CDTF">2007-02-27T14:35:59Z</dcterms:created>
  <dcterms:modified xsi:type="dcterms:W3CDTF">2022-05-24T19:27:40Z</dcterms:modified>
  <cp:category>Ferramentas de apoio</cp:category>
  <cp:contentStatus/>
</cp:coreProperties>
</file>